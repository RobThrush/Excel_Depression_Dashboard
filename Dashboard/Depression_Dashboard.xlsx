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harts/chartEx1.xml" ContentType="application/vnd.ms-office.chartex+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slicers/slicer1.xml" ContentType="application/vnd.ms-excel.slicer+xml"/>
  <Override PartName="/xl/charts/chartEx2.xml" ContentType="application/vnd.ms-office.chartex+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1.xml" ContentType="application/vnd.openxmlformats-officedocument.drawingml.chart+xml"/>
  <Override PartName="/xl/charts/style3.xml" ContentType="application/vnd.ms-office.chartstyle+xml"/>
  <Override PartName="/xl/charts/colors3.xml" ContentType="application/vnd.ms-office.chartcolorstyle+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Ex3.xml" ContentType="application/vnd.ms-office.chartex+xml"/>
  <Override PartName="/xl/charts/style6.xml" ContentType="application/vnd.ms-office.chartstyle+xml"/>
  <Override PartName="/xl/charts/colors6.xml" ContentType="application/vnd.ms-office.chartcolorstyle+xml"/>
  <Override PartName="/xl/charts/chartEx4.xml" ContentType="application/vnd.ms-office.chartex+xml"/>
  <Override PartName="/xl/charts/style7.xml" ContentType="application/vnd.ms-office.chartstyle+xml"/>
  <Override PartName="/xl/charts/colors7.xml" ContentType="application/vnd.ms-office.chartcolorstyle+xml"/>
  <Override PartName="/xl/charts/chartEx5.xml" ContentType="application/vnd.ms-office.chartex+xml"/>
  <Override PartName="/xl/charts/style8.xml" ContentType="application/vnd.ms-office.chartstyle+xml"/>
  <Override PartName="/xl/charts/colors8.xml" ContentType="application/vnd.ms-office.chartcolorstyle+xml"/>
  <Override PartName="/xl/charts/chart4.xml" ContentType="application/vnd.openxmlformats-officedocument.drawingml.chart+xml"/>
  <Override PartName="/xl/charts/style9.xml" ContentType="application/vnd.ms-office.chartstyle+xml"/>
  <Override PartName="/xl/charts/colors9.xml" ContentType="application/vnd.ms-office.chartcolorstyle+xml"/>
  <Override PartName="/xl/charts/chart5.xml" ContentType="application/vnd.openxmlformats-officedocument.drawingml.chart+xml"/>
  <Override PartName="/xl/charts/style10.xml" ContentType="application/vnd.ms-office.chartstyle+xml"/>
  <Override PartName="/xl/charts/colors10.xml" ContentType="application/vnd.ms-office.chartcolorstyle+xml"/>
  <Override PartName="/xl/charts/chart6.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12.xml" ContentType="application/vnd.ms-office.chartstyle+xml"/>
  <Override PartName="/xl/charts/colors12.xml" ContentType="application/vnd.ms-office.chartcolorstyle+xml"/>
  <Override PartName="/xl/charts/chart8.xml" ContentType="application/vnd.openxmlformats-officedocument.drawingml.chart+xml"/>
  <Override PartName="/xl/charts/style13.xml" ContentType="application/vnd.ms-office.chartstyle+xml"/>
  <Override PartName="/xl/charts/colors13.xml" ContentType="application/vnd.ms-office.chartcolorstyle+xml"/>
  <Override PartName="/xl/drawings/drawing5.xml" ContentType="application/vnd.openxmlformats-officedocument.drawing+xml"/>
  <Override PartName="/xl/charts/chart9.xml" ContentType="application/vnd.openxmlformats-officedocument.drawingml.chart+xml"/>
  <Override PartName="/xl/charts/style14.xml" ContentType="application/vnd.ms-office.chartstyle+xml"/>
  <Override PartName="/xl/charts/colors14.xml" ContentType="application/vnd.ms-office.chartcolorstyle+xml"/>
  <Override PartName="/xl/charts/chart10.xml" ContentType="application/vnd.openxmlformats-officedocument.drawingml.chart+xml"/>
  <Override PartName="/xl/charts/style15.xml" ContentType="application/vnd.ms-office.chartstyle+xml"/>
  <Override PartName="/xl/charts/colors15.xml" ContentType="application/vnd.ms-office.chartcolorstyle+xml"/>
  <Override PartName="/xl/charts/chart11.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robin\Desktop\Project Dashboard Files\"/>
    </mc:Choice>
  </mc:AlternateContent>
  <xr:revisionPtr revIDLastSave="0" documentId="8_{2E897FB0-3DF5-442C-8A71-A3C971302CFF}" xr6:coauthVersionLast="47" xr6:coauthVersionMax="47" xr10:uidLastSave="{00000000-0000-0000-0000-000000000000}"/>
  <workbookProtection lockStructure="1"/>
  <bookViews>
    <workbookView xWindow="-110" yWindow="-110" windowWidth="24220" windowHeight="15500" firstSheet="6" activeTab="6" xr2:uid="{7C27848C-E22C-4B23-86DD-E811DEF739D2}"/>
  </bookViews>
  <sheets>
    <sheet name="Raw Import" sheetId="1" state="hidden" r:id="rId1"/>
    <sheet name="Messsing Around" sheetId="2" state="hidden" r:id="rId2"/>
    <sheet name="Slicers Practice" sheetId="5" state="hidden" r:id="rId3"/>
    <sheet name="Messing around w Charts" sheetId="4" state="hidden" r:id="rId4"/>
    <sheet name="Labeled w Depression" sheetId="3" state="hidden" r:id="rId5"/>
    <sheet name="Data Validation Perhaps" sheetId="8" state="hidden" r:id="rId6"/>
    <sheet name="Depression Dashboard" sheetId="7" r:id="rId7"/>
  </sheets>
  <definedNames>
    <definedName name="_xlchart.v1.0" hidden="1">'Raw Import'!$A$2:$A$1201</definedName>
    <definedName name="_xlchart.v1.1" hidden="1">'Raw Import'!$A$2:$A$1201</definedName>
    <definedName name="_xlchart.v1.2" hidden="1">'Messing around w Charts'!$S$20:$S$1219</definedName>
    <definedName name="_xlchart.v1.3" hidden="1">'Messing around w Charts'!$R$20:$R$1219</definedName>
    <definedName name="_xlchart.v1.4" hidden="1">'Messing around w Charts'!$T$20:$T$1219</definedName>
    <definedName name="academia">'Data Validation Perhaps'!$D$35</definedName>
    <definedName name="Age">'Depression Dashboard'!$H$15</definedName>
    <definedName name="Gender">'Depression Dashboard'!$K$26</definedName>
    <definedName name="gr8_than_2">'Data Validation Perhaps'!$D$31</definedName>
    <definedName name="Label">'Depression Dashboard'!$K$22</definedName>
    <definedName name="Slicer_age">#N/A</definedName>
    <definedName name="Slicer_depression_label">#N/A</definedName>
    <definedName name="Slicer_gender">#N/A</definedName>
    <definedName name="Slicer_platform_usage">#N/A</definedName>
    <definedName name="socialize">'Data Validation Perhaps'!$D$39</definedName>
  </definedNames>
  <calcPr calcId="191029"/>
  <pivotCaches>
    <pivotCache cacheId="0" r:id="rId8"/>
  </pivotCaches>
  <extLs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9"/>
        <x14:slicerCache r:id="rId10"/>
        <x14:slicerCache r:id="rId11"/>
        <x14:slicerCache r:id="rId12"/>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9" i="8" l="1" a="1"/>
  <c r="D39" i="8" s="1"/>
  <c r="D35" i="8" a="1"/>
  <c r="D35" i="8" s="1"/>
  <c r="D31" i="8"/>
  <c r="E25" i="8"/>
  <c r="E26" i="8"/>
  <c r="E24" i="8"/>
  <c r="P35" i="8" a="1"/>
  <c r="P35" i="8" s="1"/>
  <c r="P36" i="8" a="1"/>
  <c r="P36" i="8" s="1"/>
  <c r="P37" i="8" a="1"/>
  <c r="P37" i="8" s="1"/>
  <c r="P38" i="8" a="1"/>
  <c r="P38" i="8" s="1"/>
  <c r="P39" i="8" a="1"/>
  <c r="P39" i="8" s="1"/>
  <c r="P40" i="8" a="1"/>
  <c r="P40" i="8" s="1"/>
  <c r="P34" i="8" a="1"/>
  <c r="P34" i="8" s="1"/>
  <c r="O35" i="8" a="1"/>
  <c r="O35" i="8" s="1"/>
  <c r="O36" i="8" a="1"/>
  <c r="O36" i="8" s="1"/>
  <c r="O37" i="8" a="1"/>
  <c r="O37" i="8" s="1"/>
  <c r="O38" i="8" a="1"/>
  <c r="O38" i="8" s="1"/>
  <c r="O39" i="8" a="1"/>
  <c r="O39" i="8" s="1"/>
  <c r="O40" i="8" a="1"/>
  <c r="O40" i="8" s="1"/>
  <c r="O34" i="8" a="1"/>
  <c r="O34" i="8" s="1"/>
  <c r="O47" i="8" a="1"/>
  <c r="O47" i="8" s="1"/>
  <c r="L29" i="8" a="1"/>
  <c r="L29" i="8" s="1"/>
  <c r="O46" i="8" a="1"/>
  <c r="O46" i="8" s="1"/>
  <c r="L27" i="8" a="1"/>
  <c r="L27" i="8" s="1"/>
  <c r="O44" i="8" a="1"/>
  <c r="O44" i="8" s="1"/>
  <c r="O45" i="8" a="1"/>
  <c r="O45" i="8" s="1"/>
  <c r="L25" i="8" a="1"/>
  <c r="L25" i="8" s="1"/>
  <c r="O43" i="8" a="1"/>
  <c r="O43" i="8" s="1"/>
  <c r="L21" i="8" a="1"/>
  <c r="L21" i="8" s="1"/>
  <c r="O42" i="8" a="1"/>
  <c r="O42" i="8" s="1"/>
  <c r="L19" i="8" a="1"/>
  <c r="L19" i="8" s="1"/>
  <c r="O41" i="8" a="1"/>
  <c r="O41" i="8" s="1"/>
  <c r="L17" i="8" a="1"/>
  <c r="L17" i="8" s="1"/>
  <c r="L15" i="8" a="1"/>
  <c r="L15" i="8" s="1"/>
  <c r="L13" i="8" a="1"/>
  <c r="L13" i="8" s="1"/>
  <c r="L11" i="8" a="1"/>
  <c r="L11" i="8" s="1"/>
  <c r="L9" i="8" a="1"/>
  <c r="L9" i="8" s="1"/>
  <c r="L5" i="8" a="1"/>
  <c r="L5" i="8" s="1"/>
  <c r="L3" i="8" a="1"/>
  <c r="L3" i="8" s="1"/>
  <c r="L47" i="8" a="1"/>
  <c r="L47" i="8" s="1"/>
  <c r="L28" i="8" a="1"/>
  <c r="L28" i="8" s="1"/>
  <c r="L46" i="8" a="1"/>
  <c r="L46" i="8" s="1"/>
  <c r="L26" i="8" a="1"/>
  <c r="L26" i="8" s="1"/>
  <c r="L45" i="8" a="1"/>
  <c r="L45" i="8" s="1"/>
  <c r="L24" i="8" a="1"/>
  <c r="L24" i="8" s="1"/>
  <c r="L44" i="8" a="1"/>
  <c r="L44" i="8" s="1"/>
  <c r="L22" i="8" a="1"/>
  <c r="L22" i="8" s="1"/>
  <c r="L43" i="8" a="1"/>
  <c r="L43" i="8" s="1"/>
  <c r="L20" i="8" a="1"/>
  <c r="L20" i="8" s="1"/>
  <c r="L42" i="8" a="1"/>
  <c r="L42" i="8" s="1"/>
  <c r="L18" i="8" a="1"/>
  <c r="L18" i="8" s="1"/>
  <c r="L41" i="8" a="1"/>
  <c r="L41" i="8" s="1"/>
  <c r="L16" i="8" a="1"/>
  <c r="L16" i="8" s="1"/>
  <c r="L40" i="8" a="1"/>
  <c r="L40" i="8" s="1"/>
  <c r="L14" i="8" a="1"/>
  <c r="L14" i="8" s="1"/>
  <c r="L39" i="8" a="1"/>
  <c r="L39" i="8" s="1"/>
  <c r="L12" i="8" a="1"/>
  <c r="L12" i="8" s="1"/>
  <c r="L38" i="8" a="1"/>
  <c r="L38" i="8" s="1"/>
  <c r="L10" i="8" a="1"/>
  <c r="L10" i="8" s="1"/>
  <c r="L37" i="8" a="1"/>
  <c r="L37" i="8" s="1"/>
  <c r="L8" i="8" a="1"/>
  <c r="L8" i="8" s="1"/>
  <c r="L36" i="8" a="1"/>
  <c r="L36" i="8" s="1"/>
  <c r="L6" i="8" a="1"/>
  <c r="L6" i="8" s="1"/>
  <c r="L35" i="8" a="1"/>
  <c r="L35" i="8" s="1"/>
  <c r="L4" i="8" a="1"/>
  <c r="L4" i="8" s="1"/>
  <c r="L34" i="8" a="1"/>
  <c r="L34" i="8" s="1"/>
  <c r="L2" i="8" a="1"/>
  <c r="L2" i="8" s="1"/>
  <c r="P6" i="8" a="1"/>
  <c r="P6" i="8" s="1"/>
  <c r="E19" i="8" a="1"/>
  <c r="E19" i="8" s="1"/>
  <c r="F19" i="8" a="1"/>
  <c r="F19" i="8" s="1"/>
  <c r="J71" i="3" a="1"/>
  <c r="J71" i="3" s="1"/>
  <c r="P29" i="8" a="1"/>
  <c r="P29" i="8" s="1"/>
  <c r="N29" i="8" a="1"/>
  <c r="N29" i="8" s="1"/>
  <c r="P28" i="8" a="1"/>
  <c r="P28" i="8" s="1"/>
  <c r="N28" i="8" a="1"/>
  <c r="N28" i="8" s="1"/>
  <c r="P27" i="8" a="1"/>
  <c r="P27" i="8" s="1"/>
  <c r="N27" i="8" a="1"/>
  <c r="N27" i="8" s="1"/>
  <c r="P26" i="8" a="1"/>
  <c r="P26" i="8" s="1"/>
  <c r="N26" i="8" a="1"/>
  <c r="N26" i="8" s="1"/>
  <c r="P25" i="8" a="1"/>
  <c r="P25" i="8" s="1"/>
  <c r="N25" i="8" a="1"/>
  <c r="N25" i="8" s="1"/>
  <c r="P24" i="8" a="1"/>
  <c r="P24" i="8" s="1"/>
  <c r="N24" i="8" a="1"/>
  <c r="N24" i="8" s="1"/>
  <c r="P23" i="8" a="1"/>
  <c r="P23" i="8" s="1"/>
  <c r="N23" i="8" a="1"/>
  <c r="N23" i="8" s="1"/>
  <c r="P22" i="8" a="1"/>
  <c r="P22" i="8" s="1"/>
  <c r="N22" i="8" a="1"/>
  <c r="N22" i="8" s="1"/>
  <c r="P21" i="8" a="1"/>
  <c r="P21" i="8" s="1"/>
  <c r="N21" i="8" a="1"/>
  <c r="N21" i="8" s="1"/>
  <c r="P20" i="8" a="1"/>
  <c r="P20" i="8" s="1"/>
  <c r="N20" i="8" a="1"/>
  <c r="N20" i="8" s="1"/>
  <c r="P19" i="8" a="1"/>
  <c r="P19" i="8" s="1"/>
  <c r="N19" i="8" a="1"/>
  <c r="N19" i="8" s="1"/>
  <c r="P18" i="8" a="1"/>
  <c r="P18" i="8" s="1"/>
  <c r="N18" i="8" a="1"/>
  <c r="N18" i="8" s="1"/>
  <c r="P17" i="8" a="1"/>
  <c r="P17" i="8" s="1"/>
  <c r="N17" i="8" a="1"/>
  <c r="N17" i="8" s="1"/>
  <c r="P16" i="8" a="1"/>
  <c r="P16" i="8" s="1"/>
  <c r="P15" i="8" a="1"/>
  <c r="P15" i="8" s="1"/>
  <c r="N15" i="8" a="1"/>
  <c r="N15" i="8" s="1"/>
  <c r="P14" i="8" a="1"/>
  <c r="P14" i="8" s="1"/>
  <c r="N14" i="8" a="1"/>
  <c r="N14" i="8" s="1"/>
  <c r="P13" i="8" a="1"/>
  <c r="P13" i="8" s="1"/>
  <c r="N13" i="8" a="1"/>
  <c r="N13" i="8" s="1"/>
  <c r="P12" i="8" a="1"/>
  <c r="P12" i="8" s="1"/>
  <c r="N12" i="8" a="1"/>
  <c r="N12" i="8" s="1"/>
  <c r="P11" i="8" a="1"/>
  <c r="P11" i="8" s="1"/>
  <c r="N11" i="8" a="1"/>
  <c r="N11" i="8" s="1"/>
  <c r="P10" i="8" a="1"/>
  <c r="P10" i="8" s="1"/>
  <c r="N10" i="8" a="1"/>
  <c r="N10" i="8" s="1"/>
  <c r="P9" i="8" a="1"/>
  <c r="P9" i="8" s="1"/>
  <c r="N9" i="8" a="1"/>
  <c r="N9" i="8" s="1"/>
  <c r="P8" i="8" a="1"/>
  <c r="P8" i="8" s="1"/>
  <c r="N8" i="8" a="1"/>
  <c r="N8" i="8" s="1"/>
  <c r="P7" i="8" a="1"/>
  <c r="P7" i="8" s="1"/>
  <c r="N7" i="8" a="1"/>
  <c r="N7" i="8" s="1"/>
  <c r="N6" i="8" a="1"/>
  <c r="N6" i="8" s="1"/>
  <c r="P5" i="8" a="1"/>
  <c r="P5" i="8" s="1"/>
  <c r="N5" i="8" a="1"/>
  <c r="N5" i="8" s="1"/>
  <c r="P4" i="8" a="1"/>
  <c r="P4" i="8" s="1"/>
  <c r="N4" i="8" a="1"/>
  <c r="N4" i="8" s="1"/>
  <c r="P3" i="8" a="1"/>
  <c r="P3" i="8" s="1"/>
  <c r="N3" i="8" a="1"/>
  <c r="N3" i="8" s="1"/>
  <c r="P2" i="8" a="1"/>
  <c r="P2" i="8" s="1"/>
  <c r="N2" i="8" a="1"/>
  <c r="N2" i="8" s="1"/>
  <c r="L23" i="8" a="1"/>
  <c r="L23" i="8" s="1"/>
  <c r="N16" i="8" a="1"/>
  <c r="N16" i="8" s="1"/>
  <c r="L7" i="8" a="1"/>
  <c r="L7" i="8" s="1"/>
  <c r="E12" i="8"/>
  <c r="E10" i="8"/>
  <c r="E9" i="8"/>
  <c r="D9" i="8" a="1"/>
  <c r="D9" i="8" s="1"/>
  <c r="Q2" i="5" a="1"/>
  <c r="Q2" i="5" s="1"/>
  <c r="Q3" i="5" a="1"/>
  <c r="Q3" i="5"/>
  <c r="Q4" i="5" a="1"/>
  <c r="Q4" i="5"/>
  <c r="Q5" i="5" a="1"/>
  <c r="Q5" i="5"/>
  <c r="Q6" i="5" a="1"/>
  <c r="Q6" i="5" s="1"/>
  <c r="Q7" i="5" a="1"/>
  <c r="Q7" i="5" s="1"/>
  <c r="Q8" i="5" a="1"/>
  <c r="Q8" i="5" s="1"/>
  <c r="Q9" i="5" a="1"/>
  <c r="Q9" i="5"/>
  <c r="Q10" i="5" a="1"/>
  <c r="Q10" i="5" s="1"/>
  <c r="Q11" i="5" a="1"/>
  <c r="Q11" i="5"/>
  <c r="Q12" i="5" a="1"/>
  <c r="Q12" i="5"/>
  <c r="Q13" i="5" a="1"/>
  <c r="Q13" i="5"/>
  <c r="Q14" i="5" a="1"/>
  <c r="Q14" i="5" s="1"/>
  <c r="Q15" i="5" a="1"/>
  <c r="Q15" i="5" s="1"/>
  <c r="Q16" i="5" a="1"/>
  <c r="Q16" i="5" s="1"/>
  <c r="Q17" i="5" a="1"/>
  <c r="Q17" i="5"/>
  <c r="Q18" i="5" a="1"/>
  <c r="Q18" i="5" s="1"/>
  <c r="Q19" i="5" a="1"/>
  <c r="Q19" i="5" s="1"/>
  <c r="Q20" i="5" a="1"/>
  <c r="Q20" i="5" s="1"/>
  <c r="Q21" i="5" a="1"/>
  <c r="Q21" i="5"/>
  <c r="Q22" i="5" a="1"/>
  <c r="Q22" i="5" s="1"/>
  <c r="Q23" i="5" a="1"/>
  <c r="Q23" i="5" s="1"/>
  <c r="Q24" i="5" a="1"/>
  <c r="Q24" i="5" s="1"/>
  <c r="Q25" i="5" a="1"/>
  <c r="Q25" i="5"/>
  <c r="Q26" i="5" a="1"/>
  <c r="Q26" i="5" s="1"/>
  <c r="Q27" i="5" a="1"/>
  <c r="Q27" i="5" s="1"/>
  <c r="Q28" i="5" a="1"/>
  <c r="Q28" i="5" s="1"/>
  <c r="Q29" i="5" a="1"/>
  <c r="Q29" i="5"/>
  <c r="Q30" i="5" a="1"/>
  <c r="Q30" i="5" s="1"/>
  <c r="Q31" i="5" a="1"/>
  <c r="Q31" i="5" s="1"/>
  <c r="Q32" i="5" a="1"/>
  <c r="Q32" i="5" s="1"/>
  <c r="Q33" i="5" a="1"/>
  <c r="Q33" i="5"/>
  <c r="Q34" i="5" a="1"/>
  <c r="Q34" i="5" s="1"/>
  <c r="Q35" i="5" a="1"/>
  <c r="Q35" i="5" s="1"/>
  <c r="Q36" i="5" a="1"/>
  <c r="Q36" i="5" s="1"/>
  <c r="Q37" i="5" a="1"/>
  <c r="Q37" i="5"/>
  <c r="Q38" i="5" a="1"/>
  <c r="Q38" i="5" s="1"/>
  <c r="Q39" i="5" a="1"/>
  <c r="Q39" i="5" s="1"/>
  <c r="Q40" i="5" a="1"/>
  <c r="Q40" i="5" s="1"/>
  <c r="Q41" i="5" a="1"/>
  <c r="Q41" i="5"/>
  <c r="Q42" i="5" a="1"/>
  <c r="Q42" i="5" s="1"/>
  <c r="Q43" i="5" a="1"/>
  <c r="Q43" i="5" s="1"/>
  <c r="Q44" i="5" a="1"/>
  <c r="Q44" i="5" s="1"/>
  <c r="Q45" i="5" a="1"/>
  <c r="Q45" i="5"/>
  <c r="Q46" i="5" a="1"/>
  <c r="Q46" i="5" s="1"/>
  <c r="Q47" i="5" a="1"/>
  <c r="Q47" i="5" s="1"/>
  <c r="Q48" i="5" a="1"/>
  <c r="Q48" i="5" s="1"/>
  <c r="Q49" i="5" a="1"/>
  <c r="Q49" i="5"/>
  <c r="Q50" i="5" a="1"/>
  <c r="Q50" i="5" s="1"/>
  <c r="Q51" i="5" a="1"/>
  <c r="Q51" i="5" s="1"/>
  <c r="Q52" i="5" a="1"/>
  <c r="Q52" i="5" s="1"/>
  <c r="Q53" i="5" a="1"/>
  <c r="Q53" i="5"/>
  <c r="Q54" i="5" a="1"/>
  <c r="Q54" i="5" s="1"/>
  <c r="Q55" i="5" a="1"/>
  <c r="Q55" i="5" s="1"/>
  <c r="Q56" i="5" a="1"/>
  <c r="Q56" i="5" s="1"/>
  <c r="Q57" i="5" a="1"/>
  <c r="Q57" i="5"/>
  <c r="Q58" i="5" a="1"/>
  <c r="Q58" i="5" s="1"/>
  <c r="Q59" i="5" a="1"/>
  <c r="Q59" i="5" s="1"/>
  <c r="Q60" i="5" a="1"/>
  <c r="Q60" i="5" s="1"/>
  <c r="Q61" i="5" a="1"/>
  <c r="Q61" i="5"/>
  <c r="Q62" i="5" a="1"/>
  <c r="Q62" i="5" s="1"/>
  <c r="Q63" i="5" a="1"/>
  <c r="Q63" i="5" s="1"/>
  <c r="Q64" i="5" a="1"/>
  <c r="Q64" i="5" s="1"/>
  <c r="Q65" i="5" a="1"/>
  <c r="Q65" i="5"/>
  <c r="Q66" i="5" a="1"/>
  <c r="Q66" i="5" s="1"/>
  <c r="Q67" i="5" a="1"/>
  <c r="Q67" i="5" s="1"/>
  <c r="Q68" i="5" a="1"/>
  <c r="Q68" i="5" s="1"/>
  <c r="Q69" i="5" a="1"/>
  <c r="Q69" i="5"/>
  <c r="Q70" i="5" a="1"/>
  <c r="Q70" i="5" s="1"/>
  <c r="Q71" i="5" a="1"/>
  <c r="Q71" i="5" s="1"/>
  <c r="Q72" i="5" a="1"/>
  <c r="Q72" i="5" s="1"/>
  <c r="Q73" i="5" a="1"/>
  <c r="Q73" i="5"/>
  <c r="Q74" i="5" a="1"/>
  <c r="Q74" i="5" s="1"/>
  <c r="Q75" i="5" a="1"/>
  <c r="Q75" i="5" s="1"/>
  <c r="Q76" i="5" a="1"/>
  <c r="Q76" i="5" s="1"/>
  <c r="Q77" i="5" a="1"/>
  <c r="Q77" i="5"/>
  <c r="Q78" i="5" a="1"/>
  <c r="Q78" i="5" s="1"/>
  <c r="Q79" i="5" a="1"/>
  <c r="Q79" i="5" s="1"/>
  <c r="Q80" i="5" a="1"/>
  <c r="Q80" i="5" s="1"/>
  <c r="Q81" i="5" a="1"/>
  <c r="Q81" i="5"/>
  <c r="Q82" i="5" a="1"/>
  <c r="Q82" i="5" s="1"/>
  <c r="Q83" i="5" a="1"/>
  <c r="Q83" i="5" s="1"/>
  <c r="Q84" i="5" a="1"/>
  <c r="Q84" i="5" s="1"/>
  <c r="Q85" i="5" a="1"/>
  <c r="Q85" i="5"/>
  <c r="Q86" i="5" a="1"/>
  <c r="Q86" i="5" s="1"/>
  <c r="Q87" i="5" a="1"/>
  <c r="Q87" i="5" s="1"/>
  <c r="Q88" i="5" a="1"/>
  <c r="Q88" i="5" s="1"/>
  <c r="Q89" i="5" a="1"/>
  <c r="Q89" i="5"/>
  <c r="Q90" i="5" a="1"/>
  <c r="Q90" i="5" s="1"/>
  <c r="Q91" i="5" a="1"/>
  <c r="Q91" i="5" s="1"/>
  <c r="Q92" i="5" a="1"/>
  <c r="Q92" i="5" s="1"/>
  <c r="Q93" i="5" a="1"/>
  <c r="Q93" i="5" s="1"/>
  <c r="Q94" i="5" a="1"/>
  <c r="Q94" i="5" s="1"/>
  <c r="Q95" i="5" a="1"/>
  <c r="Q95" i="5" s="1"/>
  <c r="Q96" i="5" a="1"/>
  <c r="Q96" i="5" s="1"/>
  <c r="Q97" i="5" a="1"/>
  <c r="Q97" i="5" s="1"/>
  <c r="Q98" i="5" a="1"/>
  <c r="Q98" i="5" s="1"/>
  <c r="Q99" i="5" a="1"/>
  <c r="Q99" i="5" s="1"/>
  <c r="Q100" i="5" a="1"/>
  <c r="Q100" i="5" s="1"/>
  <c r="Q101" i="5" a="1"/>
  <c r="Q101" i="5" s="1"/>
  <c r="Q102" i="5" a="1"/>
  <c r="Q102" i="5" s="1"/>
  <c r="Q103" i="5" a="1"/>
  <c r="Q103" i="5" s="1"/>
  <c r="Q104" i="5" a="1"/>
  <c r="Q104" i="5" s="1"/>
  <c r="Q105" i="5" a="1"/>
  <c r="Q105" i="5" s="1"/>
  <c r="Q106" i="5" a="1"/>
  <c r="Q106" i="5" s="1"/>
  <c r="Q107" i="5" a="1"/>
  <c r="Q107" i="5" s="1"/>
  <c r="Q108" i="5" a="1"/>
  <c r="Q108" i="5" s="1"/>
  <c r="Q109" i="5" a="1"/>
  <c r="Q109" i="5"/>
  <c r="Q110" i="5" a="1"/>
  <c r="Q110" i="5" s="1"/>
  <c r="Q111" i="5" a="1"/>
  <c r="Q111" i="5" s="1"/>
  <c r="Q112" i="5" a="1"/>
  <c r="Q112" i="5" s="1"/>
  <c r="Q113" i="5" a="1"/>
  <c r="Q113" i="5"/>
  <c r="Q114" i="5" a="1"/>
  <c r="Q114" i="5" s="1"/>
  <c r="Q115" i="5" a="1"/>
  <c r="Q115" i="5" s="1"/>
  <c r="Q116" i="5" a="1"/>
  <c r="Q116" i="5" s="1"/>
  <c r="Q117" i="5" a="1"/>
  <c r="Q117" i="5"/>
  <c r="Q118" i="5" a="1"/>
  <c r="Q118" i="5" s="1"/>
  <c r="Q119" i="5" a="1"/>
  <c r="Q119" i="5" s="1"/>
  <c r="Q120" i="5" a="1"/>
  <c r="Q120" i="5" s="1"/>
  <c r="Q121" i="5" a="1"/>
  <c r="Q121" i="5" s="1"/>
  <c r="Q122" i="5" a="1"/>
  <c r="Q122" i="5" s="1"/>
  <c r="Q123" i="5" a="1"/>
  <c r="Q123" i="5" s="1"/>
  <c r="Q124" i="5" a="1"/>
  <c r="Q124" i="5" s="1"/>
  <c r="Q125" i="5" a="1"/>
  <c r="Q125" i="5" s="1"/>
  <c r="Q126" i="5" a="1"/>
  <c r="Q126" i="5" s="1"/>
  <c r="Q127" i="5" a="1"/>
  <c r="Q127" i="5" s="1"/>
  <c r="Q128" i="5" a="1"/>
  <c r="Q128" i="5" s="1"/>
  <c r="Q129" i="5" a="1"/>
  <c r="Q129" i="5" s="1"/>
  <c r="Q130" i="5" a="1"/>
  <c r="Q130" i="5" s="1"/>
  <c r="Q131" i="5" a="1"/>
  <c r="Q131" i="5" s="1"/>
  <c r="Q132" i="5" a="1"/>
  <c r="Q132" i="5" s="1"/>
  <c r="Q133" i="5" a="1"/>
  <c r="Q133" i="5" s="1"/>
  <c r="Q134" i="5" a="1"/>
  <c r="Q134" i="5" s="1"/>
  <c r="Q135" i="5" a="1"/>
  <c r="Q135" i="5" s="1"/>
  <c r="Q136" i="5" a="1"/>
  <c r="Q136" i="5" s="1"/>
  <c r="Q137" i="5" a="1"/>
  <c r="Q137" i="5" s="1"/>
  <c r="Q138" i="5" a="1"/>
  <c r="Q138" i="5" s="1"/>
  <c r="Q139" i="5" a="1"/>
  <c r="Q139" i="5" s="1"/>
  <c r="Q140" i="5" a="1"/>
  <c r="Q140" i="5" s="1"/>
  <c r="Q141" i="5" a="1"/>
  <c r="Q141" i="5"/>
  <c r="Q142" i="5" a="1"/>
  <c r="Q142" i="5" s="1"/>
  <c r="Q143" i="5" a="1"/>
  <c r="Q143" i="5" s="1"/>
  <c r="Q144" i="5" a="1"/>
  <c r="Q144" i="5" s="1"/>
  <c r="Q145" i="5" a="1"/>
  <c r="Q145" i="5"/>
  <c r="Q146" i="5" a="1"/>
  <c r="Q146" i="5" s="1"/>
  <c r="Q147" i="5" a="1"/>
  <c r="Q147" i="5" s="1"/>
  <c r="Q148" i="5" a="1"/>
  <c r="Q148" i="5" s="1"/>
  <c r="Q149" i="5" a="1"/>
  <c r="Q149" i="5"/>
  <c r="Q150" i="5" a="1"/>
  <c r="Q150" i="5" s="1"/>
  <c r="Q151" i="5" a="1"/>
  <c r="Q151" i="5" s="1"/>
  <c r="Q152" i="5" a="1"/>
  <c r="Q152" i="5" s="1"/>
  <c r="Q153" i="5" a="1"/>
  <c r="Q153" i="5" s="1"/>
  <c r="Q154" i="5" a="1"/>
  <c r="Q154" i="5" s="1"/>
  <c r="Q155" i="5" a="1"/>
  <c r="Q155" i="5" s="1"/>
  <c r="Q156" i="5" a="1"/>
  <c r="Q156" i="5" s="1"/>
  <c r="Q157" i="5" a="1"/>
  <c r="Q157" i="5" s="1"/>
  <c r="Q158" i="5" a="1"/>
  <c r="Q158" i="5" s="1"/>
  <c r="Q159" i="5" a="1"/>
  <c r="Q159" i="5" s="1"/>
  <c r="Q160" i="5" a="1"/>
  <c r="Q160" i="5" s="1"/>
  <c r="Q161" i="5" a="1"/>
  <c r="Q161" i="5" s="1"/>
  <c r="Q162" i="5" a="1"/>
  <c r="Q162" i="5" s="1"/>
  <c r="Q163" i="5" a="1"/>
  <c r="Q163" i="5" s="1"/>
  <c r="Q164" i="5" a="1"/>
  <c r="Q164" i="5" s="1"/>
  <c r="Q165" i="5" a="1"/>
  <c r="Q165" i="5" s="1"/>
  <c r="Q166" i="5" a="1"/>
  <c r="Q166" i="5" s="1"/>
  <c r="Q167" i="5" a="1"/>
  <c r="Q167" i="5" s="1"/>
  <c r="Q168" i="5" a="1"/>
  <c r="Q168" i="5" s="1"/>
  <c r="Q169" i="5" a="1"/>
  <c r="Q169" i="5" s="1"/>
  <c r="Q170" i="5" a="1"/>
  <c r="Q170" i="5" s="1"/>
  <c r="Q171" i="5" a="1"/>
  <c r="Q171" i="5" s="1"/>
  <c r="Q172" i="5" a="1"/>
  <c r="Q172" i="5" s="1"/>
  <c r="Q173" i="5" a="1"/>
  <c r="Q173" i="5"/>
  <c r="Q174" i="5" a="1"/>
  <c r="Q174" i="5" s="1"/>
  <c r="Q175" i="5" a="1"/>
  <c r="Q175" i="5" s="1"/>
  <c r="Q176" i="5" a="1"/>
  <c r="Q176" i="5" s="1"/>
  <c r="Q177" i="5" a="1"/>
  <c r="Q177" i="5"/>
  <c r="Q178" i="5" a="1"/>
  <c r="Q178" i="5" s="1"/>
  <c r="Q179" i="5" a="1"/>
  <c r="Q179" i="5" s="1"/>
  <c r="Q180" i="5" a="1"/>
  <c r="Q180" i="5" s="1"/>
  <c r="Q181" i="5" a="1"/>
  <c r="Q181" i="5"/>
  <c r="Q182" i="5" a="1"/>
  <c r="Q182" i="5" s="1"/>
  <c r="Q183" i="5" a="1"/>
  <c r="Q183" i="5" s="1"/>
  <c r="Q184" i="5" a="1"/>
  <c r="Q184" i="5" s="1"/>
  <c r="Q185" i="5" a="1"/>
  <c r="Q185" i="5" s="1"/>
  <c r="Q186" i="5" a="1"/>
  <c r="Q186" i="5" s="1"/>
  <c r="Q187" i="5" a="1"/>
  <c r="Q187" i="5" s="1"/>
  <c r="Q188" i="5" a="1"/>
  <c r="Q188" i="5" s="1"/>
  <c r="Q189" i="5" a="1"/>
  <c r="Q189" i="5" s="1"/>
  <c r="Q190" i="5" a="1"/>
  <c r="Q190" i="5" s="1"/>
  <c r="Q191" i="5" a="1"/>
  <c r="Q191" i="5" s="1"/>
  <c r="Q192" i="5" a="1"/>
  <c r="Q192" i="5" s="1"/>
  <c r="Q193" i="5" a="1"/>
  <c r="Q193" i="5" s="1"/>
  <c r="Q194" i="5" a="1"/>
  <c r="Q194" i="5" s="1"/>
  <c r="Q195" i="5" a="1"/>
  <c r="Q195" i="5" s="1"/>
  <c r="Q196" i="5" a="1"/>
  <c r="Q196" i="5" s="1"/>
  <c r="Q197" i="5" a="1"/>
  <c r="Q197" i="5" s="1"/>
  <c r="Q198" i="5" a="1"/>
  <c r="Q198" i="5" s="1"/>
  <c r="Q199" i="5" a="1"/>
  <c r="Q199" i="5" s="1"/>
  <c r="Q200" i="5" a="1"/>
  <c r="Q200" i="5" s="1"/>
  <c r="Q201" i="5" a="1"/>
  <c r="Q201" i="5" s="1"/>
  <c r="Q202" i="5" a="1"/>
  <c r="Q202" i="5" s="1"/>
  <c r="Q203" i="5" a="1"/>
  <c r="Q203" i="5" s="1"/>
  <c r="Q204" i="5" a="1"/>
  <c r="Q204" i="5" s="1"/>
  <c r="Q205" i="5" a="1"/>
  <c r="Q205" i="5"/>
  <c r="Q206" i="5" a="1"/>
  <c r="Q206" i="5" s="1"/>
  <c r="Q207" i="5" a="1"/>
  <c r="Q207" i="5" s="1"/>
  <c r="Q208" i="5" a="1"/>
  <c r="Q208" i="5" s="1"/>
  <c r="Q209" i="5" a="1"/>
  <c r="Q209" i="5"/>
  <c r="Q210" i="5" a="1"/>
  <c r="Q210" i="5" s="1"/>
  <c r="Q211" i="5" a="1"/>
  <c r="Q211" i="5" s="1"/>
  <c r="Q212" i="5" a="1"/>
  <c r="Q212" i="5" s="1"/>
  <c r="Q213" i="5" a="1"/>
  <c r="Q213" i="5"/>
  <c r="Q214" i="5" a="1"/>
  <c r="Q214" i="5" s="1"/>
  <c r="Q215" i="5" a="1"/>
  <c r="Q215" i="5" s="1"/>
  <c r="Q216" i="5" a="1"/>
  <c r="Q216" i="5" s="1"/>
  <c r="Q217" i="5" a="1"/>
  <c r="Q217" i="5" s="1"/>
  <c r="Q218" i="5" a="1"/>
  <c r="Q218" i="5" s="1"/>
  <c r="Q219" i="5" a="1"/>
  <c r="Q219" i="5" s="1"/>
  <c r="Q220" i="5" a="1"/>
  <c r="Q220" i="5" s="1"/>
  <c r="Q221" i="5" a="1"/>
  <c r="Q221" i="5" s="1"/>
  <c r="Q222" i="5" a="1"/>
  <c r="Q222" i="5" s="1"/>
  <c r="Q223" i="5" a="1"/>
  <c r="Q223" i="5" s="1"/>
  <c r="Q224" i="5" a="1"/>
  <c r="Q224" i="5" s="1"/>
  <c r="Q225" i="5" a="1"/>
  <c r="Q225" i="5" s="1"/>
  <c r="Q226" i="5" a="1"/>
  <c r="Q226" i="5" s="1"/>
  <c r="Q227" i="5" a="1"/>
  <c r="Q227" i="5" s="1"/>
  <c r="Q228" i="5" a="1"/>
  <c r="Q228" i="5" s="1"/>
  <c r="Q229" i="5" a="1"/>
  <c r="Q229" i="5" s="1"/>
  <c r="Q230" i="5" a="1"/>
  <c r="Q230" i="5" s="1"/>
  <c r="Q231" i="5" a="1"/>
  <c r="Q231" i="5" s="1"/>
  <c r="Q232" i="5" a="1"/>
  <c r="Q232" i="5" s="1"/>
  <c r="Q233" i="5" a="1"/>
  <c r="Q233" i="5" s="1"/>
  <c r="Q234" i="5" a="1"/>
  <c r="Q234" i="5" s="1"/>
  <c r="Q235" i="5" a="1"/>
  <c r="Q235" i="5" s="1"/>
  <c r="Q236" i="5" a="1"/>
  <c r="Q236" i="5" s="1"/>
  <c r="Q237" i="5" a="1"/>
  <c r="Q237" i="5"/>
  <c r="Q238" i="5" a="1"/>
  <c r="Q238" i="5" s="1"/>
  <c r="Q239" i="5" a="1"/>
  <c r="Q239" i="5" s="1"/>
  <c r="Q240" i="5" a="1"/>
  <c r="Q240" i="5" s="1"/>
  <c r="Q241" i="5" a="1"/>
  <c r="Q241" i="5"/>
  <c r="Q242" i="5" a="1"/>
  <c r="Q242" i="5" s="1"/>
  <c r="Q243" i="5" a="1"/>
  <c r="Q243" i="5" s="1"/>
  <c r="Q244" i="5" a="1"/>
  <c r="Q244" i="5" s="1"/>
  <c r="Q245" i="5" a="1"/>
  <c r="Q245" i="5" s="1"/>
  <c r="Q246" i="5" a="1"/>
  <c r="Q246" i="5" s="1"/>
  <c r="Q247" i="5" a="1"/>
  <c r="Q247" i="5" s="1"/>
  <c r="Q248" i="5" a="1"/>
  <c r="Q248" i="5" s="1"/>
  <c r="Q249" i="5" a="1"/>
  <c r="Q249" i="5" s="1"/>
  <c r="Q250" i="5" a="1"/>
  <c r="Q250" i="5" s="1"/>
  <c r="Q251" i="5" a="1"/>
  <c r="Q251" i="5" s="1"/>
  <c r="Q252" i="5" a="1"/>
  <c r="Q252" i="5" s="1"/>
  <c r="Q253" i="5" a="1"/>
  <c r="Q253" i="5" s="1"/>
  <c r="Q254" i="5" a="1"/>
  <c r="Q254" i="5" s="1"/>
  <c r="Q255" i="5" a="1"/>
  <c r="Q255" i="5" s="1"/>
  <c r="Q256" i="5" a="1"/>
  <c r="Q256" i="5" s="1"/>
  <c r="Q257" i="5" a="1"/>
  <c r="Q257" i="5" s="1"/>
  <c r="Q258" i="5" a="1"/>
  <c r="Q258" i="5" s="1"/>
  <c r="Q259" i="5" a="1"/>
  <c r="Q259" i="5" s="1"/>
  <c r="Q260" i="5" a="1"/>
  <c r="Q260" i="5" s="1"/>
  <c r="Q261" i="5" a="1"/>
  <c r="Q261" i="5"/>
  <c r="Q262" i="5" a="1"/>
  <c r="Q262" i="5" s="1"/>
  <c r="Q263" i="5" a="1"/>
  <c r="Q263" i="5" s="1"/>
  <c r="Q264" i="5" a="1"/>
  <c r="Q264" i="5" s="1"/>
  <c r="Q265" i="5" a="1"/>
  <c r="Q265" i="5" s="1"/>
  <c r="Q266" i="5" a="1"/>
  <c r="Q266" i="5" s="1"/>
  <c r="Q267" i="5" a="1"/>
  <c r="Q267" i="5" s="1"/>
  <c r="Q268" i="5" a="1"/>
  <c r="Q268" i="5" s="1"/>
  <c r="Q269" i="5" a="1"/>
  <c r="Q269" i="5"/>
  <c r="Q270" i="5" a="1"/>
  <c r="Q270" i="5" s="1"/>
  <c r="Q271" i="5" a="1"/>
  <c r="Q271" i="5" s="1"/>
  <c r="Q272" i="5" a="1"/>
  <c r="Q272" i="5" s="1"/>
  <c r="Q273" i="5" a="1"/>
  <c r="Q273" i="5"/>
  <c r="Q274" i="5" a="1"/>
  <c r="Q274" i="5" s="1"/>
  <c r="Q275" i="5" a="1"/>
  <c r="Q275" i="5" s="1"/>
  <c r="Q276" i="5" a="1"/>
  <c r="Q276" i="5" s="1"/>
  <c r="Q277" i="5" a="1"/>
  <c r="Q277" i="5" s="1"/>
  <c r="Q278" i="5" a="1"/>
  <c r="Q278" i="5" s="1"/>
  <c r="Q279" i="5" a="1"/>
  <c r="Q279" i="5" s="1"/>
  <c r="Q280" i="5" a="1"/>
  <c r="Q280" i="5" s="1"/>
  <c r="Q281" i="5" a="1"/>
  <c r="Q281" i="5" s="1"/>
  <c r="Q282" i="5" a="1"/>
  <c r="Q282" i="5" s="1"/>
  <c r="Q283" i="5" a="1"/>
  <c r="Q283" i="5" s="1"/>
  <c r="Q284" i="5" a="1"/>
  <c r="Q284" i="5" s="1"/>
  <c r="Q285" i="5" a="1"/>
  <c r="Q285" i="5" s="1"/>
  <c r="Q286" i="5" a="1"/>
  <c r="Q286" i="5" s="1"/>
  <c r="Q287" i="5" a="1"/>
  <c r="Q287" i="5" s="1"/>
  <c r="Q288" i="5" a="1"/>
  <c r="Q288" i="5" s="1"/>
  <c r="Q289" i="5" a="1"/>
  <c r="Q289" i="5" s="1"/>
  <c r="Q290" i="5" a="1"/>
  <c r="Q290" i="5" s="1"/>
  <c r="Q291" i="5" a="1"/>
  <c r="Q291" i="5" s="1"/>
  <c r="Q292" i="5" a="1"/>
  <c r="Q292" i="5" s="1"/>
  <c r="Q293" i="5" a="1"/>
  <c r="Q293" i="5"/>
  <c r="Q294" i="5" a="1"/>
  <c r="Q294" i="5" s="1"/>
  <c r="Q295" i="5" a="1"/>
  <c r="Q295" i="5" s="1"/>
  <c r="Q296" i="5" a="1"/>
  <c r="Q296" i="5" s="1"/>
  <c r="Q297" i="5" a="1"/>
  <c r="Q297" i="5" s="1"/>
  <c r="Q298" i="5" a="1"/>
  <c r="Q298" i="5" s="1"/>
  <c r="Q299" i="5" a="1"/>
  <c r="Q299" i="5" s="1"/>
  <c r="Q300" i="5" a="1"/>
  <c r="Q300" i="5" s="1"/>
  <c r="Q301" i="5" a="1"/>
  <c r="Q301" i="5"/>
  <c r="Q302" i="5" a="1"/>
  <c r="Q302" i="5" s="1"/>
  <c r="Q303" i="5" a="1"/>
  <c r="Q303" i="5" s="1"/>
  <c r="Q304" i="5" a="1"/>
  <c r="Q304" i="5" s="1"/>
  <c r="Q305" i="5" a="1"/>
  <c r="Q305" i="5"/>
  <c r="Q306" i="5" a="1"/>
  <c r="Q306" i="5" s="1"/>
  <c r="Q307" i="5" a="1"/>
  <c r="Q307" i="5" s="1"/>
  <c r="Q308" i="5" a="1"/>
  <c r="Q308" i="5" s="1"/>
  <c r="Q309" i="5" a="1"/>
  <c r="Q309" i="5"/>
  <c r="Q310" i="5" a="1"/>
  <c r="Q310" i="5" s="1"/>
  <c r="Q311" i="5" a="1"/>
  <c r="Q311" i="5" s="1"/>
  <c r="Q312" i="5" a="1"/>
  <c r="Q312" i="5" s="1"/>
  <c r="Q313" i="5" a="1"/>
  <c r="Q313" i="5" s="1"/>
  <c r="Q314" i="5" a="1"/>
  <c r="Q314" i="5" s="1"/>
  <c r="Q315" i="5" a="1"/>
  <c r="Q315" i="5" s="1"/>
  <c r="Q316" i="5" a="1"/>
  <c r="Q316" i="5" s="1"/>
  <c r="Q317" i="5" a="1"/>
  <c r="Q317" i="5" s="1"/>
  <c r="Q318" i="5" a="1"/>
  <c r="Q318" i="5" s="1"/>
  <c r="Q319" i="5" a="1"/>
  <c r="Q319" i="5" s="1"/>
  <c r="Q320" i="5" a="1"/>
  <c r="Q320" i="5" s="1"/>
  <c r="Q321" i="5" a="1"/>
  <c r="Q321" i="5" s="1"/>
  <c r="Q322" i="5" a="1"/>
  <c r="Q322" i="5" s="1"/>
  <c r="Q323" i="5" a="1"/>
  <c r="Q323" i="5" s="1"/>
  <c r="Q324" i="5" a="1"/>
  <c r="Q324" i="5" s="1"/>
  <c r="Q325" i="5" a="1"/>
  <c r="Q325" i="5" s="1"/>
  <c r="Q326" i="5" a="1"/>
  <c r="Q326" i="5" s="1"/>
  <c r="Q327" i="5" a="1"/>
  <c r="Q327" i="5" s="1"/>
  <c r="Q328" i="5" a="1"/>
  <c r="Q328" i="5" s="1"/>
  <c r="Q329" i="5" a="1"/>
  <c r="Q329" i="5"/>
  <c r="Q330" i="5" a="1"/>
  <c r="Q330" i="5" s="1"/>
  <c r="Q331" i="5" a="1"/>
  <c r="Q331" i="5" s="1"/>
  <c r="Q332" i="5" a="1"/>
  <c r="Q332" i="5" s="1"/>
  <c r="Q333" i="5" a="1"/>
  <c r="Q333" i="5"/>
  <c r="Q334" i="5" a="1"/>
  <c r="Q334" i="5" s="1"/>
  <c r="Q335" i="5" a="1"/>
  <c r="Q335" i="5" s="1"/>
  <c r="Q336" i="5" a="1"/>
  <c r="Q336" i="5" s="1"/>
  <c r="Q337" i="5" a="1"/>
  <c r="Q337" i="5"/>
  <c r="Q338" i="5" a="1"/>
  <c r="Q338" i="5" s="1"/>
  <c r="Q339" i="5" a="1"/>
  <c r="Q339" i="5" s="1"/>
  <c r="Q340" i="5" a="1"/>
  <c r="Q340" i="5" s="1"/>
  <c r="Q341" i="5" a="1"/>
  <c r="Q341" i="5"/>
  <c r="Q342" i="5" a="1"/>
  <c r="Q342" i="5" s="1"/>
  <c r="Q343" i="5" a="1"/>
  <c r="Q343" i="5" s="1"/>
  <c r="Q344" i="5" a="1"/>
  <c r="Q344" i="5" s="1"/>
  <c r="Q345" i="5" a="1"/>
  <c r="Q345" i="5"/>
  <c r="Q346" i="5" a="1"/>
  <c r="Q346" i="5" s="1"/>
  <c r="Q347" i="5" a="1"/>
  <c r="Q347" i="5" s="1"/>
  <c r="Q348" i="5" a="1"/>
  <c r="Q348" i="5" s="1"/>
  <c r="Q349" i="5" a="1"/>
  <c r="Q349" i="5" s="1"/>
  <c r="Q350" i="5" a="1"/>
  <c r="Q350" i="5"/>
  <c r="Q351" i="5" a="1"/>
  <c r="Q351" i="5" s="1"/>
  <c r="Q352" i="5" a="1"/>
  <c r="Q352" i="5" s="1"/>
  <c r="Q353" i="5" a="1"/>
  <c r="Q353" i="5"/>
  <c r="Q354" i="5" a="1"/>
  <c r="Q354" i="5"/>
  <c r="Q355" i="5" a="1"/>
  <c r="Q355" i="5" s="1"/>
  <c r="Q356" i="5" a="1"/>
  <c r="Q356" i="5" s="1"/>
  <c r="Q357" i="5" a="1"/>
  <c r="Q357" i="5"/>
  <c r="Q358" i="5" a="1"/>
  <c r="Q358" i="5"/>
  <c r="Q359" i="5" a="1"/>
  <c r="Q359" i="5" s="1"/>
  <c r="Q360" i="5" a="1"/>
  <c r="Q360" i="5" s="1"/>
  <c r="Q361" i="5" a="1"/>
  <c r="Q361" i="5" s="1"/>
  <c r="Q362" i="5" a="1"/>
  <c r="Q362" i="5"/>
  <c r="Q363" i="5" a="1"/>
  <c r="Q363" i="5" s="1"/>
  <c r="Q364" i="5" a="1"/>
  <c r="Q364" i="5" s="1"/>
  <c r="Q365" i="5" a="1"/>
  <c r="Q365" i="5" s="1"/>
  <c r="Q366" i="5" a="1"/>
  <c r="Q366" i="5"/>
  <c r="Q367" i="5" a="1"/>
  <c r="Q367" i="5" s="1"/>
  <c r="Q368" i="5" a="1"/>
  <c r="Q368" i="5" s="1"/>
  <c r="Q369" i="5" a="1"/>
  <c r="Q369" i="5"/>
  <c r="Q370" i="5" a="1"/>
  <c r="Q370" i="5"/>
  <c r="Q371" i="5" a="1"/>
  <c r="Q371" i="5" s="1"/>
  <c r="Q372" i="5" a="1"/>
  <c r="Q372" i="5" s="1"/>
  <c r="Q373" i="5" a="1"/>
  <c r="Q373" i="5"/>
  <c r="Q374" i="5" a="1"/>
  <c r="Q374" i="5"/>
  <c r="Q375" i="5" a="1"/>
  <c r="Q375" i="5" s="1"/>
  <c r="Q376" i="5" a="1"/>
  <c r="Q376" i="5" s="1"/>
  <c r="Q377" i="5" a="1"/>
  <c r="Q377" i="5" s="1"/>
  <c r="Q378" i="5" a="1"/>
  <c r="Q378" i="5"/>
  <c r="Q379" i="5" a="1"/>
  <c r="Q379" i="5" s="1"/>
  <c r="Q380" i="5" a="1"/>
  <c r="Q380" i="5" s="1"/>
  <c r="Q381" i="5" a="1"/>
  <c r="Q381" i="5" s="1"/>
  <c r="Q382" i="5" a="1"/>
  <c r="Q382" i="5"/>
  <c r="Q383" i="5" a="1"/>
  <c r="Q383" i="5" s="1"/>
  <c r="Q384" i="5" a="1"/>
  <c r="Q384" i="5" s="1"/>
  <c r="Q385" i="5" a="1"/>
  <c r="Q385" i="5"/>
  <c r="Q386" i="5" a="1"/>
  <c r="Q386" i="5"/>
  <c r="Q387" i="5" a="1"/>
  <c r="Q387" i="5" s="1"/>
  <c r="Q388" i="5" a="1"/>
  <c r="Q388" i="5" s="1"/>
  <c r="Q389" i="5" a="1"/>
  <c r="Q389" i="5"/>
  <c r="Q390" i="5" a="1"/>
  <c r="Q390" i="5"/>
  <c r="Q391" i="5" a="1"/>
  <c r="Q391" i="5" s="1"/>
  <c r="Q392" i="5" a="1"/>
  <c r="Q392" i="5" s="1"/>
  <c r="Q393" i="5" a="1"/>
  <c r="Q393" i="5" s="1"/>
  <c r="Q394" i="5" a="1"/>
  <c r="Q394" i="5"/>
  <c r="Q395" i="5" a="1"/>
  <c r="Q395" i="5" s="1"/>
  <c r="Q396" i="5" a="1"/>
  <c r="Q396" i="5" s="1"/>
  <c r="Q397" i="5" a="1"/>
  <c r="Q397" i="5" s="1"/>
  <c r="Q398" i="5" a="1"/>
  <c r="Q398" i="5" s="1"/>
  <c r="Q399" i="5" a="1"/>
  <c r="Q399" i="5" s="1"/>
  <c r="Q400" i="5" a="1"/>
  <c r="Q400" i="5" s="1"/>
  <c r="Q401" i="5" a="1"/>
  <c r="Q401" i="5"/>
  <c r="Q402" i="5" a="1"/>
  <c r="Q402" i="5" s="1"/>
  <c r="Q403" i="5" a="1"/>
  <c r="Q403" i="5" s="1"/>
  <c r="Q404" i="5" a="1"/>
  <c r="Q404" i="5" s="1"/>
  <c r="Q405" i="5" a="1"/>
  <c r="Q405" i="5"/>
  <c r="Q406" i="5" a="1"/>
  <c r="Q406" i="5"/>
  <c r="Q407" i="5" a="1"/>
  <c r="Q407" i="5" s="1"/>
  <c r="Q408" i="5" a="1"/>
  <c r="Q408" i="5" s="1"/>
  <c r="Q409" i="5" a="1"/>
  <c r="Q409" i="5" s="1"/>
  <c r="Q410" i="5" a="1"/>
  <c r="Q410" i="5"/>
  <c r="Q411" i="5" a="1"/>
  <c r="Q411" i="5" s="1"/>
  <c r="Q412" i="5" a="1"/>
  <c r="Q412" i="5" s="1"/>
  <c r="Q413" i="5" a="1"/>
  <c r="Q413" i="5" s="1"/>
  <c r="Q414" i="5" a="1"/>
  <c r="Q414" i="5" s="1"/>
  <c r="Q415" i="5" a="1"/>
  <c r="Q415" i="5" s="1"/>
  <c r="Q416" i="5" a="1"/>
  <c r="Q416" i="5" s="1"/>
  <c r="Q417" i="5" a="1"/>
  <c r="Q417" i="5"/>
  <c r="Q418" i="5" a="1"/>
  <c r="Q418" i="5" s="1"/>
  <c r="Q419" i="5" a="1"/>
  <c r="Q419" i="5" s="1"/>
  <c r="Q420" i="5" a="1"/>
  <c r="Q420" i="5" s="1"/>
  <c r="Q421" i="5" a="1"/>
  <c r="Q421" i="5"/>
  <c r="Q422" i="5" a="1"/>
  <c r="Q422" i="5"/>
  <c r="Q423" i="5" a="1"/>
  <c r="Q423" i="5" s="1"/>
  <c r="Q424" i="5" a="1"/>
  <c r="Q424" i="5" s="1"/>
  <c r="Q425" i="5" a="1"/>
  <c r="Q425" i="5" s="1"/>
  <c r="Q426" i="5" a="1"/>
  <c r="Q426" i="5"/>
  <c r="Q427" i="5" a="1"/>
  <c r="Q427" i="5" s="1"/>
  <c r="Q428" i="5" a="1"/>
  <c r="Q428" i="5" s="1"/>
  <c r="Q429" i="5" a="1"/>
  <c r="Q429" i="5" s="1"/>
  <c r="Q430" i="5" a="1"/>
  <c r="Q430" i="5" s="1"/>
  <c r="Q431" i="5" a="1"/>
  <c r="Q431" i="5" s="1"/>
  <c r="Q432" i="5" a="1"/>
  <c r="Q432" i="5" s="1"/>
  <c r="Q433" i="5" a="1"/>
  <c r="Q433" i="5"/>
  <c r="Q434" i="5" a="1"/>
  <c r="Q434" i="5" s="1"/>
  <c r="Q435" i="5" a="1"/>
  <c r="Q435" i="5" s="1"/>
  <c r="Q436" i="5" a="1"/>
  <c r="Q436" i="5" s="1"/>
  <c r="Q437" i="5" a="1"/>
  <c r="Q437" i="5"/>
  <c r="Q438" i="5" a="1"/>
  <c r="Q438" i="5"/>
  <c r="Q439" i="5" a="1"/>
  <c r="Q439" i="5" s="1"/>
  <c r="Q440" i="5" a="1"/>
  <c r="Q440" i="5" s="1"/>
  <c r="Q441" i="5" a="1"/>
  <c r="Q441" i="5" s="1"/>
  <c r="Q442" i="5" a="1"/>
  <c r="Q442" i="5"/>
  <c r="Q443" i="5" a="1"/>
  <c r="Q443" i="5" s="1"/>
  <c r="Q444" i="5" a="1"/>
  <c r="Q444" i="5" s="1"/>
  <c r="Q445" i="5" a="1"/>
  <c r="Q445" i="5" s="1"/>
  <c r="Q446" i="5" a="1"/>
  <c r="Q446" i="5" s="1"/>
  <c r="Q447" i="5" a="1"/>
  <c r="Q447" i="5" s="1"/>
  <c r="Q448" i="5" a="1"/>
  <c r="Q448" i="5" s="1"/>
  <c r="Q449" i="5" a="1"/>
  <c r="Q449" i="5"/>
  <c r="Q450" i="5" a="1"/>
  <c r="Q450" i="5" s="1"/>
  <c r="Q451" i="5" a="1"/>
  <c r="Q451" i="5" s="1"/>
  <c r="Q452" i="5" a="1"/>
  <c r="Q452" i="5" s="1"/>
  <c r="Q453" i="5" a="1"/>
  <c r="Q453" i="5"/>
  <c r="Q454" i="5" a="1"/>
  <c r="Q454" i="5"/>
  <c r="Q455" i="5" a="1"/>
  <c r="Q455" i="5" s="1"/>
  <c r="Q456" i="5" a="1"/>
  <c r="Q456" i="5" s="1"/>
  <c r="Q457" i="5" a="1"/>
  <c r="Q457" i="5" s="1"/>
  <c r="Q458" i="5" a="1"/>
  <c r="Q458" i="5"/>
  <c r="Q459" i="5" a="1"/>
  <c r="Q459" i="5" s="1"/>
  <c r="Q460" i="5" a="1"/>
  <c r="Q460" i="5" s="1"/>
  <c r="Q461" i="5" a="1"/>
  <c r="Q461" i="5" s="1"/>
  <c r="Q462" i="5" a="1"/>
  <c r="Q462" i="5" s="1"/>
  <c r="Q463" i="5" a="1"/>
  <c r="Q463" i="5" s="1"/>
  <c r="Q464" i="5" a="1"/>
  <c r="Q464" i="5" s="1"/>
  <c r="Q465" i="5" a="1"/>
  <c r="Q465" i="5"/>
  <c r="Q466" i="5" a="1"/>
  <c r="Q466" i="5" s="1"/>
  <c r="Q467" i="5" a="1"/>
  <c r="Q467" i="5" s="1"/>
  <c r="Q468" i="5" a="1"/>
  <c r="Q468" i="5" s="1"/>
  <c r="Q469" i="5" a="1"/>
  <c r="Q469" i="5"/>
  <c r="Q470" i="5" a="1"/>
  <c r="Q470" i="5"/>
  <c r="Q471" i="5" a="1"/>
  <c r="Q471" i="5" s="1"/>
  <c r="Q472" i="5" a="1"/>
  <c r="Q472" i="5" s="1"/>
  <c r="Q473" i="5" a="1"/>
  <c r="Q473" i="5" s="1"/>
  <c r="Q474" i="5" a="1"/>
  <c r="Q474" i="5"/>
  <c r="Q475" i="5" a="1"/>
  <c r="Q475" i="5" s="1"/>
  <c r="Q476" i="5" a="1"/>
  <c r="Q476" i="5" s="1"/>
  <c r="Q477" i="5" a="1"/>
  <c r="Q477" i="5" s="1"/>
  <c r="Q478" i="5" a="1"/>
  <c r="Q478" i="5" s="1"/>
  <c r="Q479" i="5" a="1"/>
  <c r="Q479" i="5" s="1"/>
  <c r="Q480" i="5" a="1"/>
  <c r="Q480" i="5" s="1"/>
  <c r="Q481" i="5" a="1"/>
  <c r="Q481" i="5"/>
  <c r="Q482" i="5" a="1"/>
  <c r="Q482" i="5" s="1"/>
  <c r="Q483" i="5" a="1"/>
  <c r="Q483" i="5" s="1"/>
  <c r="Q484" i="5" a="1"/>
  <c r="Q484" i="5" s="1"/>
  <c r="Q485" i="5" a="1"/>
  <c r="Q485" i="5"/>
  <c r="Q486" i="5" a="1"/>
  <c r="Q486" i="5"/>
  <c r="Q487" i="5" a="1"/>
  <c r="Q487" i="5" s="1"/>
  <c r="Q488" i="5" a="1"/>
  <c r="Q488" i="5" s="1"/>
  <c r="Q489" i="5" a="1"/>
  <c r="Q489" i="5" s="1"/>
  <c r="Q490" i="5" a="1"/>
  <c r="Q490" i="5"/>
  <c r="Q491" i="5" a="1"/>
  <c r="Q491" i="5" s="1"/>
  <c r="Q492" i="5" a="1"/>
  <c r="Q492" i="5" s="1"/>
  <c r="Q493" i="5" a="1"/>
  <c r="Q493" i="5" s="1"/>
  <c r="Q494" i="5" a="1"/>
  <c r="Q494" i="5" s="1"/>
  <c r="Q495" i="5" a="1"/>
  <c r="Q495" i="5" s="1"/>
  <c r="Q496" i="5" a="1"/>
  <c r="Q496" i="5" s="1"/>
  <c r="Q497" i="5" a="1"/>
  <c r="Q497" i="5"/>
  <c r="Q498" i="5" a="1"/>
  <c r="Q498" i="5" s="1"/>
  <c r="Q499" i="5" a="1"/>
  <c r="Q499" i="5" s="1"/>
  <c r="Q500" i="5" a="1"/>
  <c r="Q500" i="5" s="1"/>
  <c r="Q501" i="5" a="1"/>
  <c r="Q501" i="5"/>
  <c r="Q502" i="5" a="1"/>
  <c r="Q502" i="5"/>
  <c r="Q503" i="5" a="1"/>
  <c r="Q503" i="5" s="1"/>
  <c r="Q504" i="5" a="1"/>
  <c r="Q504" i="5" s="1"/>
  <c r="Q505" i="5" a="1"/>
  <c r="Q505" i="5" s="1"/>
  <c r="Q506" i="5" a="1"/>
  <c r="Q506" i="5"/>
  <c r="Q507" i="5" a="1"/>
  <c r="Q507" i="5" s="1"/>
  <c r="Q508" i="5" a="1"/>
  <c r="Q508" i="5" s="1"/>
  <c r="Q509" i="5" a="1"/>
  <c r="Q509" i="5" s="1"/>
  <c r="Q510" i="5" a="1"/>
  <c r="Q510" i="5" s="1"/>
  <c r="Q511" i="5" a="1"/>
  <c r="Q511" i="5" s="1"/>
  <c r="Q512" i="5" a="1"/>
  <c r="Q512" i="5" s="1"/>
  <c r="Q513" i="5" a="1"/>
  <c r="Q513" i="5"/>
  <c r="Q514" i="5" a="1"/>
  <c r="Q514" i="5" s="1"/>
  <c r="Q515" i="5" a="1"/>
  <c r="Q515" i="5" s="1"/>
  <c r="Q516" i="5" a="1"/>
  <c r="Q516" i="5" s="1"/>
  <c r="Q517" i="5" a="1"/>
  <c r="Q517" i="5"/>
  <c r="Q518" i="5" a="1"/>
  <c r="Q518" i="5"/>
  <c r="Q519" i="5" a="1"/>
  <c r="Q519" i="5" s="1"/>
  <c r="Q520" i="5" a="1"/>
  <c r="Q520" i="5" s="1"/>
  <c r="Q521" i="5" a="1"/>
  <c r="Q521" i="5" s="1"/>
  <c r="Q522" i="5" a="1"/>
  <c r="Q522" i="5"/>
  <c r="Q523" i="5" a="1"/>
  <c r="Q523" i="5" s="1"/>
  <c r="Q524" i="5" a="1"/>
  <c r="Q524" i="5" s="1"/>
  <c r="Q525" i="5" a="1"/>
  <c r="Q525" i="5" s="1"/>
  <c r="Q526" i="5" a="1"/>
  <c r="Q526" i="5" s="1"/>
  <c r="Q527" i="5" a="1"/>
  <c r="Q527" i="5" s="1"/>
  <c r="Q528" i="5" a="1"/>
  <c r="Q528" i="5" s="1"/>
  <c r="Q529" i="5" a="1"/>
  <c r="Q529" i="5"/>
  <c r="Q530" i="5" a="1"/>
  <c r="Q530" i="5" s="1"/>
  <c r="Q531" i="5" a="1"/>
  <c r="Q531" i="5" s="1"/>
  <c r="Q532" i="5" a="1"/>
  <c r="Q532" i="5" s="1"/>
  <c r="Q533" i="5" a="1"/>
  <c r="Q533" i="5"/>
  <c r="Q534" i="5" a="1"/>
  <c r="Q534" i="5"/>
  <c r="Q535" i="5" a="1"/>
  <c r="Q535" i="5" s="1"/>
  <c r="Q536" i="5" a="1"/>
  <c r="Q536" i="5" s="1"/>
  <c r="Q537" i="5" a="1"/>
  <c r="Q537" i="5" s="1"/>
  <c r="Q538" i="5" a="1"/>
  <c r="Q538" i="5"/>
  <c r="Q539" i="5" a="1"/>
  <c r="Q539" i="5" s="1"/>
  <c r="Q540" i="5" a="1"/>
  <c r="Q540" i="5" s="1"/>
  <c r="Q541" i="5" a="1"/>
  <c r="Q541" i="5" s="1"/>
  <c r="Q542" i="5" a="1"/>
  <c r="Q542" i="5" s="1"/>
  <c r="Q543" i="5" a="1"/>
  <c r="Q543" i="5" s="1"/>
  <c r="Q544" i="5" a="1"/>
  <c r="Q544" i="5" s="1"/>
  <c r="Q545" i="5" a="1"/>
  <c r="Q545" i="5"/>
  <c r="Q546" i="5" a="1"/>
  <c r="Q546" i="5" s="1"/>
  <c r="Q547" i="5" a="1"/>
  <c r="Q547" i="5" s="1"/>
  <c r="Q548" i="5" a="1"/>
  <c r="Q548" i="5" s="1"/>
  <c r="Q549" i="5" a="1"/>
  <c r="Q549" i="5"/>
  <c r="Q550" i="5" a="1"/>
  <c r="Q550" i="5"/>
  <c r="Q551" i="5" a="1"/>
  <c r="Q551" i="5" s="1"/>
  <c r="Q552" i="5" a="1"/>
  <c r="Q552" i="5" s="1"/>
  <c r="Q553" i="5" a="1"/>
  <c r="Q553" i="5" s="1"/>
  <c r="Q554" i="5" a="1"/>
  <c r="Q554" i="5"/>
  <c r="Q555" i="5" a="1"/>
  <c r="Q555" i="5" s="1"/>
  <c r="Q556" i="5" a="1"/>
  <c r="Q556" i="5" s="1"/>
  <c r="Q557" i="5" a="1"/>
  <c r="Q557" i="5" s="1"/>
  <c r="Q558" i="5" a="1"/>
  <c r="Q558" i="5" s="1"/>
  <c r="Q559" i="5" a="1"/>
  <c r="Q559" i="5" s="1"/>
  <c r="Q560" i="5" a="1"/>
  <c r="Q560" i="5" s="1"/>
  <c r="Q561" i="5" a="1"/>
  <c r="Q561" i="5" s="1"/>
  <c r="Q562" i="5" a="1"/>
  <c r="Q562" i="5" s="1"/>
  <c r="Q563" i="5" a="1"/>
  <c r="Q563" i="5" s="1"/>
  <c r="Q564" i="5" a="1"/>
  <c r="Q564" i="5" s="1"/>
  <c r="Q565" i="5" a="1"/>
  <c r="Q565" i="5" s="1"/>
  <c r="Q566" i="5" a="1"/>
  <c r="Q566" i="5"/>
  <c r="Q567" i="5" a="1"/>
  <c r="Q567" i="5" s="1"/>
  <c r="Q568" i="5" a="1"/>
  <c r="Q568" i="5" s="1"/>
  <c r="Q569" i="5" a="1"/>
  <c r="Q569" i="5" s="1"/>
  <c r="Q570" i="5" a="1"/>
  <c r="Q570" i="5"/>
  <c r="Q571" i="5" a="1"/>
  <c r="Q571" i="5" s="1"/>
  <c r="Q572" i="5" a="1"/>
  <c r="Q572" i="5" s="1"/>
  <c r="Q573" i="5" a="1"/>
  <c r="Q573" i="5" s="1"/>
  <c r="Q574" i="5" a="1"/>
  <c r="Q574" i="5" s="1"/>
  <c r="Q575" i="5" a="1"/>
  <c r="Q575" i="5" s="1"/>
  <c r="Q576" i="5" a="1"/>
  <c r="Q576" i="5" s="1"/>
  <c r="Q577" i="5" a="1"/>
  <c r="Q577" i="5" s="1"/>
  <c r="Q578" i="5" a="1"/>
  <c r="Q578" i="5" s="1"/>
  <c r="Q579" i="5" a="1"/>
  <c r="Q579" i="5" s="1"/>
  <c r="Q580" i="5" a="1"/>
  <c r="Q580" i="5" s="1"/>
  <c r="Q581" i="5" a="1"/>
  <c r="Q581" i="5"/>
  <c r="Q582" i="5" a="1"/>
  <c r="Q582" i="5" s="1"/>
  <c r="Q583" i="5" a="1"/>
  <c r="Q583" i="5" s="1"/>
  <c r="Q584" i="5" a="1"/>
  <c r="Q584" i="5" s="1"/>
  <c r="Q585" i="5" a="1"/>
  <c r="Q585" i="5" s="1"/>
  <c r="Q586" i="5" a="1"/>
  <c r="Q586" i="5" s="1"/>
  <c r="Q587" i="5" a="1"/>
  <c r="Q587" i="5" s="1"/>
  <c r="Q588" i="5" a="1"/>
  <c r="Q588" i="5" s="1"/>
  <c r="Q589" i="5" a="1"/>
  <c r="Q589" i="5" s="1"/>
  <c r="Q590" i="5" a="1"/>
  <c r="Q590" i="5" s="1"/>
  <c r="Q591" i="5" a="1"/>
  <c r="Q591" i="5" s="1"/>
  <c r="Q592" i="5" a="1"/>
  <c r="Q592" i="5" s="1"/>
  <c r="Q593" i="5" a="1"/>
  <c r="Q593" i="5" s="1"/>
  <c r="Q594" i="5" a="1"/>
  <c r="Q594" i="5" s="1"/>
  <c r="Q595" i="5" a="1"/>
  <c r="Q595" i="5" s="1"/>
  <c r="Q596" i="5" a="1"/>
  <c r="Q596" i="5" s="1"/>
  <c r="Q597" i="5" a="1"/>
  <c r="Q597" i="5" s="1"/>
  <c r="Q598" i="5" a="1"/>
  <c r="Q598" i="5"/>
  <c r="Q599" i="5" a="1"/>
  <c r="Q599" i="5" s="1"/>
  <c r="Q600" i="5" a="1"/>
  <c r="Q600" i="5" s="1"/>
  <c r="Q601" i="5" a="1"/>
  <c r="Q601" i="5" s="1"/>
  <c r="Q602" i="5" a="1"/>
  <c r="Q602" i="5"/>
  <c r="Q603" i="5" a="1"/>
  <c r="Q603" i="5" s="1"/>
  <c r="Q604" i="5" a="1"/>
  <c r="Q604" i="5" s="1"/>
  <c r="Q605" i="5" a="1"/>
  <c r="Q605" i="5" s="1"/>
  <c r="Q606" i="5" a="1"/>
  <c r="Q606" i="5" s="1"/>
  <c r="Q607" i="5" a="1"/>
  <c r="Q607" i="5" s="1"/>
  <c r="Q608" i="5" a="1"/>
  <c r="Q608" i="5" s="1"/>
  <c r="Q609" i="5" a="1"/>
  <c r="Q609" i="5" s="1"/>
  <c r="Q610" i="5" a="1"/>
  <c r="Q610" i="5" s="1"/>
  <c r="Q611" i="5" a="1"/>
  <c r="Q611" i="5" s="1"/>
  <c r="Q612" i="5" a="1"/>
  <c r="Q612" i="5" s="1"/>
  <c r="Q613" i="5" a="1"/>
  <c r="Q613" i="5"/>
  <c r="Q614" i="5" a="1"/>
  <c r="Q614" i="5" s="1"/>
  <c r="Q615" i="5" a="1"/>
  <c r="Q615" i="5" s="1"/>
  <c r="Q616" i="5" a="1"/>
  <c r="Q616" i="5" s="1"/>
  <c r="Q617" i="5" a="1"/>
  <c r="Q617" i="5" s="1"/>
  <c r="Q618" i="5" a="1"/>
  <c r="Q618" i="5" s="1"/>
  <c r="Q619" i="5" a="1"/>
  <c r="Q619" i="5" s="1"/>
  <c r="Q620" i="5" a="1"/>
  <c r="Q620" i="5" s="1"/>
  <c r="Q621" i="5" a="1"/>
  <c r="Q621" i="5" s="1"/>
  <c r="Q622" i="5" a="1"/>
  <c r="Q622" i="5" s="1"/>
  <c r="Q623" i="5" a="1"/>
  <c r="Q623" i="5" s="1"/>
  <c r="Q624" i="5" a="1"/>
  <c r="Q624" i="5" s="1"/>
  <c r="Q625" i="5" a="1"/>
  <c r="Q625" i="5" s="1"/>
  <c r="Q626" i="5" a="1"/>
  <c r="Q626" i="5" s="1"/>
  <c r="Q627" i="5" a="1"/>
  <c r="Q627" i="5" s="1"/>
  <c r="Q628" i="5" a="1"/>
  <c r="Q628" i="5" s="1"/>
  <c r="Q629" i="5" a="1"/>
  <c r="Q629" i="5" s="1"/>
  <c r="Q630" i="5" a="1"/>
  <c r="Q630" i="5"/>
  <c r="Q631" i="5" a="1"/>
  <c r="Q631" i="5" s="1"/>
  <c r="Q632" i="5" a="1"/>
  <c r="Q632" i="5" s="1"/>
  <c r="Q633" i="5" a="1"/>
  <c r="Q633" i="5" s="1"/>
  <c r="Q634" i="5" a="1"/>
  <c r="Q634" i="5" s="1"/>
  <c r="Q635" i="5" a="1"/>
  <c r="Q635" i="5" s="1"/>
  <c r="Q636" i="5" a="1"/>
  <c r="Q636" i="5" s="1"/>
  <c r="Q637" i="5" a="1"/>
  <c r="Q637" i="5" s="1"/>
  <c r="Q638" i="5" a="1"/>
  <c r="Q638" i="5" s="1"/>
  <c r="Q639" i="5" a="1"/>
  <c r="Q639" i="5" s="1"/>
  <c r="Q640" i="5" a="1"/>
  <c r="Q640" i="5" s="1"/>
  <c r="Q641" i="5" a="1"/>
  <c r="Q641" i="5" s="1"/>
  <c r="Q642" i="5" a="1"/>
  <c r="Q642" i="5" s="1"/>
  <c r="Q643" i="5" a="1"/>
  <c r="Q643" i="5" s="1"/>
  <c r="Q644" i="5" a="1"/>
  <c r="Q644" i="5" s="1"/>
  <c r="Q645" i="5" a="1"/>
  <c r="Q645" i="5"/>
  <c r="Q646" i="5" a="1"/>
  <c r="Q646" i="5" s="1"/>
  <c r="Q647" i="5" a="1"/>
  <c r="Q647" i="5" s="1"/>
  <c r="Q648" i="5" a="1"/>
  <c r="Q648" i="5" s="1"/>
  <c r="Q649" i="5" a="1"/>
  <c r="Q649" i="5" s="1"/>
  <c r="Q650" i="5" a="1"/>
  <c r="Q650" i="5" s="1"/>
  <c r="Q651" i="5" a="1"/>
  <c r="Q651" i="5" s="1"/>
  <c r="Q652" i="5" a="1"/>
  <c r="Q652" i="5" s="1"/>
  <c r="Q653" i="5" a="1"/>
  <c r="Q653" i="5" s="1"/>
  <c r="Q654" i="5" a="1"/>
  <c r="Q654" i="5" s="1"/>
  <c r="Q655" i="5" a="1"/>
  <c r="Q655" i="5" s="1"/>
  <c r="Q656" i="5" a="1"/>
  <c r="Q656" i="5"/>
  <c r="Q657" i="5" a="1"/>
  <c r="Q657" i="5"/>
  <c r="Q658" i="5" a="1"/>
  <c r="Q658" i="5"/>
  <c r="Q659" i="5" a="1"/>
  <c r="Q659" i="5" s="1"/>
  <c r="Q660" i="5" a="1"/>
  <c r="Q660" i="5"/>
  <c r="Q661" i="5" a="1"/>
  <c r="Q661" i="5" s="1"/>
  <c r="Q662" i="5" a="1"/>
  <c r="Q662" i="5" s="1"/>
  <c r="Q663" i="5" a="1"/>
  <c r="Q663" i="5" s="1"/>
  <c r="Q664" i="5" a="1"/>
  <c r="Q664" i="5" s="1"/>
  <c r="Q665" i="5" a="1"/>
  <c r="Q665" i="5"/>
  <c r="Q666" i="5" a="1"/>
  <c r="Q666" i="5" s="1"/>
  <c r="Q667" i="5" a="1"/>
  <c r="Q667" i="5" s="1"/>
  <c r="Q668" i="5" a="1"/>
  <c r="Q668" i="5" s="1"/>
  <c r="Q669" i="5" a="1"/>
  <c r="Q669" i="5" s="1"/>
  <c r="Q670" i="5" a="1"/>
  <c r="Q670" i="5" s="1"/>
  <c r="Q671" i="5" a="1"/>
  <c r="Q671" i="5" s="1"/>
  <c r="Q672" i="5" a="1"/>
  <c r="Q672" i="5" s="1"/>
  <c r="Q673" i="5" a="1"/>
  <c r="Q673" i="5" s="1"/>
  <c r="Q674" i="5" a="1"/>
  <c r="Q674" i="5" s="1"/>
  <c r="Q675" i="5" a="1"/>
  <c r="Q675" i="5" s="1"/>
  <c r="Q676" i="5" a="1"/>
  <c r="Q676" i="5"/>
  <c r="Q677" i="5" a="1"/>
  <c r="Q677" i="5" s="1"/>
  <c r="Q678" i="5" a="1"/>
  <c r="Q678" i="5" s="1"/>
  <c r="Q679" i="5" a="1"/>
  <c r="Q679" i="5" s="1"/>
  <c r="Q680" i="5" a="1"/>
  <c r="Q680" i="5" s="1"/>
  <c r="Q681" i="5" a="1"/>
  <c r="Q681" i="5"/>
  <c r="Q682" i="5" a="1"/>
  <c r="Q682" i="5" s="1"/>
  <c r="Q683" i="5" a="1"/>
  <c r="Q683" i="5" s="1"/>
  <c r="Q684" i="5" a="1"/>
  <c r="Q684" i="5" s="1"/>
  <c r="Q685" i="5" a="1"/>
  <c r="Q685" i="5" s="1"/>
  <c r="Q686" i="5" a="1"/>
  <c r="Q686" i="5" s="1"/>
  <c r="Q687" i="5" a="1"/>
  <c r="Q687" i="5" s="1"/>
  <c r="Q688" i="5" a="1"/>
  <c r="Q688" i="5" s="1"/>
  <c r="Q689" i="5" a="1"/>
  <c r="Q689" i="5" s="1"/>
  <c r="Q690" i="5" a="1"/>
  <c r="Q690" i="5" s="1"/>
  <c r="Q691" i="5" a="1"/>
  <c r="Q691" i="5" s="1"/>
  <c r="Q692" i="5" a="1"/>
  <c r="Q692" i="5"/>
  <c r="Q693" i="5" a="1"/>
  <c r="Q693" i="5" s="1"/>
  <c r="Q694" i="5" a="1"/>
  <c r="Q694" i="5" s="1"/>
  <c r="Q695" i="5" a="1"/>
  <c r="Q695" i="5" s="1"/>
  <c r="Q696" i="5" a="1"/>
  <c r="Q696" i="5" s="1"/>
  <c r="Q697" i="5" a="1"/>
  <c r="Q697" i="5"/>
  <c r="Q698" i="5" a="1"/>
  <c r="Q698" i="5" s="1"/>
  <c r="Q699" i="5" a="1"/>
  <c r="Q699" i="5" s="1"/>
  <c r="Q700" i="5" a="1"/>
  <c r="Q700" i="5" s="1"/>
  <c r="Q701" i="5" a="1"/>
  <c r="Q701" i="5" s="1"/>
  <c r="Q702" i="5" a="1"/>
  <c r="Q702" i="5" s="1"/>
  <c r="Q703" i="5" a="1"/>
  <c r="Q703" i="5" s="1"/>
  <c r="Q704" i="5" a="1"/>
  <c r="Q704" i="5" s="1"/>
  <c r="Q705" i="5" a="1"/>
  <c r="Q705" i="5" s="1"/>
  <c r="Q706" i="5" a="1"/>
  <c r="Q706" i="5" s="1"/>
  <c r="Q707" i="5" a="1"/>
  <c r="Q707" i="5" s="1"/>
  <c r="Q708" i="5" a="1"/>
  <c r="Q708" i="5"/>
  <c r="Q709" i="5" a="1"/>
  <c r="Q709" i="5" s="1"/>
  <c r="Q710" i="5" a="1"/>
  <c r="Q710" i="5" s="1"/>
  <c r="Q711" i="5" a="1"/>
  <c r="Q711" i="5" s="1"/>
  <c r="Q712" i="5" a="1"/>
  <c r="Q712" i="5" s="1"/>
  <c r="Q713" i="5" a="1"/>
  <c r="Q713" i="5"/>
  <c r="Q714" i="5" a="1"/>
  <c r="Q714" i="5" s="1"/>
  <c r="Q715" i="5" a="1"/>
  <c r="Q715" i="5" s="1"/>
  <c r="Q716" i="5" a="1"/>
  <c r="Q716" i="5" s="1"/>
  <c r="Q717" i="5" a="1"/>
  <c r="Q717" i="5" s="1"/>
  <c r="Q718" i="5" a="1"/>
  <c r="Q718" i="5" s="1"/>
  <c r="Q719" i="5" a="1"/>
  <c r="Q719" i="5" s="1"/>
  <c r="Q720" i="5" a="1"/>
  <c r="Q720" i="5" s="1"/>
  <c r="Q721" i="5" a="1"/>
  <c r="Q721" i="5" s="1"/>
  <c r="Q722" i="5" a="1"/>
  <c r="Q722" i="5" s="1"/>
  <c r="Q723" i="5" a="1"/>
  <c r="Q723" i="5" s="1"/>
  <c r="Q724" i="5" a="1"/>
  <c r="Q724" i="5"/>
  <c r="Q725" i="5" a="1"/>
  <c r="Q725" i="5" s="1"/>
  <c r="Q726" i="5" a="1"/>
  <c r="Q726" i="5" s="1"/>
  <c r="Q727" i="5" a="1"/>
  <c r="Q727" i="5" s="1"/>
  <c r="Q728" i="5" a="1"/>
  <c r="Q728" i="5" s="1"/>
  <c r="Q729" i="5" a="1"/>
  <c r="Q729" i="5"/>
  <c r="Q730" i="5" a="1"/>
  <c r="Q730" i="5" s="1"/>
  <c r="Q731" i="5" a="1"/>
  <c r="Q731" i="5" s="1"/>
  <c r="Q732" i="5" a="1"/>
  <c r="Q732" i="5" s="1"/>
  <c r="Q733" i="5" a="1"/>
  <c r="Q733" i="5" s="1"/>
  <c r="Q734" i="5" a="1"/>
  <c r="Q734" i="5" s="1"/>
  <c r="Q735" i="5" a="1"/>
  <c r="Q735" i="5" s="1"/>
  <c r="Q736" i="5" a="1"/>
  <c r="Q736" i="5" s="1"/>
  <c r="Q737" i="5" a="1"/>
  <c r="Q737" i="5" s="1"/>
  <c r="Q738" i="5" a="1"/>
  <c r="Q738" i="5" s="1"/>
  <c r="Q739" i="5" a="1"/>
  <c r="Q739" i="5" s="1"/>
  <c r="Q740" i="5" a="1"/>
  <c r="Q740" i="5"/>
  <c r="Q741" i="5" a="1"/>
  <c r="Q741" i="5" s="1"/>
  <c r="Q742" i="5" a="1"/>
  <c r="Q742" i="5" s="1"/>
  <c r="Q743" i="5" a="1"/>
  <c r="Q743" i="5" s="1"/>
  <c r="Q744" i="5" a="1"/>
  <c r="Q744" i="5" s="1"/>
  <c r="Q745" i="5" a="1"/>
  <c r="Q745" i="5"/>
  <c r="Q746" i="5" a="1"/>
  <c r="Q746" i="5" s="1"/>
  <c r="Q747" i="5" a="1"/>
  <c r="Q747" i="5" s="1"/>
  <c r="Q748" i="5" a="1"/>
  <c r="Q748" i="5" s="1"/>
  <c r="Q749" i="5" a="1"/>
  <c r="Q749" i="5" s="1"/>
  <c r="Q750" i="5" a="1"/>
  <c r="Q750" i="5" s="1"/>
  <c r="Q751" i="5" a="1"/>
  <c r="Q751" i="5" s="1"/>
  <c r="Q752" i="5" a="1"/>
  <c r="Q752" i="5" s="1"/>
  <c r="Q753" i="5" a="1"/>
  <c r="Q753" i="5" s="1"/>
  <c r="Q754" i="5" a="1"/>
  <c r="Q754" i="5" s="1"/>
  <c r="Q755" i="5" a="1"/>
  <c r="Q755" i="5" s="1"/>
  <c r="Q756" i="5" a="1"/>
  <c r="Q756" i="5"/>
  <c r="Q757" i="5" a="1"/>
  <c r="Q757" i="5" s="1"/>
  <c r="Q758" i="5" a="1"/>
  <c r="Q758" i="5" s="1"/>
  <c r="Q759" i="5" a="1"/>
  <c r="Q759" i="5" s="1"/>
  <c r="Q760" i="5" a="1"/>
  <c r="Q760" i="5" s="1"/>
  <c r="Q761" i="5" a="1"/>
  <c r="Q761" i="5"/>
  <c r="Q762" i="5" a="1"/>
  <c r="Q762" i="5" s="1"/>
  <c r="Q763" i="5" a="1"/>
  <c r="Q763" i="5" s="1"/>
  <c r="Q764" i="5" a="1"/>
  <c r="Q764" i="5" s="1"/>
  <c r="Q765" i="5" a="1"/>
  <c r="Q765" i="5" s="1"/>
  <c r="Q766" i="5" a="1"/>
  <c r="Q766" i="5" s="1"/>
  <c r="Q767" i="5" a="1"/>
  <c r="Q767" i="5" s="1"/>
  <c r="Q768" i="5" a="1"/>
  <c r="Q768" i="5" s="1"/>
  <c r="Q769" i="5" a="1"/>
  <c r="Q769" i="5" s="1"/>
  <c r="Q770" i="5" a="1"/>
  <c r="Q770" i="5" s="1"/>
  <c r="Q771" i="5" a="1"/>
  <c r="Q771" i="5" s="1"/>
  <c r="Q772" i="5" a="1"/>
  <c r="Q772" i="5"/>
  <c r="Q773" i="5" a="1"/>
  <c r="Q773" i="5" s="1"/>
  <c r="Q774" i="5" a="1"/>
  <c r="Q774" i="5" s="1"/>
  <c r="Q775" i="5" a="1"/>
  <c r="Q775" i="5" s="1"/>
  <c r="Q776" i="5" a="1"/>
  <c r="Q776" i="5" s="1"/>
  <c r="Q777" i="5" a="1"/>
  <c r="Q777" i="5"/>
  <c r="Q778" i="5" a="1"/>
  <c r="Q778" i="5" s="1"/>
  <c r="Q779" i="5" a="1"/>
  <c r="Q779" i="5" s="1"/>
  <c r="Q780" i="5" a="1"/>
  <c r="Q780" i="5" s="1"/>
  <c r="Q781" i="5" a="1"/>
  <c r="Q781" i="5" s="1"/>
  <c r="Q782" i="5" a="1"/>
  <c r="Q782" i="5" s="1"/>
  <c r="Q783" i="5" a="1"/>
  <c r="Q783" i="5" s="1"/>
  <c r="Q784" i="5" a="1"/>
  <c r="Q784" i="5" s="1"/>
  <c r="Q785" i="5" a="1"/>
  <c r="Q785" i="5" s="1"/>
  <c r="Q786" i="5" a="1"/>
  <c r="Q786" i="5" s="1"/>
  <c r="Q787" i="5" a="1"/>
  <c r="Q787" i="5" s="1"/>
  <c r="Q788" i="5" a="1"/>
  <c r="Q788" i="5" s="1"/>
  <c r="Q789" i="5" a="1"/>
  <c r="Q789" i="5" s="1"/>
  <c r="Q790" i="5" a="1"/>
  <c r="Q790" i="5" s="1"/>
  <c r="Q791" i="5" a="1"/>
  <c r="Q791" i="5" s="1"/>
  <c r="Q792" i="5" a="1"/>
  <c r="Q792" i="5" s="1"/>
  <c r="Q793" i="5" a="1"/>
  <c r="Q793" i="5" s="1"/>
  <c r="Q794" i="5" a="1"/>
  <c r="Q794" i="5" s="1"/>
  <c r="Q795" i="5" a="1"/>
  <c r="Q795" i="5" s="1"/>
  <c r="Q796" i="5" a="1"/>
  <c r="Q796" i="5" s="1"/>
  <c r="Q797" i="5" a="1"/>
  <c r="Q797" i="5" s="1"/>
  <c r="Q798" i="5" a="1"/>
  <c r="Q798" i="5" s="1"/>
  <c r="Q799" i="5" a="1"/>
  <c r="Q799" i="5" s="1"/>
  <c r="Q800" i="5" a="1"/>
  <c r="Q800" i="5" s="1"/>
  <c r="Q801" i="5" a="1"/>
  <c r="Q801" i="5" s="1"/>
  <c r="Q802" i="5" a="1"/>
  <c r="Q802" i="5" s="1"/>
  <c r="Q803" i="5" a="1"/>
  <c r="Q803" i="5" s="1"/>
  <c r="Q804" i="5" a="1"/>
  <c r="Q804" i="5" s="1"/>
  <c r="Q805" i="5" a="1"/>
  <c r="Q805" i="5" s="1"/>
  <c r="Q806" i="5" a="1"/>
  <c r="Q806" i="5" s="1"/>
  <c r="Q807" i="5" a="1"/>
  <c r="Q807" i="5" s="1"/>
  <c r="Q808" i="5" a="1"/>
  <c r="Q808" i="5" s="1"/>
  <c r="Q809" i="5" a="1"/>
  <c r="Q809" i="5" s="1"/>
  <c r="Q810" i="5" a="1"/>
  <c r="Q810" i="5" s="1"/>
  <c r="Q811" i="5" a="1"/>
  <c r="Q811" i="5" s="1"/>
  <c r="Q812" i="5" a="1"/>
  <c r="Q812" i="5" s="1"/>
  <c r="Q813" i="5" a="1"/>
  <c r="Q813" i="5" s="1"/>
  <c r="Q814" i="5" a="1"/>
  <c r="Q814" i="5" s="1"/>
  <c r="Q815" i="5" a="1"/>
  <c r="Q815" i="5" s="1"/>
  <c r="Q816" i="5" a="1"/>
  <c r="Q816" i="5" s="1"/>
  <c r="Q817" i="5" a="1"/>
  <c r="Q817" i="5" s="1"/>
  <c r="Q818" i="5" a="1"/>
  <c r="Q818" i="5" s="1"/>
  <c r="Q819" i="5" a="1"/>
  <c r="Q819" i="5" s="1"/>
  <c r="Q820" i="5" a="1"/>
  <c r="Q820" i="5" s="1"/>
  <c r="Q821" i="5" a="1"/>
  <c r="Q821" i="5" s="1"/>
  <c r="Q822" i="5" a="1"/>
  <c r="Q822" i="5" s="1"/>
  <c r="Q823" i="5" a="1"/>
  <c r="Q823" i="5" s="1"/>
  <c r="Q824" i="5" a="1"/>
  <c r="Q824" i="5" s="1"/>
  <c r="Q825" i="5" a="1"/>
  <c r="Q825" i="5" s="1"/>
  <c r="Q826" i="5" a="1"/>
  <c r="Q826" i="5" s="1"/>
  <c r="Q827" i="5" a="1"/>
  <c r="Q827" i="5" s="1"/>
  <c r="Q828" i="5" a="1"/>
  <c r="Q828" i="5" s="1"/>
  <c r="Q829" i="5" a="1"/>
  <c r="Q829" i="5" s="1"/>
  <c r="Q830" i="5" a="1"/>
  <c r="Q830" i="5" s="1"/>
  <c r="Q831" i="5" a="1"/>
  <c r="Q831" i="5" s="1"/>
  <c r="Q832" i="5" a="1"/>
  <c r="Q832" i="5" s="1"/>
  <c r="Q833" i="5" a="1"/>
  <c r="Q833" i="5" s="1"/>
  <c r="Q834" i="5" a="1"/>
  <c r="Q834" i="5" s="1"/>
  <c r="Q835" i="5" a="1"/>
  <c r="Q835" i="5" s="1"/>
  <c r="Q836" i="5" a="1"/>
  <c r="Q836" i="5" s="1"/>
  <c r="Q837" i="5" a="1"/>
  <c r="Q837" i="5" s="1"/>
  <c r="Q838" i="5" a="1"/>
  <c r="Q838" i="5" s="1"/>
  <c r="Q839" i="5" a="1"/>
  <c r="Q839" i="5" s="1"/>
  <c r="Q840" i="5" a="1"/>
  <c r="Q840" i="5" s="1"/>
  <c r="Q841" i="5" a="1"/>
  <c r="Q841" i="5" s="1"/>
  <c r="Q842" i="5" a="1"/>
  <c r="Q842" i="5" s="1"/>
  <c r="Q843" i="5" a="1"/>
  <c r="Q843" i="5" s="1"/>
  <c r="Q844" i="5" a="1"/>
  <c r="Q844" i="5" s="1"/>
  <c r="Q845" i="5" a="1"/>
  <c r="Q845" i="5" s="1"/>
  <c r="Q846" i="5" a="1"/>
  <c r="Q846" i="5" s="1"/>
  <c r="Q847" i="5" a="1"/>
  <c r="Q847" i="5" s="1"/>
  <c r="Q848" i="5" a="1"/>
  <c r="Q848" i="5" s="1"/>
  <c r="Q849" i="5" a="1"/>
  <c r="Q849" i="5" s="1"/>
  <c r="Q850" i="5" a="1"/>
  <c r="Q850" i="5" s="1"/>
  <c r="Q851" i="5" a="1"/>
  <c r="Q851" i="5" s="1"/>
  <c r="Q852" i="5" a="1"/>
  <c r="Q852" i="5" s="1"/>
  <c r="Q853" i="5" a="1"/>
  <c r="Q853" i="5" s="1"/>
  <c r="Q854" i="5" a="1"/>
  <c r="Q854" i="5" s="1"/>
  <c r="Q855" i="5" a="1"/>
  <c r="Q855" i="5" s="1"/>
  <c r="Q856" i="5" a="1"/>
  <c r="Q856" i="5"/>
  <c r="Q857" i="5" a="1"/>
  <c r="Q857" i="5"/>
  <c r="Q858" i="5" a="1"/>
  <c r="Q858" i="5"/>
  <c r="Q859" i="5" a="1"/>
  <c r="Q859" i="5" s="1"/>
  <c r="Q860" i="5" a="1"/>
  <c r="Q860" i="5"/>
  <c r="Q861" i="5" a="1"/>
  <c r="Q861" i="5"/>
  <c r="Q862" i="5" a="1"/>
  <c r="Q862" i="5"/>
  <c r="Q863" i="5" a="1"/>
  <c r="Q863" i="5" s="1"/>
  <c r="Q864" i="5" a="1"/>
  <c r="Q864" i="5"/>
  <c r="Q865" i="5" a="1"/>
  <c r="Q865" i="5"/>
  <c r="Q866" i="5" a="1"/>
  <c r="Q866" i="5"/>
  <c r="Q867" i="5" a="1"/>
  <c r="Q867" i="5" s="1"/>
  <c r="Q868" i="5" a="1"/>
  <c r="Q868" i="5"/>
  <c r="Q869" i="5" a="1"/>
  <c r="Q869" i="5"/>
  <c r="Q870" i="5" a="1"/>
  <c r="Q870" i="5"/>
  <c r="Q871" i="5" a="1"/>
  <c r="Q871" i="5" s="1"/>
  <c r="Q872" i="5" a="1"/>
  <c r="Q872" i="5"/>
  <c r="Q873" i="5" a="1"/>
  <c r="Q873" i="5"/>
  <c r="Q874" i="5" a="1"/>
  <c r="Q874" i="5"/>
  <c r="Q875" i="5" a="1"/>
  <c r="Q875" i="5" s="1"/>
  <c r="Q876" i="5" a="1"/>
  <c r="Q876" i="5"/>
  <c r="Q877" i="5" a="1"/>
  <c r="Q877" i="5"/>
  <c r="Q878" i="5" a="1"/>
  <c r="Q878" i="5"/>
  <c r="Q879" i="5" a="1"/>
  <c r="Q879" i="5" s="1"/>
  <c r="Q880" i="5" a="1"/>
  <c r="Q880" i="5"/>
  <c r="Q881" i="5" a="1"/>
  <c r="Q881" i="5"/>
  <c r="Q882" i="5" a="1"/>
  <c r="Q882" i="5"/>
  <c r="Q883" i="5" a="1"/>
  <c r="Q883" i="5" s="1"/>
  <c r="Q884" i="5" a="1"/>
  <c r="Q884" i="5"/>
  <c r="Q885" i="5" a="1"/>
  <c r="Q885" i="5"/>
  <c r="Q886" i="5" a="1"/>
  <c r="Q886" i="5"/>
  <c r="Q887" i="5" a="1"/>
  <c r="Q887" i="5" s="1"/>
  <c r="Q888" i="5" a="1"/>
  <c r="Q888" i="5"/>
  <c r="Q889" i="5" a="1"/>
  <c r="Q889" i="5"/>
  <c r="Q890" i="5" a="1"/>
  <c r="Q890" i="5"/>
  <c r="Q891" i="5" a="1"/>
  <c r="Q891" i="5" s="1"/>
  <c r="Q892" i="5" a="1"/>
  <c r="Q892" i="5"/>
  <c r="Q893" i="5" a="1"/>
  <c r="Q893" i="5"/>
  <c r="Q894" i="5" a="1"/>
  <c r="Q894" i="5"/>
  <c r="Q895" i="5" a="1"/>
  <c r="Q895" i="5" s="1"/>
  <c r="Q896" i="5" a="1"/>
  <c r="Q896" i="5"/>
  <c r="Q897" i="5" a="1"/>
  <c r="Q897" i="5"/>
  <c r="Q898" i="5" a="1"/>
  <c r="Q898" i="5"/>
  <c r="Q899" i="5" a="1"/>
  <c r="Q899" i="5" s="1"/>
  <c r="Q900" i="5" a="1"/>
  <c r="Q900" i="5"/>
  <c r="Q901" i="5" a="1"/>
  <c r="Q901" i="5"/>
  <c r="Q902" i="5" a="1"/>
  <c r="Q902" i="5"/>
  <c r="Q903" i="5" a="1"/>
  <c r="Q903" i="5" s="1"/>
  <c r="Q904" i="5" a="1"/>
  <c r="Q904" i="5" s="1"/>
  <c r="Q905" i="5" a="1"/>
  <c r="Q905" i="5"/>
  <c r="Q906" i="5" a="1"/>
  <c r="Q906" i="5"/>
  <c r="Q907" i="5" a="1"/>
  <c r="Q907" i="5" s="1"/>
  <c r="Q908" i="5" a="1"/>
  <c r="Q908" i="5" s="1"/>
  <c r="Q909" i="5" a="1"/>
  <c r="Q909" i="5"/>
  <c r="Q910" i="5" a="1"/>
  <c r="Q910" i="5"/>
  <c r="Q911" i="5" a="1"/>
  <c r="Q911" i="5" s="1"/>
  <c r="Q912" i="5" a="1"/>
  <c r="Q912" i="5" s="1"/>
  <c r="Q913" i="5" a="1"/>
  <c r="Q913" i="5"/>
  <c r="Q914" i="5" a="1"/>
  <c r="Q914" i="5"/>
  <c r="Q915" i="5" a="1"/>
  <c r="Q915" i="5" s="1"/>
  <c r="Q916" i="5" a="1"/>
  <c r="Q916" i="5" s="1"/>
  <c r="Q917" i="5" a="1"/>
  <c r="Q917" i="5"/>
  <c r="Q918" i="5" a="1"/>
  <c r="Q918" i="5"/>
  <c r="Q919" i="5" a="1"/>
  <c r="Q919" i="5" s="1"/>
  <c r="Q920" i="5" a="1"/>
  <c r="Q920" i="5" s="1"/>
  <c r="Q921" i="5" a="1"/>
  <c r="Q921" i="5"/>
  <c r="Q922" i="5" a="1"/>
  <c r="Q922" i="5"/>
  <c r="Q923" i="5" a="1"/>
  <c r="Q923" i="5" s="1"/>
  <c r="Q924" i="5" a="1"/>
  <c r="Q924" i="5" s="1"/>
  <c r="Q925" i="5" a="1"/>
  <c r="Q925" i="5"/>
  <c r="Q926" i="5" a="1"/>
  <c r="Q926" i="5"/>
  <c r="Q927" i="5" a="1"/>
  <c r="Q927" i="5" s="1"/>
  <c r="Q928" i="5" a="1"/>
  <c r="Q928" i="5" s="1"/>
  <c r="Q929" i="5" a="1"/>
  <c r="Q929" i="5"/>
  <c r="Q930" i="5" a="1"/>
  <c r="Q930" i="5"/>
  <c r="Q931" i="5" a="1"/>
  <c r="Q931" i="5" s="1"/>
  <c r="Q932" i="5" a="1"/>
  <c r="Q932" i="5" s="1"/>
  <c r="Q933" i="5" a="1"/>
  <c r="Q933" i="5"/>
  <c r="Q934" i="5" a="1"/>
  <c r="Q934" i="5"/>
  <c r="Q935" i="5" a="1"/>
  <c r="Q935" i="5" s="1"/>
  <c r="Q936" i="5" a="1"/>
  <c r="Q936" i="5" s="1"/>
  <c r="Q937" i="5" a="1"/>
  <c r="Q937" i="5"/>
  <c r="Q938" i="5" a="1"/>
  <c r="Q938" i="5"/>
  <c r="Q939" i="5" a="1"/>
  <c r="Q939" i="5" s="1"/>
  <c r="Q940" i="5" a="1"/>
  <c r="Q940" i="5" s="1"/>
  <c r="Q941" i="5" a="1"/>
  <c r="Q941" i="5"/>
  <c r="Q942" i="5" a="1"/>
  <c r="Q942" i="5"/>
  <c r="Q943" i="5" a="1"/>
  <c r="Q943" i="5" s="1"/>
  <c r="Q944" i="5" a="1"/>
  <c r="Q944" i="5" s="1"/>
  <c r="Q945" i="5" a="1"/>
  <c r="Q945" i="5"/>
  <c r="Q946" i="5" a="1"/>
  <c r="Q946" i="5"/>
  <c r="Q947" i="5" a="1"/>
  <c r="Q947" i="5" s="1"/>
  <c r="Q948" i="5" a="1"/>
  <c r="Q948" i="5" s="1"/>
  <c r="Q949" i="5" a="1"/>
  <c r="Q949" i="5"/>
  <c r="Q950" i="5" a="1"/>
  <c r="Q950" i="5"/>
  <c r="Q951" i="5" a="1"/>
  <c r="Q951" i="5" s="1"/>
  <c r="Q952" i="5" a="1"/>
  <c r="Q952" i="5" s="1"/>
  <c r="Q953" i="5" a="1"/>
  <c r="Q953" i="5"/>
  <c r="Q954" i="5" a="1"/>
  <c r="Q954" i="5"/>
  <c r="Q955" i="5" a="1"/>
  <c r="Q955" i="5" s="1"/>
  <c r="Q956" i="5" a="1"/>
  <c r="Q956" i="5" s="1"/>
  <c r="Q957" i="5" a="1"/>
  <c r="Q957" i="5"/>
  <c r="Q958" i="5" a="1"/>
  <c r="Q958" i="5"/>
  <c r="Q959" i="5" a="1"/>
  <c r="Q959" i="5" s="1"/>
  <c r="Q960" i="5" a="1"/>
  <c r="Q960" i="5" s="1"/>
  <c r="Q961" i="5" a="1"/>
  <c r="Q961" i="5"/>
  <c r="Q962" i="5" a="1"/>
  <c r="Q962" i="5"/>
  <c r="Q963" i="5" a="1"/>
  <c r="Q963" i="5" s="1"/>
  <c r="Q964" i="5" a="1"/>
  <c r="Q964" i="5" s="1"/>
  <c r="Q965" i="5" a="1"/>
  <c r="Q965" i="5"/>
  <c r="Q966" i="5" a="1"/>
  <c r="Q966" i="5"/>
  <c r="Q967" i="5" a="1"/>
  <c r="Q967" i="5" s="1"/>
  <c r="Q968" i="5" a="1"/>
  <c r="Q968" i="5" s="1"/>
  <c r="Q969" i="5" a="1"/>
  <c r="Q969" i="5"/>
  <c r="Q970" i="5" a="1"/>
  <c r="Q970" i="5"/>
  <c r="Q971" i="5" a="1"/>
  <c r="Q971" i="5" s="1"/>
  <c r="Q972" i="5" a="1"/>
  <c r="Q972" i="5" s="1"/>
  <c r="Q973" i="5" a="1"/>
  <c r="Q973" i="5"/>
  <c r="Q974" i="5" a="1"/>
  <c r="Q974" i="5"/>
  <c r="Q975" i="5" a="1"/>
  <c r="Q975" i="5" s="1"/>
  <c r="Q976" i="5" a="1"/>
  <c r="Q976" i="5" s="1"/>
  <c r="Q977" i="5" a="1"/>
  <c r="Q977" i="5"/>
  <c r="Q978" i="5" a="1"/>
  <c r="Q978" i="5"/>
  <c r="Q979" i="5" a="1"/>
  <c r="Q979" i="5" s="1"/>
  <c r="Q980" i="5" a="1"/>
  <c r="Q980" i="5" s="1"/>
  <c r="Q981" i="5" a="1"/>
  <c r="Q981" i="5"/>
  <c r="Q982" i="5" a="1"/>
  <c r="Q982" i="5"/>
  <c r="Q983" i="5" a="1"/>
  <c r="Q983" i="5" s="1"/>
  <c r="Q984" i="5" a="1"/>
  <c r="Q984" i="5" s="1"/>
  <c r="Q985" i="5" a="1"/>
  <c r="Q985" i="5"/>
  <c r="Q986" i="5" a="1"/>
  <c r="Q986" i="5"/>
  <c r="Q987" i="5" a="1"/>
  <c r="Q987" i="5" s="1"/>
  <c r="Q988" i="5" a="1"/>
  <c r="Q988" i="5" s="1"/>
  <c r="Q989" i="5" a="1"/>
  <c r="Q989" i="5"/>
  <c r="Q990" i="5" a="1"/>
  <c r="Q990" i="5"/>
  <c r="Q991" i="5" a="1"/>
  <c r="Q991" i="5" s="1"/>
  <c r="Q992" i="5" a="1"/>
  <c r="Q992" i="5" s="1"/>
  <c r="Q993" i="5" a="1"/>
  <c r="Q993" i="5"/>
  <c r="Q994" i="5" a="1"/>
  <c r="Q994" i="5"/>
  <c r="Q995" i="5" a="1"/>
  <c r="Q995" i="5" s="1"/>
  <c r="Q996" i="5" a="1"/>
  <c r="Q996" i="5" s="1"/>
  <c r="Q997" i="5" a="1"/>
  <c r="Q997" i="5"/>
  <c r="Q998" i="5" a="1"/>
  <c r="Q998" i="5"/>
  <c r="Q999" i="5" a="1"/>
  <c r="Q999" i="5" s="1"/>
  <c r="Q1000" i="5" a="1"/>
  <c r="Q1000" i="5" s="1"/>
  <c r="Q1001" i="5" a="1"/>
  <c r="Q1001" i="5"/>
  <c r="Q1002" i="5" a="1"/>
  <c r="Q1002" i="5"/>
  <c r="Q1003" i="5" a="1"/>
  <c r="Q1003" i="5" s="1"/>
  <c r="Q1004" i="5" a="1"/>
  <c r="Q1004" i="5" s="1"/>
  <c r="Q1005" i="5" a="1"/>
  <c r="Q1005" i="5"/>
  <c r="Q1006" i="5" a="1"/>
  <c r="Q1006" i="5"/>
  <c r="Q1007" i="5" a="1"/>
  <c r="Q1007" i="5" s="1"/>
  <c r="Q1008" i="5" a="1"/>
  <c r="Q1008" i="5" s="1"/>
  <c r="Q1009" i="5" a="1"/>
  <c r="Q1009" i="5"/>
  <c r="Q1010" i="5" a="1"/>
  <c r="Q1010" i="5"/>
  <c r="Q1011" i="5" a="1"/>
  <c r="Q1011" i="5" s="1"/>
  <c r="Q1012" i="5" a="1"/>
  <c r="Q1012" i="5" s="1"/>
  <c r="Q1013" i="5" a="1"/>
  <c r="Q1013" i="5"/>
  <c r="Q1014" i="5" a="1"/>
  <c r="Q1014" i="5"/>
  <c r="Q1015" i="5" a="1"/>
  <c r="Q1015" i="5" s="1"/>
  <c r="Q1016" i="5" a="1"/>
  <c r="Q1016" i="5" s="1"/>
  <c r="Q1017" i="5" a="1"/>
  <c r="Q1017" i="5"/>
  <c r="Q1018" i="5" a="1"/>
  <c r="Q1018" i="5"/>
  <c r="Q1019" i="5" a="1"/>
  <c r="Q1019" i="5" s="1"/>
  <c r="Q1020" i="5" a="1"/>
  <c r="Q1020" i="5" s="1"/>
  <c r="Q1021" i="5" a="1"/>
  <c r="Q1021" i="5"/>
  <c r="Q1022" i="5" a="1"/>
  <c r="Q1022" i="5"/>
  <c r="Q1023" i="5" a="1"/>
  <c r="Q1023" i="5" s="1"/>
  <c r="Q1024" i="5" a="1"/>
  <c r="Q1024" i="5" s="1"/>
  <c r="Q1025" i="5" a="1"/>
  <c r="Q1025" i="5"/>
  <c r="Q1026" i="5" a="1"/>
  <c r="Q1026" i="5"/>
  <c r="Q1027" i="5" a="1"/>
  <c r="Q1027" i="5" s="1"/>
  <c r="Q1028" i="5" a="1"/>
  <c r="Q1028" i="5" s="1"/>
  <c r="Q1029" i="5" a="1"/>
  <c r="Q1029" i="5"/>
  <c r="Q1030" i="5" a="1"/>
  <c r="Q1030" i="5"/>
  <c r="Q1031" i="5" a="1"/>
  <c r="Q1031" i="5" s="1"/>
  <c r="Q1032" i="5" a="1"/>
  <c r="Q1032" i="5" s="1"/>
  <c r="Q1033" i="5" a="1"/>
  <c r="Q1033" i="5"/>
  <c r="Q1034" i="5" a="1"/>
  <c r="Q1034" i="5"/>
  <c r="Q1035" i="5" a="1"/>
  <c r="Q1035" i="5" s="1"/>
  <c r="Q1036" i="5" a="1"/>
  <c r="Q1036" i="5" s="1"/>
  <c r="Q1037" i="5" a="1"/>
  <c r="Q1037" i="5"/>
  <c r="Q1038" i="5" a="1"/>
  <c r="Q1038" i="5"/>
  <c r="Q1039" i="5" a="1"/>
  <c r="Q1039" i="5" s="1"/>
  <c r="Q1040" i="5" a="1"/>
  <c r="Q1040" i="5" s="1"/>
  <c r="Q1041" i="5" a="1"/>
  <c r="Q1041" i="5"/>
  <c r="Q1042" i="5" a="1"/>
  <c r="Q1042" i="5"/>
  <c r="Q1043" i="5" a="1"/>
  <c r="Q1043" i="5" s="1"/>
  <c r="Q1044" i="5" a="1"/>
  <c r="Q1044" i="5" s="1"/>
  <c r="Q1045" i="5" a="1"/>
  <c r="Q1045" i="5"/>
  <c r="Q1046" i="5" a="1"/>
  <c r="Q1046" i="5"/>
  <c r="Q1047" i="5" a="1"/>
  <c r="Q1047" i="5" s="1"/>
  <c r="Q1048" i="5" a="1"/>
  <c r="Q1048" i="5" s="1"/>
  <c r="Q1049" i="5" a="1"/>
  <c r="Q1049" i="5"/>
  <c r="Q1050" i="5" a="1"/>
  <c r="Q1050" i="5"/>
  <c r="Q1051" i="5" a="1"/>
  <c r="Q1051" i="5" s="1"/>
  <c r="Q1052" i="5" a="1"/>
  <c r="Q1052" i="5" s="1"/>
  <c r="Q1053" i="5" a="1"/>
  <c r="Q1053" i="5"/>
  <c r="Q1054" i="5" a="1"/>
  <c r="Q1054" i="5"/>
  <c r="Q1055" i="5" a="1"/>
  <c r="Q1055" i="5" s="1"/>
  <c r="Q1056" i="5" a="1"/>
  <c r="Q1056" i="5" s="1"/>
  <c r="Q1057" i="5" a="1"/>
  <c r="Q1057" i="5"/>
  <c r="Q1058" i="5" a="1"/>
  <c r="Q1058" i="5"/>
  <c r="Q1059" i="5" a="1"/>
  <c r="Q1059" i="5" s="1"/>
  <c r="Q1060" i="5" a="1"/>
  <c r="Q1060" i="5" s="1"/>
  <c r="Q1061" i="5" a="1"/>
  <c r="Q1061" i="5"/>
  <c r="Q1062" i="5" a="1"/>
  <c r="Q1062" i="5"/>
  <c r="Q1063" i="5" a="1"/>
  <c r="Q1063" i="5" s="1"/>
  <c r="Q1064" i="5" a="1"/>
  <c r="Q1064" i="5" s="1"/>
  <c r="Q1065" i="5" a="1"/>
  <c r="Q1065" i="5"/>
  <c r="Q1066" i="5" a="1"/>
  <c r="Q1066" i="5"/>
  <c r="Q1067" i="5" a="1"/>
  <c r="Q1067" i="5" s="1"/>
  <c r="Q1068" i="5" a="1"/>
  <c r="Q1068" i="5" s="1"/>
  <c r="Q1069" i="5" a="1"/>
  <c r="Q1069" i="5"/>
  <c r="Q1070" i="5" a="1"/>
  <c r="Q1070" i="5"/>
  <c r="Q1071" i="5" a="1"/>
  <c r="Q1071" i="5" s="1"/>
  <c r="Q1072" i="5" a="1"/>
  <c r="Q1072" i="5" s="1"/>
  <c r="Q1073" i="5" a="1"/>
  <c r="Q1073" i="5"/>
  <c r="Q1074" i="5" a="1"/>
  <c r="Q1074" i="5"/>
  <c r="Q1075" i="5" a="1"/>
  <c r="Q1075" i="5" s="1"/>
  <c r="Q1076" i="5" a="1"/>
  <c r="Q1076" i="5" s="1"/>
  <c r="Q1077" i="5" a="1"/>
  <c r="Q1077" i="5"/>
  <c r="Q1078" i="5" a="1"/>
  <c r="Q1078" i="5"/>
  <c r="Q1079" i="5" a="1"/>
  <c r="Q1079" i="5" s="1"/>
  <c r="Q1080" i="5" a="1"/>
  <c r="Q1080" i="5" s="1"/>
  <c r="Q1081" i="5" a="1"/>
  <c r="Q1081" i="5"/>
  <c r="Q1082" i="5" a="1"/>
  <c r="Q1082" i="5"/>
  <c r="Q1083" i="5" a="1"/>
  <c r="Q1083" i="5" s="1"/>
  <c r="Q1084" i="5" a="1"/>
  <c r="Q1084" i="5" s="1"/>
  <c r="Q1085" i="5" a="1"/>
  <c r="Q1085" i="5"/>
  <c r="Q1086" i="5" a="1"/>
  <c r="Q1086" i="5"/>
  <c r="Q1087" i="5" a="1"/>
  <c r="Q1087" i="5" s="1"/>
  <c r="Q1088" i="5" a="1"/>
  <c r="Q1088" i="5" s="1"/>
  <c r="Q1089" i="5" a="1"/>
  <c r="Q1089" i="5"/>
  <c r="Q1090" i="5" a="1"/>
  <c r="Q1090" i="5"/>
  <c r="Q1091" i="5" a="1"/>
  <c r="Q1091" i="5" s="1"/>
  <c r="Q1092" i="5" a="1"/>
  <c r="Q1092" i="5" s="1"/>
  <c r="Q1093" i="5" a="1"/>
  <c r="Q1093" i="5"/>
  <c r="Q1094" i="5" a="1"/>
  <c r="Q1094" i="5"/>
  <c r="Q1095" i="5" a="1"/>
  <c r="Q1095" i="5" s="1"/>
  <c r="Q1096" i="5" a="1"/>
  <c r="Q1096" i="5" s="1"/>
  <c r="Q1097" i="5" a="1"/>
  <c r="Q1097" i="5" s="1"/>
  <c r="Q1098" i="5" a="1"/>
  <c r="Q1098" i="5"/>
  <c r="Q1099" i="5" a="1"/>
  <c r="Q1099" i="5" s="1"/>
  <c r="Q1100" i="5" a="1"/>
  <c r="Q1100" i="5" s="1"/>
  <c r="Q1101" i="5" a="1"/>
  <c r="Q1101" i="5" s="1"/>
  <c r="Q1102" i="5" a="1"/>
  <c r="Q1102" i="5"/>
  <c r="Q1103" i="5" a="1"/>
  <c r="Q1103" i="5" s="1"/>
  <c r="Q1104" i="5" a="1"/>
  <c r="Q1104" i="5" s="1"/>
  <c r="Q1105" i="5" a="1"/>
  <c r="Q1105" i="5" s="1"/>
  <c r="Q1106" i="5" a="1"/>
  <c r="Q1106" i="5"/>
  <c r="Q1107" i="5" a="1"/>
  <c r="Q1107" i="5" s="1"/>
  <c r="Q1108" i="5" a="1"/>
  <c r="Q1108" i="5" s="1"/>
  <c r="Q1109" i="5" a="1"/>
  <c r="Q1109" i="5" s="1"/>
  <c r="Q1110" i="5" a="1"/>
  <c r="Q1110" i="5"/>
  <c r="Q1111" i="5" a="1"/>
  <c r="Q1111" i="5" s="1"/>
  <c r="Q1112" i="5" a="1"/>
  <c r="Q1112" i="5" s="1"/>
  <c r="Q1113" i="5" a="1"/>
  <c r="Q1113" i="5" s="1"/>
  <c r="Q1114" i="5" a="1"/>
  <c r="Q1114" i="5"/>
  <c r="Q1115" i="5" a="1"/>
  <c r="Q1115" i="5" s="1"/>
  <c r="Q1116" i="5" a="1"/>
  <c r="Q1116" i="5" s="1"/>
  <c r="Q1117" i="5" a="1"/>
  <c r="Q1117" i="5" s="1"/>
  <c r="Q1118" i="5" a="1"/>
  <c r="Q1118" i="5"/>
  <c r="Q1119" i="5" a="1"/>
  <c r="Q1119" i="5" s="1"/>
  <c r="Q1120" i="5" a="1"/>
  <c r="Q1120" i="5" s="1"/>
  <c r="Q1121" i="5" a="1"/>
  <c r="Q1121" i="5" s="1"/>
  <c r="Q1122" i="5" a="1"/>
  <c r="Q1122" i="5"/>
  <c r="Q1123" i="5" a="1"/>
  <c r="Q1123" i="5" s="1"/>
  <c r="Q1124" i="5" a="1"/>
  <c r="Q1124" i="5" s="1"/>
  <c r="Q1125" i="5" a="1"/>
  <c r="Q1125" i="5" s="1"/>
  <c r="Q1126" i="5" a="1"/>
  <c r="Q1126" i="5"/>
  <c r="Q1127" i="5" a="1"/>
  <c r="Q1127" i="5" s="1"/>
  <c r="Q1128" i="5" a="1"/>
  <c r="Q1128" i="5" s="1"/>
  <c r="Q1129" i="5" a="1"/>
  <c r="Q1129" i="5" s="1"/>
  <c r="Q1130" i="5" a="1"/>
  <c r="Q1130" i="5"/>
  <c r="Q1131" i="5" a="1"/>
  <c r="Q1131" i="5" s="1"/>
  <c r="Q1132" i="5" a="1"/>
  <c r="Q1132" i="5" s="1"/>
  <c r="Q1133" i="5" a="1"/>
  <c r="Q1133" i="5" s="1"/>
  <c r="Q1134" i="5" a="1"/>
  <c r="Q1134" i="5"/>
  <c r="Q1135" i="5" a="1"/>
  <c r="Q1135" i="5" s="1"/>
  <c r="Q1136" i="5" a="1"/>
  <c r="Q1136" i="5" s="1"/>
  <c r="Q1137" i="5" a="1"/>
  <c r="Q1137" i="5" s="1"/>
  <c r="Q1138" i="5" a="1"/>
  <c r="Q1138" i="5"/>
  <c r="Q1139" i="5" a="1"/>
  <c r="Q1139" i="5" s="1"/>
  <c r="Q1140" i="5" a="1"/>
  <c r="Q1140" i="5" s="1"/>
  <c r="Q1141" i="5" a="1"/>
  <c r="Q1141" i="5" s="1"/>
  <c r="Q1142" i="5" a="1"/>
  <c r="Q1142" i="5"/>
  <c r="Q1143" i="5" a="1"/>
  <c r="Q1143" i="5" s="1"/>
  <c r="Q1144" i="5" a="1"/>
  <c r="Q1144" i="5" s="1"/>
  <c r="Q1145" i="5" a="1"/>
  <c r="Q1145" i="5" s="1"/>
  <c r="Q1146" i="5" a="1"/>
  <c r="Q1146" i="5"/>
  <c r="Q1147" i="5" a="1"/>
  <c r="Q1147" i="5" s="1"/>
  <c r="Q1148" i="5" a="1"/>
  <c r="Q1148" i="5" s="1"/>
  <c r="Q1149" i="5" a="1"/>
  <c r="Q1149" i="5" s="1"/>
  <c r="Q1150" i="5" a="1"/>
  <c r="Q1150" i="5"/>
  <c r="Q1151" i="5" a="1"/>
  <c r="Q1151" i="5" s="1"/>
  <c r="Q1152" i="5" a="1"/>
  <c r="Q1152" i="5" s="1"/>
  <c r="Q1153" i="5" a="1"/>
  <c r="Q1153" i="5" s="1"/>
  <c r="Q1154" i="5" a="1"/>
  <c r="Q1154" i="5"/>
  <c r="Q1155" i="5" a="1"/>
  <c r="Q1155" i="5" s="1"/>
  <c r="Q1156" i="5" a="1"/>
  <c r="Q1156" i="5" s="1"/>
  <c r="Q1157" i="5" a="1"/>
  <c r="Q1157" i="5" s="1"/>
  <c r="Q1158" i="5" a="1"/>
  <c r="Q1158" i="5"/>
  <c r="Q1159" i="5" a="1"/>
  <c r="Q1159" i="5" s="1"/>
  <c r="Q1160" i="5" a="1"/>
  <c r="Q1160" i="5" s="1"/>
  <c r="Q1161" i="5" a="1"/>
  <c r="Q1161" i="5" s="1"/>
  <c r="Q1162" i="5" a="1"/>
  <c r="Q1162" i="5"/>
  <c r="Q1163" i="5" a="1"/>
  <c r="Q1163" i="5" s="1"/>
  <c r="Q1164" i="5" a="1"/>
  <c r="Q1164" i="5" s="1"/>
  <c r="Q1165" i="5" a="1"/>
  <c r="Q1165" i="5" s="1"/>
  <c r="Q1166" i="5" a="1"/>
  <c r="Q1166" i="5"/>
  <c r="Q1167" i="5" a="1"/>
  <c r="Q1167" i="5" s="1"/>
  <c r="Q1168" i="5" a="1"/>
  <c r="Q1168" i="5" s="1"/>
  <c r="Q1169" i="5" a="1"/>
  <c r="Q1169" i="5" s="1"/>
  <c r="Q1170" i="5" a="1"/>
  <c r="Q1170" i="5"/>
  <c r="Q1171" i="5" a="1"/>
  <c r="Q1171" i="5" s="1"/>
  <c r="Q1172" i="5" a="1"/>
  <c r="Q1172" i="5" s="1"/>
  <c r="Q1173" i="5" a="1"/>
  <c r="Q1173" i="5" s="1"/>
  <c r="Q1174" i="5" a="1"/>
  <c r="Q1174" i="5"/>
  <c r="Q1175" i="5" a="1"/>
  <c r="Q1175" i="5" s="1"/>
  <c r="Q1176" i="5" a="1"/>
  <c r="Q1176" i="5" s="1"/>
  <c r="Q1177" i="5" a="1"/>
  <c r="Q1177" i="5" s="1"/>
  <c r="Q1178" i="5" a="1"/>
  <c r="Q1178" i="5"/>
  <c r="Q1179" i="5" a="1"/>
  <c r="Q1179" i="5" s="1"/>
  <c r="Q1180" i="5" a="1"/>
  <c r="Q1180" i="5" s="1"/>
  <c r="Q1181" i="5" a="1"/>
  <c r="Q1181" i="5" s="1"/>
  <c r="Q1182" i="5" a="1"/>
  <c r="Q1182" i="5"/>
  <c r="Q1183" i="5" a="1"/>
  <c r="Q1183" i="5" s="1"/>
  <c r="Q1184" i="5" a="1"/>
  <c r="Q1184" i="5" s="1"/>
  <c r="Q1185" i="5" a="1"/>
  <c r="Q1185" i="5" s="1"/>
  <c r="Q1186" i="5" a="1"/>
  <c r="Q1186" i="5"/>
  <c r="Q1187" i="5" a="1"/>
  <c r="Q1187" i="5" s="1"/>
  <c r="Q1188" i="5" a="1"/>
  <c r="Q1188" i="5" s="1"/>
  <c r="Q1189" i="5" a="1"/>
  <c r="Q1189" i="5" s="1"/>
  <c r="Q1190" i="5" a="1"/>
  <c r="Q1190" i="5"/>
  <c r="Q1191" i="5" a="1"/>
  <c r="Q1191" i="5" s="1"/>
  <c r="Q1192" i="5" a="1"/>
  <c r="Q1192" i="5" s="1"/>
  <c r="Q1193" i="5" a="1"/>
  <c r="Q1193" i="5" s="1"/>
  <c r="Q1194" i="5" a="1"/>
  <c r="Q1194" i="5"/>
  <c r="Q1195" i="5" a="1"/>
  <c r="Q1195" i="5" s="1"/>
  <c r="Q1196" i="5" a="1"/>
  <c r="Q1196" i="5" s="1"/>
  <c r="Q1197" i="5" a="1"/>
  <c r="Q1197" i="5" s="1"/>
  <c r="Q1198" i="5" a="1"/>
  <c r="Q1198" i="5"/>
  <c r="Q1199" i="5" a="1"/>
  <c r="Q1199" i="5" s="1"/>
  <c r="Q1200" i="5" a="1"/>
  <c r="Q1200" i="5" s="1"/>
  <c r="Q1201" i="5" a="1"/>
  <c r="Q1201" i="5" s="1"/>
  <c r="P2" i="5" a="1"/>
  <c r="P2" i="5" s="1"/>
  <c r="P3" i="5" a="1"/>
  <c r="P3" i="5" s="1"/>
  <c r="P4" i="5" a="1"/>
  <c r="P4" i="5"/>
  <c r="P5" i="5" a="1"/>
  <c r="P5" i="5" s="1"/>
  <c r="P6" i="5" a="1"/>
  <c r="P6" i="5" s="1"/>
  <c r="P7" i="5" a="1"/>
  <c r="P7" i="5" s="1"/>
  <c r="P8" i="5" a="1"/>
  <c r="P8" i="5" s="1"/>
  <c r="P9" i="5" a="1"/>
  <c r="P9" i="5" s="1"/>
  <c r="P10" i="5" a="1"/>
  <c r="P10" i="5" s="1"/>
  <c r="P11" i="5" a="1"/>
  <c r="P11" i="5" s="1"/>
  <c r="P12" i="5" a="1"/>
  <c r="P12" i="5" s="1"/>
  <c r="P13" i="5" a="1"/>
  <c r="P13" i="5" s="1"/>
  <c r="P14" i="5" a="1"/>
  <c r="P14" i="5" s="1"/>
  <c r="P15" i="5" a="1"/>
  <c r="P15" i="5" s="1"/>
  <c r="P16" i="5" a="1"/>
  <c r="P16" i="5"/>
  <c r="P17" i="5" a="1"/>
  <c r="P17" i="5" s="1"/>
  <c r="P18" i="5" a="1"/>
  <c r="P18" i="5" s="1"/>
  <c r="P19" i="5" a="1"/>
  <c r="P19" i="5" s="1"/>
  <c r="P20" i="5" a="1"/>
  <c r="P20" i="5" s="1"/>
  <c r="P21" i="5" a="1"/>
  <c r="P21" i="5" s="1"/>
  <c r="P22" i="5" a="1"/>
  <c r="P22" i="5" s="1"/>
  <c r="P23" i="5" a="1"/>
  <c r="P23" i="5" s="1"/>
  <c r="P24" i="5" a="1"/>
  <c r="P24" i="5" s="1"/>
  <c r="P25" i="5" a="1"/>
  <c r="P25" i="5" s="1"/>
  <c r="P26" i="5" a="1"/>
  <c r="P26" i="5" s="1"/>
  <c r="P27" i="5" a="1"/>
  <c r="P27" i="5" s="1"/>
  <c r="P28" i="5" a="1"/>
  <c r="P28" i="5" s="1"/>
  <c r="P29" i="5" a="1"/>
  <c r="P29" i="5" s="1"/>
  <c r="P30" i="5" a="1"/>
  <c r="P30" i="5" s="1"/>
  <c r="P31" i="5" a="1"/>
  <c r="P31" i="5" s="1"/>
  <c r="P32" i="5" a="1"/>
  <c r="P32" i="5"/>
  <c r="P33" i="5" a="1"/>
  <c r="P33" i="5" s="1"/>
  <c r="P34" i="5" a="1"/>
  <c r="P34" i="5" s="1"/>
  <c r="P35" i="5" a="1"/>
  <c r="P35" i="5" s="1"/>
  <c r="P36" i="5" a="1"/>
  <c r="P36" i="5" s="1"/>
  <c r="P37" i="5" a="1"/>
  <c r="P37" i="5" s="1"/>
  <c r="P38" i="5" a="1"/>
  <c r="P38" i="5" s="1"/>
  <c r="P39" i="5" a="1"/>
  <c r="P39" i="5" s="1"/>
  <c r="P40" i="5" a="1"/>
  <c r="P40" i="5" s="1"/>
  <c r="P41" i="5" a="1"/>
  <c r="P41" i="5" s="1"/>
  <c r="P42" i="5" a="1"/>
  <c r="P42" i="5" s="1"/>
  <c r="P43" i="5" a="1"/>
  <c r="P43" i="5" s="1"/>
  <c r="P44" i="5" a="1"/>
  <c r="P44" i="5" s="1"/>
  <c r="P45" i="5" a="1"/>
  <c r="P45" i="5" s="1"/>
  <c r="P46" i="5" a="1"/>
  <c r="P46" i="5" s="1"/>
  <c r="P47" i="5" a="1"/>
  <c r="P47" i="5" s="1"/>
  <c r="P48" i="5" a="1"/>
  <c r="P48" i="5"/>
  <c r="P49" i="5" a="1"/>
  <c r="P49" i="5" s="1"/>
  <c r="P50" i="5" a="1"/>
  <c r="P50" i="5" s="1"/>
  <c r="P51" i="5" a="1"/>
  <c r="P51" i="5" s="1"/>
  <c r="P52" i="5" a="1"/>
  <c r="P52" i="5" s="1"/>
  <c r="P53" i="5" a="1"/>
  <c r="P53" i="5" s="1"/>
  <c r="P54" i="5" a="1"/>
  <c r="P54" i="5" s="1"/>
  <c r="P55" i="5" a="1"/>
  <c r="P55" i="5" s="1"/>
  <c r="P56" i="5" a="1"/>
  <c r="P56" i="5" s="1"/>
  <c r="P57" i="5" a="1"/>
  <c r="P57" i="5" s="1"/>
  <c r="P58" i="5" a="1"/>
  <c r="P58" i="5" s="1"/>
  <c r="P59" i="5" a="1"/>
  <c r="P59" i="5" s="1"/>
  <c r="P60" i="5" a="1"/>
  <c r="P60" i="5" s="1"/>
  <c r="P61" i="5" a="1"/>
  <c r="P61" i="5" s="1"/>
  <c r="P62" i="5" a="1"/>
  <c r="P62" i="5" s="1"/>
  <c r="P63" i="5" a="1"/>
  <c r="P63" i="5" s="1"/>
  <c r="P64" i="5" a="1"/>
  <c r="P64" i="5" s="1"/>
  <c r="P65" i="5" a="1"/>
  <c r="P65" i="5" s="1"/>
  <c r="P66" i="5" a="1"/>
  <c r="P66" i="5" s="1"/>
  <c r="P67" i="5" a="1"/>
  <c r="P67" i="5" s="1"/>
  <c r="P68" i="5" a="1"/>
  <c r="P68" i="5" s="1"/>
  <c r="P69" i="5" a="1"/>
  <c r="P69" i="5" s="1"/>
  <c r="P70" i="5" a="1"/>
  <c r="P70" i="5" s="1"/>
  <c r="P71" i="5" a="1"/>
  <c r="P71" i="5" s="1"/>
  <c r="P72" i="5" a="1"/>
  <c r="P72" i="5" s="1"/>
  <c r="P73" i="5" a="1"/>
  <c r="P73" i="5" s="1"/>
  <c r="P74" i="5" a="1"/>
  <c r="P74" i="5" s="1"/>
  <c r="P75" i="5" a="1"/>
  <c r="P75" i="5" s="1"/>
  <c r="P76" i="5" a="1"/>
  <c r="P76" i="5" s="1"/>
  <c r="P77" i="5" a="1"/>
  <c r="P77" i="5" s="1"/>
  <c r="P78" i="5" a="1"/>
  <c r="P78" i="5" s="1"/>
  <c r="P79" i="5" a="1"/>
  <c r="P79" i="5" s="1"/>
  <c r="P80" i="5" a="1"/>
  <c r="P80" i="5" s="1"/>
  <c r="P81" i="5" a="1"/>
  <c r="P81" i="5" s="1"/>
  <c r="P82" i="5" a="1"/>
  <c r="P82" i="5" s="1"/>
  <c r="P83" i="5" a="1"/>
  <c r="P83" i="5" s="1"/>
  <c r="P84" i="5" a="1"/>
  <c r="P84" i="5" s="1"/>
  <c r="P85" i="5" a="1"/>
  <c r="P85" i="5" s="1"/>
  <c r="P86" i="5" a="1"/>
  <c r="P86" i="5" s="1"/>
  <c r="P87" i="5" a="1"/>
  <c r="P87" i="5" s="1"/>
  <c r="P88" i="5" a="1"/>
  <c r="P88" i="5" s="1"/>
  <c r="P89" i="5" a="1"/>
  <c r="P89" i="5" s="1"/>
  <c r="P90" i="5" a="1"/>
  <c r="P90" i="5" s="1"/>
  <c r="P91" i="5" a="1"/>
  <c r="P91" i="5" s="1"/>
  <c r="P92" i="5" a="1"/>
  <c r="P92" i="5" s="1"/>
  <c r="P93" i="5" a="1"/>
  <c r="P93" i="5" s="1"/>
  <c r="P94" i="5" a="1"/>
  <c r="P94" i="5" s="1"/>
  <c r="P95" i="5" a="1"/>
  <c r="P95" i="5" s="1"/>
  <c r="P96" i="5" a="1"/>
  <c r="P96" i="5"/>
  <c r="P97" i="5" a="1"/>
  <c r="P97" i="5" s="1"/>
  <c r="P98" i="5" a="1"/>
  <c r="P98" i="5" s="1"/>
  <c r="P99" i="5" a="1"/>
  <c r="P99" i="5" s="1"/>
  <c r="P100" i="5" a="1"/>
  <c r="P100" i="5" s="1"/>
  <c r="P101" i="5" a="1"/>
  <c r="P101" i="5" s="1"/>
  <c r="P102" i="5" a="1"/>
  <c r="P102" i="5" s="1"/>
  <c r="P103" i="5" a="1"/>
  <c r="P103" i="5" s="1"/>
  <c r="P104" i="5" a="1"/>
  <c r="P104" i="5" s="1"/>
  <c r="P105" i="5" a="1"/>
  <c r="P105" i="5" s="1"/>
  <c r="P106" i="5" a="1"/>
  <c r="P106" i="5" s="1"/>
  <c r="P107" i="5" a="1"/>
  <c r="P107" i="5" s="1"/>
  <c r="P108" i="5" a="1"/>
  <c r="P108" i="5" s="1"/>
  <c r="P109" i="5" a="1"/>
  <c r="P109" i="5" s="1"/>
  <c r="P110" i="5" a="1"/>
  <c r="P110" i="5" s="1"/>
  <c r="P111" i="5" a="1"/>
  <c r="P111" i="5" s="1"/>
  <c r="P112" i="5" a="1"/>
  <c r="P112" i="5" s="1"/>
  <c r="P113" i="5" a="1"/>
  <c r="P113" i="5" s="1"/>
  <c r="P114" i="5" a="1"/>
  <c r="P114" i="5" s="1"/>
  <c r="P115" i="5" a="1"/>
  <c r="P115" i="5" s="1"/>
  <c r="P116" i="5" a="1"/>
  <c r="P116" i="5" s="1"/>
  <c r="P117" i="5" a="1"/>
  <c r="P117" i="5"/>
  <c r="P118" i="5" a="1"/>
  <c r="P118" i="5" s="1"/>
  <c r="P119" i="5" a="1"/>
  <c r="P119" i="5" s="1"/>
  <c r="P120" i="5" a="1"/>
  <c r="P120" i="5" s="1"/>
  <c r="P121" i="5" a="1"/>
  <c r="P121" i="5" s="1"/>
  <c r="P122" i="5" a="1"/>
  <c r="P122" i="5" s="1"/>
  <c r="P123" i="5" a="1"/>
  <c r="P123" i="5" s="1"/>
  <c r="P124" i="5" a="1"/>
  <c r="P124" i="5" s="1"/>
  <c r="P125" i="5" a="1"/>
  <c r="P125" i="5" s="1"/>
  <c r="P126" i="5" a="1"/>
  <c r="P126" i="5" s="1"/>
  <c r="P127" i="5" a="1"/>
  <c r="P127" i="5" s="1"/>
  <c r="P128" i="5" a="1"/>
  <c r="P128" i="5" s="1"/>
  <c r="P129" i="5" a="1"/>
  <c r="P129" i="5" s="1"/>
  <c r="P130" i="5" a="1"/>
  <c r="P130" i="5" s="1"/>
  <c r="P131" i="5" a="1"/>
  <c r="P131" i="5" s="1"/>
  <c r="P132" i="5" a="1"/>
  <c r="P132" i="5" s="1"/>
  <c r="P133" i="5" a="1"/>
  <c r="P133" i="5" s="1"/>
  <c r="P134" i="5" a="1"/>
  <c r="P134" i="5" s="1"/>
  <c r="P135" i="5" a="1"/>
  <c r="P135" i="5" s="1"/>
  <c r="P136" i="5" a="1"/>
  <c r="P136" i="5" s="1"/>
  <c r="P137" i="5" a="1"/>
  <c r="P137" i="5" s="1"/>
  <c r="P138" i="5" a="1"/>
  <c r="P138" i="5" s="1"/>
  <c r="P139" i="5" a="1"/>
  <c r="P139" i="5" s="1"/>
  <c r="P140" i="5" a="1"/>
  <c r="P140" i="5" s="1"/>
  <c r="P141" i="5" a="1"/>
  <c r="P141" i="5" s="1"/>
  <c r="P142" i="5" a="1"/>
  <c r="P142" i="5" s="1"/>
  <c r="P143" i="5" a="1"/>
  <c r="P143" i="5" s="1"/>
  <c r="P144" i="5" a="1"/>
  <c r="P144" i="5" s="1"/>
  <c r="P145" i="5" a="1"/>
  <c r="P145" i="5" s="1"/>
  <c r="P146" i="5" a="1"/>
  <c r="P146" i="5" s="1"/>
  <c r="P147" i="5" a="1"/>
  <c r="P147" i="5" s="1"/>
  <c r="P148" i="5" a="1"/>
  <c r="P148" i="5" s="1"/>
  <c r="P149" i="5" a="1"/>
  <c r="P149" i="5" s="1"/>
  <c r="P150" i="5" a="1"/>
  <c r="P150" i="5" s="1"/>
  <c r="P151" i="5" a="1"/>
  <c r="P151" i="5" s="1"/>
  <c r="P152" i="5" a="1"/>
  <c r="P152" i="5" s="1"/>
  <c r="P153" i="5" a="1"/>
  <c r="P153" i="5" s="1"/>
  <c r="P154" i="5" a="1"/>
  <c r="P154" i="5" s="1"/>
  <c r="P155" i="5" a="1"/>
  <c r="P155" i="5" s="1"/>
  <c r="P156" i="5" a="1"/>
  <c r="P156" i="5" s="1"/>
  <c r="P157" i="5" a="1"/>
  <c r="P157" i="5" s="1"/>
  <c r="P158" i="5" a="1"/>
  <c r="P158" i="5" s="1"/>
  <c r="P159" i="5" a="1"/>
  <c r="P159" i="5" s="1"/>
  <c r="P160" i="5" a="1"/>
  <c r="P160" i="5"/>
  <c r="P161" i="5" a="1"/>
  <c r="P161" i="5" s="1"/>
  <c r="P162" i="5" a="1"/>
  <c r="P162" i="5" s="1"/>
  <c r="P163" i="5" a="1"/>
  <c r="P163" i="5" s="1"/>
  <c r="P164" i="5" a="1"/>
  <c r="P164" i="5" s="1"/>
  <c r="P165" i="5" a="1"/>
  <c r="P165" i="5" s="1"/>
  <c r="P166" i="5" a="1"/>
  <c r="P166" i="5" s="1"/>
  <c r="P167" i="5" a="1"/>
  <c r="P167" i="5" s="1"/>
  <c r="P168" i="5" a="1"/>
  <c r="P168" i="5" s="1"/>
  <c r="P169" i="5" a="1"/>
  <c r="P169" i="5" s="1"/>
  <c r="P170" i="5" a="1"/>
  <c r="P170" i="5" s="1"/>
  <c r="P171" i="5" a="1"/>
  <c r="P171" i="5" s="1"/>
  <c r="P172" i="5" a="1"/>
  <c r="P172" i="5" s="1"/>
  <c r="P173" i="5" a="1"/>
  <c r="P173" i="5" s="1"/>
  <c r="P174" i="5" a="1"/>
  <c r="P174" i="5" s="1"/>
  <c r="P175" i="5" a="1"/>
  <c r="P175" i="5" s="1"/>
  <c r="P176" i="5" a="1"/>
  <c r="P176" i="5" s="1"/>
  <c r="P177" i="5" a="1"/>
  <c r="P177" i="5" s="1"/>
  <c r="P178" i="5" a="1"/>
  <c r="P178" i="5" s="1"/>
  <c r="P179" i="5" a="1"/>
  <c r="P179" i="5" s="1"/>
  <c r="P180" i="5" a="1"/>
  <c r="P180" i="5" s="1"/>
  <c r="P181" i="5" a="1"/>
  <c r="P181" i="5"/>
  <c r="P182" i="5" a="1"/>
  <c r="P182" i="5" s="1"/>
  <c r="P183" i="5" a="1"/>
  <c r="P183" i="5" s="1"/>
  <c r="P184" i="5" a="1"/>
  <c r="P184" i="5" s="1"/>
  <c r="P185" i="5" a="1"/>
  <c r="P185" i="5" s="1"/>
  <c r="P186" i="5" a="1"/>
  <c r="P186" i="5" s="1"/>
  <c r="P187" i="5" a="1"/>
  <c r="P187" i="5" s="1"/>
  <c r="P188" i="5" a="1"/>
  <c r="P188" i="5" s="1"/>
  <c r="P189" i="5" a="1"/>
  <c r="P189" i="5" s="1"/>
  <c r="P190" i="5" a="1"/>
  <c r="P190" i="5" s="1"/>
  <c r="P191" i="5" a="1"/>
  <c r="P191" i="5" s="1"/>
  <c r="P192" i="5" a="1"/>
  <c r="P192" i="5" s="1"/>
  <c r="P193" i="5" a="1"/>
  <c r="P193" i="5" s="1"/>
  <c r="P194" i="5" a="1"/>
  <c r="P194" i="5" s="1"/>
  <c r="P195" i="5" a="1"/>
  <c r="P195" i="5" s="1"/>
  <c r="P196" i="5" a="1"/>
  <c r="P196" i="5" s="1"/>
  <c r="P197" i="5" a="1"/>
  <c r="P197" i="5" s="1"/>
  <c r="P198" i="5" a="1"/>
  <c r="P198" i="5" s="1"/>
  <c r="P199" i="5" a="1"/>
  <c r="P199" i="5" s="1"/>
  <c r="P200" i="5" a="1"/>
  <c r="P200" i="5" s="1"/>
  <c r="P201" i="5" a="1"/>
  <c r="P201" i="5" s="1"/>
  <c r="P202" i="5" a="1"/>
  <c r="P202" i="5" s="1"/>
  <c r="P203" i="5" a="1"/>
  <c r="P203" i="5" s="1"/>
  <c r="P204" i="5" a="1"/>
  <c r="P204" i="5" s="1"/>
  <c r="P205" i="5" a="1"/>
  <c r="P205" i="5" s="1"/>
  <c r="P206" i="5" a="1"/>
  <c r="P206" i="5" s="1"/>
  <c r="P207" i="5" a="1"/>
  <c r="P207" i="5" s="1"/>
  <c r="P208" i="5" a="1"/>
  <c r="P208" i="5" s="1"/>
  <c r="P209" i="5" a="1"/>
  <c r="P209" i="5" s="1"/>
  <c r="P210" i="5" a="1"/>
  <c r="P210" i="5" s="1"/>
  <c r="P211" i="5" a="1"/>
  <c r="P211" i="5" s="1"/>
  <c r="P212" i="5" a="1"/>
  <c r="P212" i="5" s="1"/>
  <c r="P213" i="5" a="1"/>
  <c r="P213" i="5" s="1"/>
  <c r="P214" i="5" a="1"/>
  <c r="P214" i="5" s="1"/>
  <c r="P215" i="5" a="1"/>
  <c r="P215" i="5" s="1"/>
  <c r="P216" i="5" a="1"/>
  <c r="P216" i="5" s="1"/>
  <c r="P217" i="5" a="1"/>
  <c r="P217" i="5" s="1"/>
  <c r="P218" i="5" a="1"/>
  <c r="P218" i="5" s="1"/>
  <c r="P219" i="5" a="1"/>
  <c r="P219" i="5" s="1"/>
  <c r="P220" i="5" a="1"/>
  <c r="P220" i="5" s="1"/>
  <c r="P221" i="5" a="1"/>
  <c r="P221" i="5" s="1"/>
  <c r="P222" i="5" a="1"/>
  <c r="P222" i="5" s="1"/>
  <c r="P223" i="5" a="1"/>
  <c r="P223" i="5" s="1"/>
  <c r="P224" i="5" a="1"/>
  <c r="P224" i="5"/>
  <c r="P225" i="5" a="1"/>
  <c r="P225" i="5" s="1"/>
  <c r="P226" i="5" a="1"/>
  <c r="P226" i="5" s="1"/>
  <c r="P227" i="5" a="1"/>
  <c r="P227" i="5" s="1"/>
  <c r="P228" i="5" a="1"/>
  <c r="P228" i="5" s="1"/>
  <c r="P229" i="5" a="1"/>
  <c r="P229" i="5" s="1"/>
  <c r="P230" i="5" a="1"/>
  <c r="P230" i="5" s="1"/>
  <c r="P231" i="5" a="1"/>
  <c r="P231" i="5" s="1"/>
  <c r="P232" i="5" a="1"/>
  <c r="P232" i="5" s="1"/>
  <c r="P233" i="5" a="1"/>
  <c r="P233" i="5" s="1"/>
  <c r="P234" i="5" a="1"/>
  <c r="P234" i="5" s="1"/>
  <c r="P235" i="5" a="1"/>
  <c r="P235" i="5" s="1"/>
  <c r="P236" i="5" a="1"/>
  <c r="P236" i="5" s="1"/>
  <c r="P237" i="5" a="1"/>
  <c r="P237" i="5" s="1"/>
  <c r="P238" i="5" a="1"/>
  <c r="P238" i="5" s="1"/>
  <c r="P239" i="5" a="1"/>
  <c r="P239" i="5" s="1"/>
  <c r="P240" i="5" a="1"/>
  <c r="P240" i="5" s="1"/>
  <c r="P241" i="5" a="1"/>
  <c r="P241" i="5" s="1"/>
  <c r="P242" i="5" a="1"/>
  <c r="P242" i="5" s="1"/>
  <c r="P243" i="5" a="1"/>
  <c r="P243" i="5" s="1"/>
  <c r="P244" i="5" a="1"/>
  <c r="P244" i="5" s="1"/>
  <c r="P245" i="5" a="1"/>
  <c r="P245" i="5"/>
  <c r="P246" i="5" a="1"/>
  <c r="P246" i="5" s="1"/>
  <c r="P247" i="5" a="1"/>
  <c r="P247" i="5" s="1"/>
  <c r="P248" i="5" a="1"/>
  <c r="P248" i="5" s="1"/>
  <c r="P249" i="5" a="1"/>
  <c r="P249" i="5" s="1"/>
  <c r="P250" i="5" a="1"/>
  <c r="P250" i="5" s="1"/>
  <c r="P251" i="5" a="1"/>
  <c r="P251" i="5" s="1"/>
  <c r="P252" i="5" a="1"/>
  <c r="P252" i="5" s="1"/>
  <c r="P253" i="5" a="1"/>
  <c r="P253" i="5" s="1"/>
  <c r="P254" i="5" a="1"/>
  <c r="P254" i="5" s="1"/>
  <c r="P255" i="5" a="1"/>
  <c r="P255" i="5" s="1"/>
  <c r="P256" i="5" a="1"/>
  <c r="P256" i="5" s="1"/>
  <c r="P257" i="5" a="1"/>
  <c r="P257" i="5" s="1"/>
  <c r="P258" i="5" a="1"/>
  <c r="P258" i="5" s="1"/>
  <c r="P259" i="5" a="1"/>
  <c r="P259" i="5" s="1"/>
  <c r="P260" i="5" a="1"/>
  <c r="P260" i="5" s="1"/>
  <c r="P261" i="5" a="1"/>
  <c r="P261" i="5" s="1"/>
  <c r="P262" i="5" a="1"/>
  <c r="P262" i="5" s="1"/>
  <c r="P263" i="5" a="1"/>
  <c r="P263" i="5" s="1"/>
  <c r="P264" i="5" a="1"/>
  <c r="P264" i="5" s="1"/>
  <c r="P265" i="5" a="1"/>
  <c r="P265" i="5" s="1"/>
  <c r="P266" i="5" a="1"/>
  <c r="P266" i="5" s="1"/>
  <c r="P267" i="5" a="1"/>
  <c r="P267" i="5" s="1"/>
  <c r="P268" i="5" a="1"/>
  <c r="P268" i="5" s="1"/>
  <c r="P269" i="5" a="1"/>
  <c r="P269" i="5" s="1"/>
  <c r="P270" i="5" a="1"/>
  <c r="P270" i="5" s="1"/>
  <c r="P271" i="5" a="1"/>
  <c r="P271" i="5" s="1"/>
  <c r="P272" i="5" a="1"/>
  <c r="P272" i="5" s="1"/>
  <c r="P273" i="5" a="1"/>
  <c r="P273" i="5" s="1"/>
  <c r="P274" i="5" a="1"/>
  <c r="P274" i="5" s="1"/>
  <c r="P275" i="5" a="1"/>
  <c r="P275" i="5" s="1"/>
  <c r="P276" i="5" a="1"/>
  <c r="P276" i="5" s="1"/>
  <c r="P277" i="5" a="1"/>
  <c r="P277" i="5" s="1"/>
  <c r="P278" i="5" a="1"/>
  <c r="P278" i="5" s="1"/>
  <c r="P279" i="5" a="1"/>
  <c r="P279" i="5" s="1"/>
  <c r="P280" i="5" a="1"/>
  <c r="P280" i="5" s="1"/>
  <c r="P281" i="5" a="1"/>
  <c r="P281" i="5" s="1"/>
  <c r="P282" i="5" a="1"/>
  <c r="P282" i="5" s="1"/>
  <c r="P283" i="5" a="1"/>
  <c r="P283" i="5" s="1"/>
  <c r="P284" i="5" a="1"/>
  <c r="P284" i="5" s="1"/>
  <c r="P285" i="5" a="1"/>
  <c r="P285" i="5" s="1"/>
  <c r="P286" i="5" a="1"/>
  <c r="P286" i="5" s="1"/>
  <c r="P287" i="5" a="1"/>
  <c r="P287" i="5" s="1"/>
  <c r="P288" i="5" a="1"/>
  <c r="P288" i="5"/>
  <c r="P289" i="5" a="1"/>
  <c r="P289" i="5" s="1"/>
  <c r="P290" i="5" a="1"/>
  <c r="P290" i="5" s="1"/>
  <c r="P291" i="5" a="1"/>
  <c r="P291" i="5" s="1"/>
  <c r="P292" i="5" a="1"/>
  <c r="P292" i="5" s="1"/>
  <c r="P293" i="5" a="1"/>
  <c r="P293" i="5" s="1"/>
  <c r="P294" i="5" a="1"/>
  <c r="P294" i="5" s="1"/>
  <c r="P295" i="5" a="1"/>
  <c r="P295" i="5" s="1"/>
  <c r="P296" i="5" a="1"/>
  <c r="P296" i="5" s="1"/>
  <c r="P297" i="5" a="1"/>
  <c r="P297" i="5" s="1"/>
  <c r="P298" i="5" a="1"/>
  <c r="P298" i="5" s="1"/>
  <c r="P299" i="5" a="1"/>
  <c r="P299" i="5" s="1"/>
  <c r="P300" i="5" a="1"/>
  <c r="P300" i="5" s="1"/>
  <c r="P301" i="5" a="1"/>
  <c r="P301" i="5" s="1"/>
  <c r="P302" i="5" a="1"/>
  <c r="P302" i="5" s="1"/>
  <c r="P303" i="5" a="1"/>
  <c r="P303" i="5" s="1"/>
  <c r="P304" i="5" a="1"/>
  <c r="P304" i="5"/>
  <c r="P305" i="5" a="1"/>
  <c r="P305" i="5" s="1"/>
  <c r="P306" i="5" a="1"/>
  <c r="P306" i="5" s="1"/>
  <c r="P307" i="5" a="1"/>
  <c r="P307" i="5" s="1"/>
  <c r="P308" i="5" a="1"/>
  <c r="P308" i="5" s="1"/>
  <c r="P309" i="5" a="1"/>
  <c r="P309" i="5" s="1"/>
  <c r="P310" i="5" a="1"/>
  <c r="P310" i="5" s="1"/>
  <c r="P311" i="5" a="1"/>
  <c r="P311" i="5" s="1"/>
  <c r="P312" i="5" a="1"/>
  <c r="P312" i="5" s="1"/>
  <c r="P313" i="5" a="1"/>
  <c r="P313" i="5" s="1"/>
  <c r="P314" i="5" a="1"/>
  <c r="P314" i="5" s="1"/>
  <c r="P315" i="5" a="1"/>
  <c r="P315" i="5" s="1"/>
  <c r="P316" i="5" a="1"/>
  <c r="P316" i="5" s="1"/>
  <c r="P317" i="5" a="1"/>
  <c r="P317" i="5" s="1"/>
  <c r="P318" i="5" a="1"/>
  <c r="P318" i="5" s="1"/>
  <c r="P319" i="5" a="1"/>
  <c r="P319" i="5" s="1"/>
  <c r="P320" i="5" a="1"/>
  <c r="P320" i="5" s="1"/>
  <c r="P321" i="5" a="1"/>
  <c r="P321" i="5" s="1"/>
  <c r="P322" i="5" a="1"/>
  <c r="P322" i="5" s="1"/>
  <c r="P323" i="5" a="1"/>
  <c r="P323" i="5" s="1"/>
  <c r="P324" i="5" a="1"/>
  <c r="P324" i="5" s="1"/>
  <c r="P325" i="5" a="1"/>
  <c r="P325" i="5" s="1"/>
  <c r="P326" i="5" a="1"/>
  <c r="P326" i="5" s="1"/>
  <c r="P327" i="5" a="1"/>
  <c r="P327" i="5" s="1"/>
  <c r="P328" i="5" a="1"/>
  <c r="P328" i="5" s="1"/>
  <c r="P329" i="5" a="1"/>
  <c r="P329" i="5" s="1"/>
  <c r="P330" i="5" a="1"/>
  <c r="P330" i="5" s="1"/>
  <c r="P331" i="5" a="1"/>
  <c r="P331" i="5" s="1"/>
  <c r="P332" i="5" a="1"/>
  <c r="P332" i="5" s="1"/>
  <c r="P333" i="5" a="1"/>
  <c r="P333" i="5" s="1"/>
  <c r="P334" i="5" a="1"/>
  <c r="P334" i="5" s="1"/>
  <c r="P335" i="5" a="1"/>
  <c r="P335" i="5" s="1"/>
  <c r="P336" i="5" a="1"/>
  <c r="P336" i="5" s="1"/>
  <c r="P337" i="5" a="1"/>
  <c r="P337" i="5" s="1"/>
  <c r="P338" i="5" a="1"/>
  <c r="P338" i="5" s="1"/>
  <c r="P339" i="5" a="1"/>
  <c r="P339" i="5" s="1"/>
  <c r="P340" i="5" a="1"/>
  <c r="P340" i="5" s="1"/>
  <c r="P341" i="5" a="1"/>
  <c r="P341" i="5" s="1"/>
  <c r="P342" i="5" a="1"/>
  <c r="P342" i="5" s="1"/>
  <c r="P343" i="5" a="1"/>
  <c r="P343" i="5" s="1"/>
  <c r="P344" i="5" a="1"/>
  <c r="P344" i="5" s="1"/>
  <c r="P345" i="5" a="1"/>
  <c r="P345" i="5" s="1"/>
  <c r="P346" i="5" a="1"/>
  <c r="P346" i="5" s="1"/>
  <c r="P347" i="5" a="1"/>
  <c r="P347" i="5" s="1"/>
  <c r="P348" i="5" a="1"/>
  <c r="P348" i="5" s="1"/>
  <c r="P349" i="5" a="1"/>
  <c r="P349" i="5" s="1"/>
  <c r="P350" i="5" a="1"/>
  <c r="P350" i="5" s="1"/>
  <c r="P351" i="5" a="1"/>
  <c r="P351" i="5" s="1"/>
  <c r="P352" i="5" a="1"/>
  <c r="P352" i="5" s="1"/>
  <c r="P353" i="5" a="1"/>
  <c r="P353" i="5" s="1"/>
  <c r="P354" i="5" a="1"/>
  <c r="P354" i="5" s="1"/>
  <c r="P355" i="5" a="1"/>
  <c r="P355" i="5" s="1"/>
  <c r="P356" i="5" a="1"/>
  <c r="P356" i="5" s="1"/>
  <c r="P357" i="5" a="1"/>
  <c r="P357" i="5" s="1"/>
  <c r="P358" i="5" a="1"/>
  <c r="P358" i="5" s="1"/>
  <c r="P359" i="5" a="1"/>
  <c r="P359" i="5" s="1"/>
  <c r="P360" i="5" a="1"/>
  <c r="P360" i="5" s="1"/>
  <c r="P361" i="5" a="1"/>
  <c r="P361" i="5"/>
  <c r="P362" i="5" a="1"/>
  <c r="P362" i="5" s="1"/>
  <c r="P363" i="5" a="1"/>
  <c r="P363" i="5" s="1"/>
  <c r="P364" i="5" a="1"/>
  <c r="P364" i="5" s="1"/>
  <c r="P365" i="5" a="1"/>
  <c r="P365" i="5" s="1"/>
  <c r="P366" i="5" a="1"/>
  <c r="P366" i="5" s="1"/>
  <c r="P367" i="5" a="1"/>
  <c r="P367" i="5" s="1"/>
  <c r="P368" i="5" a="1"/>
  <c r="P368" i="5" s="1"/>
  <c r="P369" i="5" a="1"/>
  <c r="P369" i="5" s="1"/>
  <c r="P370" i="5" a="1"/>
  <c r="P370" i="5" s="1"/>
  <c r="P371" i="5" a="1"/>
  <c r="P371" i="5" s="1"/>
  <c r="P372" i="5" a="1"/>
  <c r="P372" i="5" s="1"/>
  <c r="P373" i="5" a="1"/>
  <c r="P373" i="5" s="1"/>
  <c r="P374" i="5" a="1"/>
  <c r="P374" i="5" s="1"/>
  <c r="P375" i="5" a="1"/>
  <c r="P375" i="5" s="1"/>
  <c r="P376" i="5" a="1"/>
  <c r="P376" i="5" s="1"/>
  <c r="P377" i="5" a="1"/>
  <c r="P377" i="5" s="1"/>
  <c r="P378" i="5" a="1"/>
  <c r="P378" i="5" s="1"/>
  <c r="P379" i="5" a="1"/>
  <c r="P379" i="5" s="1"/>
  <c r="P380" i="5" a="1"/>
  <c r="P380" i="5" s="1"/>
  <c r="P381" i="5" a="1"/>
  <c r="P381" i="5" s="1"/>
  <c r="P382" i="5" a="1"/>
  <c r="P382" i="5" s="1"/>
  <c r="P383" i="5" a="1"/>
  <c r="P383" i="5" s="1"/>
  <c r="P384" i="5" a="1"/>
  <c r="P384" i="5" s="1"/>
  <c r="P385" i="5" a="1"/>
  <c r="P385" i="5" s="1"/>
  <c r="P386" i="5" a="1"/>
  <c r="P386" i="5" s="1"/>
  <c r="P387" i="5" a="1"/>
  <c r="P387" i="5" s="1"/>
  <c r="P388" i="5" a="1"/>
  <c r="P388" i="5" s="1"/>
  <c r="P389" i="5" a="1"/>
  <c r="P389" i="5" s="1"/>
  <c r="P390" i="5" a="1"/>
  <c r="P390" i="5" s="1"/>
  <c r="P391" i="5" a="1"/>
  <c r="P391" i="5" s="1"/>
  <c r="P392" i="5" a="1"/>
  <c r="P392" i="5" s="1"/>
  <c r="P393" i="5" a="1"/>
  <c r="P393" i="5"/>
  <c r="P394" i="5" a="1"/>
  <c r="P394" i="5" s="1"/>
  <c r="P395" i="5" a="1"/>
  <c r="P395" i="5" s="1"/>
  <c r="P396" i="5" a="1"/>
  <c r="P396" i="5" s="1"/>
  <c r="P397" i="5" a="1"/>
  <c r="P397" i="5"/>
  <c r="P398" i="5" a="1"/>
  <c r="P398" i="5" s="1"/>
  <c r="P399" i="5" a="1"/>
  <c r="P399" i="5" s="1"/>
  <c r="P400" i="5" a="1"/>
  <c r="P400" i="5" s="1"/>
  <c r="P401" i="5" a="1"/>
  <c r="P401" i="5" s="1"/>
  <c r="P402" i="5" a="1"/>
  <c r="P402" i="5" s="1"/>
  <c r="P403" i="5" a="1"/>
  <c r="P403" i="5" s="1"/>
  <c r="P404" i="5" a="1"/>
  <c r="P404" i="5" s="1"/>
  <c r="P405" i="5" a="1"/>
  <c r="P405" i="5" s="1"/>
  <c r="P406" i="5" a="1"/>
  <c r="P406" i="5" s="1"/>
  <c r="P407" i="5" a="1"/>
  <c r="P407" i="5" s="1"/>
  <c r="P408" i="5" a="1"/>
  <c r="P408" i="5" s="1"/>
  <c r="P409" i="5" a="1"/>
  <c r="P409" i="5" s="1"/>
  <c r="P410" i="5" a="1"/>
  <c r="P410" i="5" s="1"/>
  <c r="P411" i="5" a="1"/>
  <c r="P411" i="5" s="1"/>
  <c r="P412" i="5" a="1"/>
  <c r="P412" i="5" s="1"/>
  <c r="P413" i="5" a="1"/>
  <c r="P413" i="5" s="1"/>
  <c r="P414" i="5" a="1"/>
  <c r="P414" i="5" s="1"/>
  <c r="P415" i="5" a="1"/>
  <c r="P415" i="5" s="1"/>
  <c r="P416" i="5" a="1"/>
  <c r="P416" i="5" s="1"/>
  <c r="P417" i="5" a="1"/>
  <c r="P417" i="5" s="1"/>
  <c r="P418" i="5" a="1"/>
  <c r="P418" i="5" s="1"/>
  <c r="P419" i="5" a="1"/>
  <c r="P419" i="5" s="1"/>
  <c r="P420" i="5" a="1"/>
  <c r="P420" i="5" s="1"/>
  <c r="P421" i="5" a="1"/>
  <c r="P421" i="5" s="1"/>
  <c r="P422" i="5" a="1"/>
  <c r="P422" i="5" s="1"/>
  <c r="P423" i="5" a="1"/>
  <c r="P423" i="5" s="1"/>
  <c r="P424" i="5" a="1"/>
  <c r="P424" i="5" s="1"/>
  <c r="P425" i="5" a="1"/>
  <c r="P425" i="5"/>
  <c r="P426" i="5" a="1"/>
  <c r="P426" i="5" s="1"/>
  <c r="P427" i="5" a="1"/>
  <c r="P427" i="5" s="1"/>
  <c r="P428" i="5" a="1"/>
  <c r="P428" i="5" s="1"/>
  <c r="P429" i="5" a="1"/>
  <c r="P429" i="5"/>
  <c r="P430" i="5" a="1"/>
  <c r="P430" i="5" s="1"/>
  <c r="P431" i="5" a="1"/>
  <c r="P431" i="5" s="1"/>
  <c r="P432" i="5" a="1"/>
  <c r="P432" i="5" s="1"/>
  <c r="P433" i="5" a="1"/>
  <c r="P433" i="5" s="1"/>
  <c r="P434" i="5" a="1"/>
  <c r="P434" i="5" s="1"/>
  <c r="P435" i="5" a="1"/>
  <c r="P435" i="5" s="1"/>
  <c r="P436" i="5" a="1"/>
  <c r="P436" i="5" s="1"/>
  <c r="P437" i="5" a="1"/>
  <c r="P437" i="5" s="1"/>
  <c r="P438" i="5" a="1"/>
  <c r="P438" i="5" s="1"/>
  <c r="P439" i="5" a="1"/>
  <c r="P439" i="5" s="1"/>
  <c r="P440" i="5" a="1"/>
  <c r="P440" i="5" s="1"/>
  <c r="P441" i="5" a="1"/>
  <c r="P441" i="5" s="1"/>
  <c r="P442" i="5" a="1"/>
  <c r="P442" i="5" s="1"/>
  <c r="P443" i="5" a="1"/>
  <c r="P443" i="5" s="1"/>
  <c r="P444" i="5" a="1"/>
  <c r="P444" i="5" s="1"/>
  <c r="P445" i="5" a="1"/>
  <c r="P445" i="5" s="1"/>
  <c r="P446" i="5" a="1"/>
  <c r="P446" i="5" s="1"/>
  <c r="P447" i="5" a="1"/>
  <c r="P447" i="5" s="1"/>
  <c r="P448" i="5" a="1"/>
  <c r="P448" i="5" s="1"/>
  <c r="P449" i="5" a="1"/>
  <c r="P449" i="5"/>
  <c r="P450" i="5" a="1"/>
  <c r="P450" i="5" s="1"/>
  <c r="P451" i="5" a="1"/>
  <c r="P451" i="5" s="1"/>
  <c r="P452" i="5" a="1"/>
  <c r="P452" i="5" s="1"/>
  <c r="P453" i="5" a="1"/>
  <c r="P453" i="5" s="1"/>
  <c r="P454" i="5" a="1"/>
  <c r="P454" i="5" s="1"/>
  <c r="P455" i="5" a="1"/>
  <c r="P455" i="5" s="1"/>
  <c r="P456" i="5" a="1"/>
  <c r="P456" i="5" s="1"/>
  <c r="P457" i="5" a="1"/>
  <c r="P457" i="5" s="1"/>
  <c r="P458" i="5" a="1"/>
  <c r="P458" i="5" s="1"/>
  <c r="P459" i="5" a="1"/>
  <c r="P459" i="5" s="1"/>
  <c r="P460" i="5" a="1"/>
  <c r="P460" i="5" s="1"/>
  <c r="P461" i="5" a="1"/>
  <c r="P461" i="5"/>
  <c r="P462" i="5" a="1"/>
  <c r="P462" i="5" s="1"/>
  <c r="P463" i="5" a="1"/>
  <c r="P463" i="5" s="1"/>
  <c r="P464" i="5" a="1"/>
  <c r="P464" i="5" s="1"/>
  <c r="P465" i="5" a="1"/>
  <c r="P465" i="5" s="1"/>
  <c r="P466" i="5" a="1"/>
  <c r="P466" i="5" s="1"/>
  <c r="P467" i="5" a="1"/>
  <c r="P467" i="5" s="1"/>
  <c r="P468" i="5" a="1"/>
  <c r="P468" i="5" s="1"/>
  <c r="P469" i="5" a="1"/>
  <c r="P469" i="5" s="1"/>
  <c r="P470" i="5" a="1"/>
  <c r="P470" i="5" s="1"/>
  <c r="P471" i="5" a="1"/>
  <c r="P471" i="5" s="1"/>
  <c r="P472" i="5" a="1"/>
  <c r="P472" i="5" s="1"/>
  <c r="P473" i="5" a="1"/>
  <c r="P473" i="5" s="1"/>
  <c r="P474" i="5" a="1"/>
  <c r="P474" i="5" s="1"/>
  <c r="P475" i="5" a="1"/>
  <c r="P475" i="5" s="1"/>
  <c r="P476" i="5" a="1"/>
  <c r="P476" i="5" s="1"/>
  <c r="P477" i="5" a="1"/>
  <c r="P477" i="5" s="1"/>
  <c r="P478" i="5" a="1"/>
  <c r="P478" i="5" s="1"/>
  <c r="P479" i="5" a="1"/>
  <c r="P479" i="5" s="1"/>
  <c r="P480" i="5" a="1"/>
  <c r="P480" i="5" s="1"/>
  <c r="P481" i="5" a="1"/>
  <c r="P481" i="5"/>
  <c r="P482" i="5" a="1"/>
  <c r="P482" i="5" s="1"/>
  <c r="P483" i="5" a="1"/>
  <c r="P483" i="5" s="1"/>
  <c r="P484" i="5" a="1"/>
  <c r="P484" i="5" s="1"/>
  <c r="P485" i="5" a="1"/>
  <c r="P485" i="5" s="1"/>
  <c r="P486" i="5" a="1"/>
  <c r="P486" i="5" s="1"/>
  <c r="P487" i="5" a="1"/>
  <c r="P487" i="5" s="1"/>
  <c r="P488" i="5" a="1"/>
  <c r="P488" i="5" s="1"/>
  <c r="P489" i="5" a="1"/>
  <c r="P489" i="5"/>
  <c r="P490" i="5" a="1"/>
  <c r="P490" i="5" s="1"/>
  <c r="P491" i="5" a="1"/>
  <c r="P491" i="5" s="1"/>
  <c r="P492" i="5" a="1"/>
  <c r="P492" i="5" s="1"/>
  <c r="P493" i="5" a="1"/>
  <c r="P493" i="5" s="1"/>
  <c r="P494" i="5" a="1"/>
  <c r="P494" i="5" s="1"/>
  <c r="P495" i="5" a="1"/>
  <c r="P495" i="5" s="1"/>
  <c r="P496" i="5" a="1"/>
  <c r="P496" i="5" s="1"/>
  <c r="P497" i="5" a="1"/>
  <c r="P497" i="5" s="1"/>
  <c r="P498" i="5" a="1"/>
  <c r="P498" i="5" s="1"/>
  <c r="P499" i="5" a="1"/>
  <c r="P499" i="5" s="1"/>
  <c r="P500" i="5" a="1"/>
  <c r="P500" i="5" s="1"/>
  <c r="P501" i="5" a="1"/>
  <c r="P501" i="5" s="1"/>
  <c r="P502" i="5" a="1"/>
  <c r="P502" i="5" s="1"/>
  <c r="P503" i="5" a="1"/>
  <c r="P503" i="5" s="1"/>
  <c r="P504" i="5" a="1"/>
  <c r="P504" i="5" s="1"/>
  <c r="P505" i="5" a="1"/>
  <c r="P505" i="5" s="1"/>
  <c r="P506" i="5" a="1"/>
  <c r="P506" i="5" s="1"/>
  <c r="P507" i="5" a="1"/>
  <c r="P507" i="5" s="1"/>
  <c r="P508" i="5" a="1"/>
  <c r="P508" i="5" s="1"/>
  <c r="P509" i="5" a="1"/>
  <c r="P509" i="5" s="1"/>
  <c r="P510" i="5" a="1"/>
  <c r="P510" i="5" s="1"/>
  <c r="P511" i="5" a="1"/>
  <c r="P511" i="5" s="1"/>
  <c r="P512" i="5" a="1"/>
  <c r="P512" i="5" s="1"/>
  <c r="P513" i="5" a="1"/>
  <c r="P513" i="5"/>
  <c r="P514" i="5" a="1"/>
  <c r="P514" i="5" s="1"/>
  <c r="P515" i="5" a="1"/>
  <c r="P515" i="5" s="1"/>
  <c r="P516" i="5" a="1"/>
  <c r="P516" i="5" s="1"/>
  <c r="P517" i="5" a="1"/>
  <c r="P517" i="5" s="1"/>
  <c r="P518" i="5" a="1"/>
  <c r="P518" i="5" s="1"/>
  <c r="P519" i="5" a="1"/>
  <c r="P519" i="5" s="1"/>
  <c r="P520" i="5" a="1"/>
  <c r="P520" i="5" s="1"/>
  <c r="P521" i="5" a="1"/>
  <c r="P521" i="5" s="1"/>
  <c r="P522" i="5" a="1"/>
  <c r="P522" i="5" s="1"/>
  <c r="P523" i="5" a="1"/>
  <c r="P523" i="5" s="1"/>
  <c r="P524" i="5" a="1"/>
  <c r="P524" i="5" s="1"/>
  <c r="P525" i="5" a="1"/>
  <c r="P525" i="5"/>
  <c r="P526" i="5" a="1"/>
  <c r="P526" i="5" s="1"/>
  <c r="P527" i="5" a="1"/>
  <c r="P527" i="5" s="1"/>
  <c r="P528" i="5" a="1"/>
  <c r="P528" i="5" s="1"/>
  <c r="P529" i="5" a="1"/>
  <c r="P529" i="5" s="1"/>
  <c r="P530" i="5" a="1"/>
  <c r="P530" i="5" s="1"/>
  <c r="P531" i="5" a="1"/>
  <c r="P531" i="5" s="1"/>
  <c r="P532" i="5" a="1"/>
  <c r="P532" i="5" s="1"/>
  <c r="P533" i="5" a="1"/>
  <c r="P533" i="5" s="1"/>
  <c r="P534" i="5" a="1"/>
  <c r="P534" i="5" s="1"/>
  <c r="P535" i="5" a="1"/>
  <c r="P535" i="5" s="1"/>
  <c r="P536" i="5" a="1"/>
  <c r="P536" i="5" s="1"/>
  <c r="P537" i="5" a="1"/>
  <c r="P537" i="5" s="1"/>
  <c r="P538" i="5" a="1"/>
  <c r="P538" i="5" s="1"/>
  <c r="P539" i="5" a="1"/>
  <c r="P539" i="5" s="1"/>
  <c r="P540" i="5" a="1"/>
  <c r="P540" i="5" s="1"/>
  <c r="P541" i="5" a="1"/>
  <c r="P541" i="5" s="1"/>
  <c r="P542" i="5" a="1"/>
  <c r="P542" i="5" s="1"/>
  <c r="P543" i="5" a="1"/>
  <c r="P543" i="5" s="1"/>
  <c r="P544" i="5" a="1"/>
  <c r="P544" i="5" s="1"/>
  <c r="P545" i="5" a="1"/>
  <c r="P545" i="5" s="1"/>
  <c r="P546" i="5" a="1"/>
  <c r="P546" i="5" s="1"/>
  <c r="P547" i="5" a="1"/>
  <c r="P547" i="5" s="1"/>
  <c r="P548" i="5" a="1"/>
  <c r="P548" i="5" s="1"/>
  <c r="P549" i="5" a="1"/>
  <c r="P549" i="5" s="1"/>
  <c r="P550" i="5" a="1"/>
  <c r="P550" i="5" s="1"/>
  <c r="P551" i="5" a="1"/>
  <c r="P551" i="5" s="1"/>
  <c r="P552" i="5" a="1"/>
  <c r="P552" i="5" s="1"/>
  <c r="P553" i="5" a="1"/>
  <c r="P553" i="5" s="1"/>
  <c r="P554" i="5" a="1"/>
  <c r="P554" i="5"/>
  <c r="P555" i="5" a="1"/>
  <c r="P555" i="5" s="1"/>
  <c r="P556" i="5" a="1"/>
  <c r="P556" i="5" s="1"/>
  <c r="P557" i="5" a="1"/>
  <c r="P557" i="5" s="1"/>
  <c r="P558" i="5" a="1"/>
  <c r="P558" i="5" s="1"/>
  <c r="P559" i="5" a="1"/>
  <c r="P559" i="5" s="1"/>
  <c r="P560" i="5" a="1"/>
  <c r="P560" i="5" s="1"/>
  <c r="P561" i="5" a="1"/>
  <c r="P561" i="5" s="1"/>
  <c r="P562" i="5" a="1"/>
  <c r="P562" i="5" s="1"/>
  <c r="P563" i="5" a="1"/>
  <c r="P563" i="5" s="1"/>
  <c r="P564" i="5" a="1"/>
  <c r="P564" i="5" s="1"/>
  <c r="P565" i="5" a="1"/>
  <c r="P565" i="5" s="1"/>
  <c r="P566" i="5" a="1"/>
  <c r="P566" i="5" s="1"/>
  <c r="P567" i="5" a="1"/>
  <c r="P567" i="5" s="1"/>
  <c r="P568" i="5" a="1"/>
  <c r="P568" i="5" s="1"/>
  <c r="P569" i="5" a="1"/>
  <c r="P569" i="5" s="1"/>
  <c r="P570" i="5" a="1"/>
  <c r="P570" i="5" s="1"/>
  <c r="P571" i="5" a="1"/>
  <c r="P571" i="5" s="1"/>
  <c r="P572" i="5" a="1"/>
  <c r="P572" i="5" s="1"/>
  <c r="P573" i="5" a="1"/>
  <c r="P573" i="5" s="1"/>
  <c r="P574" i="5" a="1"/>
  <c r="P574" i="5" s="1"/>
  <c r="P575" i="5" a="1"/>
  <c r="P575" i="5" s="1"/>
  <c r="P576" i="5" a="1"/>
  <c r="P576" i="5" s="1"/>
  <c r="P577" i="5" a="1"/>
  <c r="P577" i="5" s="1"/>
  <c r="P578" i="5" a="1"/>
  <c r="P578" i="5" s="1"/>
  <c r="P579" i="5" a="1"/>
  <c r="P579" i="5" s="1"/>
  <c r="P580" i="5" a="1"/>
  <c r="P580" i="5" s="1"/>
  <c r="P581" i="5" a="1"/>
  <c r="P581" i="5" s="1"/>
  <c r="P582" i="5" a="1"/>
  <c r="P582" i="5" s="1"/>
  <c r="P583" i="5" a="1"/>
  <c r="P583" i="5" s="1"/>
  <c r="P584" i="5" a="1"/>
  <c r="P584" i="5" s="1"/>
  <c r="P585" i="5" a="1"/>
  <c r="P585" i="5" s="1"/>
  <c r="P586" i="5" a="1"/>
  <c r="P586" i="5" s="1"/>
  <c r="P587" i="5" a="1"/>
  <c r="P587" i="5" s="1"/>
  <c r="P588" i="5" a="1"/>
  <c r="P588" i="5" s="1"/>
  <c r="P589" i="5" a="1"/>
  <c r="P589" i="5" s="1"/>
  <c r="P590" i="5" a="1"/>
  <c r="P590" i="5" s="1"/>
  <c r="P591" i="5" a="1"/>
  <c r="P591" i="5" s="1"/>
  <c r="P592" i="5" a="1"/>
  <c r="P592" i="5" s="1"/>
  <c r="P593" i="5" a="1"/>
  <c r="P593" i="5" s="1"/>
  <c r="P594" i="5" a="1"/>
  <c r="P594" i="5" s="1"/>
  <c r="P595" i="5" a="1"/>
  <c r="P595" i="5" s="1"/>
  <c r="P596" i="5" a="1"/>
  <c r="P596" i="5" s="1"/>
  <c r="P597" i="5" a="1"/>
  <c r="P597" i="5" s="1"/>
  <c r="P598" i="5" a="1"/>
  <c r="P598" i="5" s="1"/>
  <c r="P599" i="5" a="1"/>
  <c r="P599" i="5" s="1"/>
  <c r="P600" i="5" a="1"/>
  <c r="P600" i="5" s="1"/>
  <c r="P601" i="5" a="1"/>
  <c r="P601" i="5" s="1"/>
  <c r="P602" i="5" a="1"/>
  <c r="P602" i="5" s="1"/>
  <c r="P603" i="5" a="1"/>
  <c r="P603" i="5" s="1"/>
  <c r="P604" i="5" a="1"/>
  <c r="P604" i="5" s="1"/>
  <c r="P605" i="5" a="1"/>
  <c r="P605" i="5" s="1"/>
  <c r="P606" i="5" a="1"/>
  <c r="P606" i="5" s="1"/>
  <c r="P607" i="5" a="1"/>
  <c r="P607" i="5" s="1"/>
  <c r="P608" i="5" a="1"/>
  <c r="P608" i="5" s="1"/>
  <c r="P609" i="5" a="1"/>
  <c r="P609" i="5" s="1"/>
  <c r="P610" i="5" a="1"/>
  <c r="P610" i="5" s="1"/>
  <c r="P611" i="5" a="1"/>
  <c r="P611" i="5" s="1"/>
  <c r="P612" i="5" a="1"/>
  <c r="P612" i="5" s="1"/>
  <c r="P613" i="5" a="1"/>
  <c r="P613" i="5" s="1"/>
  <c r="P614" i="5" a="1"/>
  <c r="P614" i="5" s="1"/>
  <c r="P615" i="5" a="1"/>
  <c r="P615" i="5" s="1"/>
  <c r="P616" i="5" a="1"/>
  <c r="P616" i="5" s="1"/>
  <c r="P617" i="5" a="1"/>
  <c r="P617" i="5" s="1"/>
  <c r="P618" i="5" a="1"/>
  <c r="P618" i="5" s="1"/>
  <c r="P619" i="5" a="1"/>
  <c r="P619" i="5" s="1"/>
  <c r="P620" i="5" a="1"/>
  <c r="P620" i="5" s="1"/>
  <c r="P621" i="5" a="1"/>
  <c r="P621" i="5" s="1"/>
  <c r="P622" i="5" a="1"/>
  <c r="P622" i="5" s="1"/>
  <c r="P623" i="5" a="1"/>
  <c r="P623" i="5" s="1"/>
  <c r="P624" i="5" a="1"/>
  <c r="P624" i="5" s="1"/>
  <c r="P625" i="5" a="1"/>
  <c r="P625" i="5" s="1"/>
  <c r="P626" i="5" a="1"/>
  <c r="P626" i="5" s="1"/>
  <c r="P627" i="5" a="1"/>
  <c r="P627" i="5" s="1"/>
  <c r="P628" i="5" a="1"/>
  <c r="P628" i="5" s="1"/>
  <c r="P629" i="5" a="1"/>
  <c r="P629" i="5" s="1"/>
  <c r="P630" i="5" a="1"/>
  <c r="P630" i="5" s="1"/>
  <c r="P631" i="5" a="1"/>
  <c r="P631" i="5" s="1"/>
  <c r="P632" i="5" a="1"/>
  <c r="P632" i="5" s="1"/>
  <c r="P633" i="5" a="1"/>
  <c r="P633" i="5" s="1"/>
  <c r="P634" i="5" a="1"/>
  <c r="P634" i="5" s="1"/>
  <c r="P635" i="5" a="1"/>
  <c r="P635" i="5" s="1"/>
  <c r="P636" i="5" a="1"/>
  <c r="P636" i="5" s="1"/>
  <c r="P637" i="5" a="1"/>
  <c r="P637" i="5" s="1"/>
  <c r="P638" i="5" a="1"/>
  <c r="P638" i="5" s="1"/>
  <c r="P639" i="5" a="1"/>
  <c r="P639" i="5" s="1"/>
  <c r="P640" i="5" a="1"/>
  <c r="P640" i="5" s="1"/>
  <c r="P641" i="5" a="1"/>
  <c r="P641" i="5" s="1"/>
  <c r="P642" i="5" a="1"/>
  <c r="P642" i="5" s="1"/>
  <c r="P643" i="5" a="1"/>
  <c r="P643" i="5" s="1"/>
  <c r="P644" i="5" a="1"/>
  <c r="P644" i="5" s="1"/>
  <c r="P645" i="5" a="1"/>
  <c r="P645" i="5" s="1"/>
  <c r="P646" i="5" a="1"/>
  <c r="P646" i="5" s="1"/>
  <c r="P647" i="5" a="1"/>
  <c r="P647" i="5" s="1"/>
  <c r="P648" i="5" a="1"/>
  <c r="P648" i="5" s="1"/>
  <c r="P649" i="5" a="1"/>
  <c r="P649" i="5" s="1"/>
  <c r="P650" i="5" a="1"/>
  <c r="P650" i="5" s="1"/>
  <c r="P651" i="5" a="1"/>
  <c r="P651" i="5" s="1"/>
  <c r="P652" i="5" a="1"/>
  <c r="P652" i="5" s="1"/>
  <c r="P653" i="5" a="1"/>
  <c r="P653" i="5" s="1"/>
  <c r="P654" i="5" a="1"/>
  <c r="P654" i="5" s="1"/>
  <c r="P655" i="5" a="1"/>
  <c r="P655" i="5" s="1"/>
  <c r="P656" i="5" a="1"/>
  <c r="P656" i="5" s="1"/>
  <c r="P657" i="5" a="1"/>
  <c r="P657" i="5" s="1"/>
  <c r="P658" i="5" a="1"/>
  <c r="P658" i="5" s="1"/>
  <c r="P659" i="5" a="1"/>
  <c r="P659" i="5" s="1"/>
  <c r="P660" i="5" a="1"/>
  <c r="P660" i="5" s="1"/>
  <c r="P661" i="5" a="1"/>
  <c r="P661" i="5" s="1"/>
  <c r="P662" i="5" a="1"/>
  <c r="P662" i="5" s="1"/>
  <c r="P663" i="5" a="1"/>
  <c r="P663" i="5" s="1"/>
  <c r="P664" i="5" a="1"/>
  <c r="P664" i="5" s="1"/>
  <c r="P665" i="5" a="1"/>
  <c r="P665" i="5" s="1"/>
  <c r="P666" i="5" a="1"/>
  <c r="P666" i="5" s="1"/>
  <c r="P667" i="5" a="1"/>
  <c r="P667" i="5" s="1"/>
  <c r="P668" i="5" a="1"/>
  <c r="P668" i="5" s="1"/>
  <c r="P669" i="5" a="1"/>
  <c r="P669" i="5" s="1"/>
  <c r="P670" i="5" a="1"/>
  <c r="P670" i="5" s="1"/>
  <c r="P671" i="5" a="1"/>
  <c r="P671" i="5" s="1"/>
  <c r="P672" i="5" a="1"/>
  <c r="P672" i="5" s="1"/>
  <c r="P673" i="5" a="1"/>
  <c r="P673" i="5" s="1"/>
  <c r="P674" i="5" a="1"/>
  <c r="P674" i="5" s="1"/>
  <c r="P675" i="5" a="1"/>
  <c r="P675" i="5" s="1"/>
  <c r="P676" i="5" a="1"/>
  <c r="P676" i="5" s="1"/>
  <c r="P677" i="5" a="1"/>
  <c r="P677" i="5" s="1"/>
  <c r="P678" i="5" a="1"/>
  <c r="P678" i="5" s="1"/>
  <c r="P679" i="5" a="1"/>
  <c r="P679" i="5" s="1"/>
  <c r="P680" i="5" a="1"/>
  <c r="P680" i="5" s="1"/>
  <c r="P681" i="5" a="1"/>
  <c r="P681" i="5" s="1"/>
  <c r="P682" i="5" a="1"/>
  <c r="P682" i="5" s="1"/>
  <c r="P683" i="5" a="1"/>
  <c r="P683" i="5" s="1"/>
  <c r="P684" i="5" a="1"/>
  <c r="P684" i="5" s="1"/>
  <c r="P685" i="5" a="1"/>
  <c r="P685" i="5" s="1"/>
  <c r="P686" i="5" a="1"/>
  <c r="P686" i="5" s="1"/>
  <c r="P687" i="5" a="1"/>
  <c r="P687" i="5" s="1"/>
  <c r="P688" i="5" a="1"/>
  <c r="P688" i="5" s="1"/>
  <c r="P689" i="5" a="1"/>
  <c r="P689" i="5" s="1"/>
  <c r="P690" i="5" a="1"/>
  <c r="P690" i="5" s="1"/>
  <c r="P691" i="5" a="1"/>
  <c r="P691" i="5" s="1"/>
  <c r="P692" i="5" a="1"/>
  <c r="P692" i="5" s="1"/>
  <c r="P693" i="5" a="1"/>
  <c r="P693" i="5" s="1"/>
  <c r="P694" i="5" a="1"/>
  <c r="P694" i="5" s="1"/>
  <c r="P695" i="5" a="1"/>
  <c r="P695" i="5" s="1"/>
  <c r="P696" i="5" a="1"/>
  <c r="P696" i="5" s="1"/>
  <c r="P697" i="5" a="1"/>
  <c r="P697" i="5" s="1"/>
  <c r="P698" i="5" a="1"/>
  <c r="P698" i="5" s="1"/>
  <c r="P699" i="5" a="1"/>
  <c r="P699" i="5" s="1"/>
  <c r="P700" i="5" a="1"/>
  <c r="P700" i="5" s="1"/>
  <c r="P701" i="5" a="1"/>
  <c r="P701" i="5" s="1"/>
  <c r="P702" i="5" a="1"/>
  <c r="P702" i="5" s="1"/>
  <c r="P703" i="5" a="1"/>
  <c r="P703" i="5" s="1"/>
  <c r="P704" i="5" a="1"/>
  <c r="P704" i="5" s="1"/>
  <c r="P705" i="5" a="1"/>
  <c r="P705" i="5" s="1"/>
  <c r="P706" i="5" a="1"/>
  <c r="P706" i="5" s="1"/>
  <c r="P707" i="5" a="1"/>
  <c r="P707" i="5" s="1"/>
  <c r="P708" i="5" a="1"/>
  <c r="P708" i="5" s="1"/>
  <c r="P709" i="5" a="1"/>
  <c r="P709" i="5" s="1"/>
  <c r="P710" i="5" a="1"/>
  <c r="P710" i="5" s="1"/>
  <c r="P711" i="5" a="1"/>
  <c r="P711" i="5" s="1"/>
  <c r="P712" i="5" a="1"/>
  <c r="P712" i="5" s="1"/>
  <c r="P713" i="5" a="1"/>
  <c r="P713" i="5" s="1"/>
  <c r="P714" i="5" a="1"/>
  <c r="P714" i="5" s="1"/>
  <c r="P715" i="5" a="1"/>
  <c r="P715" i="5" s="1"/>
  <c r="P716" i="5" a="1"/>
  <c r="P716" i="5" s="1"/>
  <c r="P717" i="5" a="1"/>
  <c r="P717" i="5" s="1"/>
  <c r="P718" i="5" a="1"/>
  <c r="P718" i="5" s="1"/>
  <c r="P719" i="5" a="1"/>
  <c r="P719" i="5" s="1"/>
  <c r="P720" i="5" a="1"/>
  <c r="P720" i="5" s="1"/>
  <c r="P721" i="5" a="1"/>
  <c r="P721" i="5" s="1"/>
  <c r="P722" i="5" a="1"/>
  <c r="P722" i="5" s="1"/>
  <c r="P723" i="5" a="1"/>
  <c r="P723" i="5" s="1"/>
  <c r="P724" i="5" a="1"/>
  <c r="P724" i="5" s="1"/>
  <c r="P725" i="5" a="1"/>
  <c r="P725" i="5" s="1"/>
  <c r="P726" i="5" a="1"/>
  <c r="P726" i="5" s="1"/>
  <c r="P727" i="5" a="1"/>
  <c r="P727" i="5" s="1"/>
  <c r="P728" i="5" a="1"/>
  <c r="P728" i="5" s="1"/>
  <c r="P729" i="5" a="1"/>
  <c r="P729" i="5" s="1"/>
  <c r="P730" i="5" a="1"/>
  <c r="P730" i="5" s="1"/>
  <c r="P731" i="5" a="1"/>
  <c r="P731" i="5" s="1"/>
  <c r="P732" i="5" a="1"/>
  <c r="P732" i="5" s="1"/>
  <c r="P733" i="5" a="1"/>
  <c r="P733" i="5" s="1"/>
  <c r="P734" i="5" a="1"/>
  <c r="P734" i="5" s="1"/>
  <c r="P735" i="5" a="1"/>
  <c r="P735" i="5" s="1"/>
  <c r="P736" i="5" a="1"/>
  <c r="P736" i="5" s="1"/>
  <c r="P737" i="5" a="1"/>
  <c r="P737" i="5" s="1"/>
  <c r="P738" i="5" a="1"/>
  <c r="P738" i="5" s="1"/>
  <c r="P739" i="5" a="1"/>
  <c r="P739" i="5" s="1"/>
  <c r="P740" i="5" a="1"/>
  <c r="P740" i="5" s="1"/>
  <c r="P741" i="5" a="1"/>
  <c r="P741" i="5" s="1"/>
  <c r="P742" i="5" a="1"/>
  <c r="P742" i="5" s="1"/>
  <c r="P743" i="5" a="1"/>
  <c r="P743" i="5" s="1"/>
  <c r="P744" i="5" a="1"/>
  <c r="P744" i="5" s="1"/>
  <c r="P745" i="5" a="1"/>
  <c r="P745" i="5" s="1"/>
  <c r="P746" i="5" a="1"/>
  <c r="P746" i="5" s="1"/>
  <c r="P747" i="5" a="1"/>
  <c r="P747" i="5" s="1"/>
  <c r="P748" i="5" a="1"/>
  <c r="P748" i="5" s="1"/>
  <c r="P749" i="5" a="1"/>
  <c r="P749" i="5" s="1"/>
  <c r="P750" i="5" a="1"/>
  <c r="P750" i="5" s="1"/>
  <c r="P751" i="5" a="1"/>
  <c r="P751" i="5" s="1"/>
  <c r="P752" i="5" a="1"/>
  <c r="P752" i="5" s="1"/>
  <c r="P753" i="5" a="1"/>
  <c r="P753" i="5" s="1"/>
  <c r="P754" i="5" a="1"/>
  <c r="P754" i="5" s="1"/>
  <c r="P755" i="5" a="1"/>
  <c r="P755" i="5" s="1"/>
  <c r="P756" i="5" a="1"/>
  <c r="P756" i="5" s="1"/>
  <c r="P757" i="5" a="1"/>
  <c r="P757" i="5" s="1"/>
  <c r="P758" i="5" a="1"/>
  <c r="P758" i="5" s="1"/>
  <c r="P759" i="5" a="1"/>
  <c r="P759" i="5" s="1"/>
  <c r="P760" i="5" a="1"/>
  <c r="P760" i="5" s="1"/>
  <c r="P761" i="5" a="1"/>
  <c r="P761" i="5" s="1"/>
  <c r="P762" i="5" a="1"/>
  <c r="P762" i="5" s="1"/>
  <c r="P763" i="5" a="1"/>
  <c r="P763" i="5" s="1"/>
  <c r="P764" i="5" a="1"/>
  <c r="P764" i="5" s="1"/>
  <c r="P765" i="5" a="1"/>
  <c r="P765" i="5" s="1"/>
  <c r="P766" i="5" a="1"/>
  <c r="P766" i="5" s="1"/>
  <c r="P767" i="5" a="1"/>
  <c r="P767" i="5" s="1"/>
  <c r="P768" i="5" a="1"/>
  <c r="P768" i="5" s="1"/>
  <c r="P769" i="5" a="1"/>
  <c r="P769" i="5" s="1"/>
  <c r="P770" i="5" a="1"/>
  <c r="P770" i="5" s="1"/>
  <c r="P771" i="5" a="1"/>
  <c r="P771" i="5" s="1"/>
  <c r="P772" i="5" a="1"/>
  <c r="P772" i="5" s="1"/>
  <c r="P773" i="5" a="1"/>
  <c r="P773" i="5" s="1"/>
  <c r="P774" i="5" a="1"/>
  <c r="P774" i="5" s="1"/>
  <c r="P775" i="5" a="1"/>
  <c r="P775" i="5" s="1"/>
  <c r="P776" i="5" a="1"/>
  <c r="P776" i="5" s="1"/>
  <c r="P777" i="5" a="1"/>
  <c r="P777" i="5" s="1"/>
  <c r="P778" i="5" a="1"/>
  <c r="P778" i="5" s="1"/>
  <c r="P779" i="5" a="1"/>
  <c r="P779" i="5" s="1"/>
  <c r="P780" i="5" a="1"/>
  <c r="P780" i="5" s="1"/>
  <c r="P781" i="5" a="1"/>
  <c r="P781" i="5" s="1"/>
  <c r="P782" i="5" a="1"/>
  <c r="P782" i="5" s="1"/>
  <c r="P783" i="5" a="1"/>
  <c r="P783" i="5" s="1"/>
  <c r="P784" i="5" a="1"/>
  <c r="P784" i="5" s="1"/>
  <c r="P785" i="5" a="1"/>
  <c r="P785" i="5" s="1"/>
  <c r="P786" i="5" a="1"/>
  <c r="P786" i="5" s="1"/>
  <c r="P787" i="5" a="1"/>
  <c r="P787" i="5" s="1"/>
  <c r="P788" i="5" a="1"/>
  <c r="P788" i="5" s="1"/>
  <c r="P789" i="5" a="1"/>
  <c r="P789" i="5" s="1"/>
  <c r="P790" i="5" a="1"/>
  <c r="P790" i="5" s="1"/>
  <c r="P791" i="5" a="1"/>
  <c r="P791" i="5" s="1"/>
  <c r="P792" i="5" a="1"/>
  <c r="P792" i="5" s="1"/>
  <c r="P793" i="5" a="1"/>
  <c r="P793" i="5" s="1"/>
  <c r="P794" i="5" a="1"/>
  <c r="P794" i="5" s="1"/>
  <c r="P795" i="5" a="1"/>
  <c r="P795" i="5" s="1"/>
  <c r="P796" i="5" a="1"/>
  <c r="P796" i="5" s="1"/>
  <c r="P797" i="5" a="1"/>
  <c r="P797" i="5" s="1"/>
  <c r="P798" i="5" a="1"/>
  <c r="P798" i="5" s="1"/>
  <c r="P799" i="5" a="1"/>
  <c r="P799" i="5" s="1"/>
  <c r="P800" i="5" a="1"/>
  <c r="P800" i="5" s="1"/>
  <c r="P801" i="5" a="1"/>
  <c r="P801" i="5" s="1"/>
  <c r="P802" i="5" a="1"/>
  <c r="P802" i="5" s="1"/>
  <c r="P803" i="5" a="1"/>
  <c r="P803" i="5" s="1"/>
  <c r="P804" i="5" a="1"/>
  <c r="P804" i="5" s="1"/>
  <c r="P805" i="5" a="1"/>
  <c r="P805" i="5"/>
  <c r="P806" i="5" a="1"/>
  <c r="P806" i="5" s="1"/>
  <c r="P807" i="5" a="1"/>
  <c r="P807" i="5" s="1"/>
  <c r="P808" i="5" a="1"/>
  <c r="P808" i="5" s="1"/>
  <c r="P809" i="5" a="1"/>
  <c r="P809" i="5" s="1"/>
  <c r="P810" i="5" a="1"/>
  <c r="P810" i="5" s="1"/>
  <c r="P811" i="5" a="1"/>
  <c r="P811" i="5" s="1"/>
  <c r="P812" i="5" a="1"/>
  <c r="P812" i="5" s="1"/>
  <c r="P813" i="5" a="1"/>
  <c r="P813" i="5" s="1"/>
  <c r="P814" i="5" a="1"/>
  <c r="P814" i="5" s="1"/>
  <c r="P815" i="5" a="1"/>
  <c r="P815" i="5" s="1"/>
  <c r="P816" i="5" a="1"/>
  <c r="P816" i="5" s="1"/>
  <c r="P817" i="5" a="1"/>
  <c r="P817" i="5" s="1"/>
  <c r="P818" i="5" a="1"/>
  <c r="P818" i="5" s="1"/>
  <c r="P819" i="5" a="1"/>
  <c r="P819" i="5" s="1"/>
  <c r="P820" i="5" a="1"/>
  <c r="P820" i="5" s="1"/>
  <c r="P821" i="5" a="1"/>
  <c r="P821" i="5" s="1"/>
  <c r="P822" i="5" a="1"/>
  <c r="P822" i="5" s="1"/>
  <c r="P823" i="5" a="1"/>
  <c r="P823" i="5" s="1"/>
  <c r="P824" i="5" a="1"/>
  <c r="P824" i="5" s="1"/>
  <c r="P825" i="5" a="1"/>
  <c r="P825" i="5" s="1"/>
  <c r="P826" i="5" a="1"/>
  <c r="P826" i="5"/>
  <c r="P827" i="5" a="1"/>
  <c r="P827" i="5" s="1"/>
  <c r="P828" i="5" a="1"/>
  <c r="P828" i="5" s="1"/>
  <c r="P829" i="5" a="1"/>
  <c r="P829" i="5" s="1"/>
  <c r="P830" i="5" a="1"/>
  <c r="P830" i="5" s="1"/>
  <c r="P831" i="5" a="1"/>
  <c r="P831" i="5" s="1"/>
  <c r="P832" i="5" a="1"/>
  <c r="P832" i="5" s="1"/>
  <c r="P833" i="5" a="1"/>
  <c r="P833" i="5" s="1"/>
  <c r="P834" i="5" a="1"/>
  <c r="P834" i="5" s="1"/>
  <c r="P835" i="5" a="1"/>
  <c r="P835" i="5" s="1"/>
  <c r="P836" i="5" a="1"/>
  <c r="P836" i="5" s="1"/>
  <c r="P837" i="5" a="1"/>
  <c r="P837" i="5" s="1"/>
  <c r="P838" i="5" a="1"/>
  <c r="P838" i="5" s="1"/>
  <c r="P839" i="5" a="1"/>
  <c r="P839" i="5" s="1"/>
  <c r="P840" i="5" a="1"/>
  <c r="P840" i="5" s="1"/>
  <c r="P841" i="5" a="1"/>
  <c r="P841" i="5" s="1"/>
  <c r="P842" i="5" a="1"/>
  <c r="P842" i="5" s="1"/>
  <c r="P843" i="5" a="1"/>
  <c r="P843" i="5" s="1"/>
  <c r="P844" i="5" a="1"/>
  <c r="P844" i="5" s="1"/>
  <c r="P845" i="5" a="1"/>
  <c r="P845" i="5" s="1"/>
  <c r="P846" i="5" a="1"/>
  <c r="P846" i="5" s="1"/>
  <c r="P847" i="5" a="1"/>
  <c r="P847" i="5" s="1"/>
  <c r="P848" i="5" a="1"/>
  <c r="P848" i="5" s="1"/>
  <c r="P849" i="5" a="1"/>
  <c r="P849" i="5" s="1"/>
  <c r="P850" i="5" a="1"/>
  <c r="P850" i="5" s="1"/>
  <c r="P851" i="5" a="1"/>
  <c r="P851" i="5" s="1"/>
  <c r="P852" i="5" a="1"/>
  <c r="P852" i="5" s="1"/>
  <c r="P853" i="5" a="1"/>
  <c r="P853" i="5" s="1"/>
  <c r="P854" i="5" a="1"/>
  <c r="P854" i="5" s="1"/>
  <c r="P855" i="5" a="1"/>
  <c r="P855" i="5" s="1"/>
  <c r="P856" i="5" a="1"/>
  <c r="P856" i="5" s="1"/>
  <c r="P857" i="5" a="1"/>
  <c r="P857" i="5"/>
  <c r="P858" i="5" a="1"/>
  <c r="P858" i="5" s="1"/>
  <c r="P859" i="5" a="1"/>
  <c r="P859" i="5" s="1"/>
  <c r="P860" i="5" a="1"/>
  <c r="P860" i="5" s="1"/>
  <c r="P861" i="5" a="1"/>
  <c r="P861" i="5" s="1"/>
  <c r="P862" i="5" a="1"/>
  <c r="P862" i="5" s="1"/>
  <c r="P863" i="5" a="1"/>
  <c r="P863" i="5" s="1"/>
  <c r="P864" i="5" a="1"/>
  <c r="P864" i="5" s="1"/>
  <c r="P865" i="5" a="1"/>
  <c r="P865" i="5"/>
  <c r="P866" i="5" a="1"/>
  <c r="P866" i="5" s="1"/>
  <c r="P867" i="5" a="1"/>
  <c r="P867" i="5" s="1"/>
  <c r="P868" i="5" a="1"/>
  <c r="P868" i="5" s="1"/>
  <c r="P869" i="5" a="1"/>
  <c r="P869" i="5" s="1"/>
  <c r="P870" i="5" a="1"/>
  <c r="P870" i="5" s="1"/>
  <c r="P871" i="5" a="1"/>
  <c r="P871" i="5" s="1"/>
  <c r="P872" i="5" a="1"/>
  <c r="P872" i="5" s="1"/>
  <c r="P873" i="5" a="1"/>
  <c r="P873" i="5" s="1"/>
  <c r="P874" i="5" a="1"/>
  <c r="P874" i="5" s="1"/>
  <c r="P875" i="5" a="1"/>
  <c r="P875" i="5" s="1"/>
  <c r="P876" i="5" a="1"/>
  <c r="P876" i="5" s="1"/>
  <c r="P877" i="5" a="1"/>
  <c r="P877" i="5" s="1"/>
  <c r="P878" i="5" a="1"/>
  <c r="P878" i="5" s="1"/>
  <c r="P879" i="5" a="1"/>
  <c r="P879" i="5" s="1"/>
  <c r="P880" i="5" a="1"/>
  <c r="P880" i="5" s="1"/>
  <c r="P881" i="5" a="1"/>
  <c r="P881" i="5" s="1"/>
  <c r="P882" i="5" a="1"/>
  <c r="P882" i="5" s="1"/>
  <c r="P883" i="5" a="1"/>
  <c r="P883" i="5" s="1"/>
  <c r="P884" i="5" a="1"/>
  <c r="P884" i="5" s="1"/>
  <c r="P885" i="5" a="1"/>
  <c r="P885" i="5" s="1"/>
  <c r="P886" i="5" a="1"/>
  <c r="P886" i="5" s="1"/>
  <c r="P887" i="5" a="1"/>
  <c r="P887" i="5" s="1"/>
  <c r="P888" i="5" a="1"/>
  <c r="P888" i="5" s="1"/>
  <c r="P889" i="5" a="1"/>
  <c r="P889" i="5"/>
  <c r="P890" i="5" a="1"/>
  <c r="P890" i="5" s="1"/>
  <c r="P891" i="5" a="1"/>
  <c r="P891" i="5" s="1"/>
  <c r="P892" i="5" a="1"/>
  <c r="P892" i="5" s="1"/>
  <c r="P893" i="5" a="1"/>
  <c r="P893" i="5"/>
  <c r="P894" i="5" a="1"/>
  <c r="P894" i="5" s="1"/>
  <c r="P895" i="5" a="1"/>
  <c r="P895" i="5" s="1"/>
  <c r="P896" i="5" a="1"/>
  <c r="P896" i="5" s="1"/>
  <c r="P897" i="5" a="1"/>
  <c r="P897" i="5" s="1"/>
  <c r="P898" i="5" a="1"/>
  <c r="P898" i="5" s="1"/>
  <c r="P899" i="5" a="1"/>
  <c r="P899" i="5" s="1"/>
  <c r="P900" i="5" a="1"/>
  <c r="P900" i="5" s="1"/>
  <c r="P901" i="5" a="1"/>
  <c r="P901" i="5" s="1"/>
  <c r="P902" i="5" a="1"/>
  <c r="P902" i="5" s="1"/>
  <c r="P903" i="5" a="1"/>
  <c r="P903" i="5" s="1"/>
  <c r="P904" i="5" a="1"/>
  <c r="P904" i="5" s="1"/>
  <c r="P905" i="5" a="1"/>
  <c r="P905" i="5"/>
  <c r="P906" i="5" a="1"/>
  <c r="P906" i="5" s="1"/>
  <c r="P907" i="5" a="1"/>
  <c r="P907" i="5" s="1"/>
  <c r="P908" i="5" a="1"/>
  <c r="P908" i="5" s="1"/>
  <c r="P909" i="5" a="1"/>
  <c r="P909" i="5" s="1"/>
  <c r="P910" i="5" a="1"/>
  <c r="P910" i="5" s="1"/>
  <c r="P911" i="5" a="1"/>
  <c r="P911" i="5" s="1"/>
  <c r="P912" i="5" a="1"/>
  <c r="P912" i="5" s="1"/>
  <c r="P913" i="5" a="1"/>
  <c r="P913" i="5" s="1"/>
  <c r="P914" i="5" a="1"/>
  <c r="P914" i="5" s="1"/>
  <c r="P915" i="5" a="1"/>
  <c r="P915" i="5" s="1"/>
  <c r="P916" i="5" a="1"/>
  <c r="P916" i="5" s="1"/>
  <c r="P917" i="5" a="1"/>
  <c r="P917" i="5" s="1"/>
  <c r="P918" i="5" a="1"/>
  <c r="P918" i="5" s="1"/>
  <c r="P919" i="5" a="1"/>
  <c r="P919" i="5" s="1"/>
  <c r="P920" i="5" a="1"/>
  <c r="P920" i="5" s="1"/>
  <c r="P921" i="5" a="1"/>
  <c r="P921" i="5" s="1"/>
  <c r="P922" i="5" a="1"/>
  <c r="P922" i="5" s="1"/>
  <c r="P923" i="5" a="1"/>
  <c r="P923" i="5" s="1"/>
  <c r="P924" i="5" a="1"/>
  <c r="P924" i="5" s="1"/>
  <c r="P925" i="5" a="1"/>
  <c r="P925" i="5"/>
  <c r="P926" i="5" a="1"/>
  <c r="P926" i="5" s="1"/>
  <c r="P927" i="5" a="1"/>
  <c r="P927" i="5" s="1"/>
  <c r="P928" i="5" a="1"/>
  <c r="P928" i="5" s="1"/>
  <c r="P929" i="5" a="1"/>
  <c r="P929" i="5" s="1"/>
  <c r="P930" i="5" a="1"/>
  <c r="P930" i="5" s="1"/>
  <c r="P931" i="5" a="1"/>
  <c r="P931" i="5" s="1"/>
  <c r="P932" i="5" a="1"/>
  <c r="P932" i="5" s="1"/>
  <c r="P933" i="5" a="1"/>
  <c r="P933" i="5" s="1"/>
  <c r="P934" i="5" a="1"/>
  <c r="P934" i="5" s="1"/>
  <c r="P935" i="5" a="1"/>
  <c r="P935" i="5" s="1"/>
  <c r="P936" i="5" a="1"/>
  <c r="P936" i="5" s="1"/>
  <c r="P937" i="5" a="1"/>
  <c r="P937" i="5"/>
  <c r="P938" i="5" a="1"/>
  <c r="P938" i="5" s="1"/>
  <c r="P939" i="5" a="1"/>
  <c r="P939" i="5" s="1"/>
  <c r="P940" i="5" a="1"/>
  <c r="P940" i="5" s="1"/>
  <c r="P941" i="5" a="1"/>
  <c r="P941" i="5" s="1"/>
  <c r="P942" i="5" a="1"/>
  <c r="P942" i="5" s="1"/>
  <c r="P943" i="5" a="1"/>
  <c r="P943" i="5" s="1"/>
  <c r="P944" i="5" a="1"/>
  <c r="P944" i="5" s="1"/>
  <c r="P945" i="5" a="1"/>
  <c r="P945" i="5" s="1"/>
  <c r="P946" i="5" a="1"/>
  <c r="P946" i="5" s="1"/>
  <c r="P947" i="5" a="1"/>
  <c r="P947" i="5" s="1"/>
  <c r="P948" i="5" a="1"/>
  <c r="P948" i="5" s="1"/>
  <c r="P949" i="5" a="1"/>
  <c r="P949" i="5" s="1"/>
  <c r="P950" i="5" a="1"/>
  <c r="P950" i="5" s="1"/>
  <c r="P951" i="5" a="1"/>
  <c r="P951" i="5" s="1"/>
  <c r="P952" i="5" a="1"/>
  <c r="P952" i="5" s="1"/>
  <c r="P953" i="5" a="1"/>
  <c r="P953" i="5" s="1"/>
  <c r="P954" i="5" a="1"/>
  <c r="P954" i="5" s="1"/>
  <c r="P955" i="5" a="1"/>
  <c r="P955" i="5" s="1"/>
  <c r="P956" i="5" a="1"/>
  <c r="P956" i="5" s="1"/>
  <c r="P957" i="5" a="1"/>
  <c r="P957" i="5" s="1"/>
  <c r="P958" i="5" a="1"/>
  <c r="P958" i="5" s="1"/>
  <c r="P959" i="5" a="1"/>
  <c r="P959" i="5"/>
  <c r="P960" i="5" a="1"/>
  <c r="P960" i="5" s="1"/>
  <c r="P961" i="5" a="1"/>
  <c r="P961" i="5" s="1"/>
  <c r="P962" i="5" a="1"/>
  <c r="P962" i="5" s="1"/>
  <c r="P963" i="5" a="1"/>
  <c r="P963" i="5"/>
  <c r="P964" i="5" a="1"/>
  <c r="P964" i="5" s="1"/>
  <c r="P965" i="5" a="1"/>
  <c r="P965" i="5" s="1"/>
  <c r="P966" i="5" a="1"/>
  <c r="P966" i="5" s="1"/>
  <c r="P967" i="5" a="1"/>
  <c r="P967" i="5" s="1"/>
  <c r="P968" i="5" a="1"/>
  <c r="P968" i="5" s="1"/>
  <c r="P969" i="5" a="1"/>
  <c r="P969" i="5" s="1"/>
  <c r="P970" i="5" a="1"/>
  <c r="P970" i="5" s="1"/>
  <c r="P971" i="5" a="1"/>
  <c r="P971" i="5" s="1"/>
  <c r="P972" i="5" a="1"/>
  <c r="P972" i="5" s="1"/>
  <c r="P973" i="5" a="1"/>
  <c r="P973" i="5" s="1"/>
  <c r="P974" i="5" a="1"/>
  <c r="P974" i="5" s="1"/>
  <c r="P975" i="5" a="1"/>
  <c r="P975" i="5"/>
  <c r="P976" i="5" a="1"/>
  <c r="P976" i="5" s="1"/>
  <c r="P977" i="5" a="1"/>
  <c r="P977" i="5" s="1"/>
  <c r="P978" i="5" a="1"/>
  <c r="P978" i="5" s="1"/>
  <c r="P979" i="5" a="1"/>
  <c r="P979" i="5"/>
  <c r="P980" i="5" a="1"/>
  <c r="P980" i="5" s="1"/>
  <c r="P981" i="5" a="1"/>
  <c r="P981" i="5" s="1"/>
  <c r="P982" i="5" a="1"/>
  <c r="P982" i="5" s="1"/>
  <c r="P983" i="5" a="1"/>
  <c r="P983" i="5" s="1"/>
  <c r="P984" i="5" a="1"/>
  <c r="P984" i="5" s="1"/>
  <c r="P985" i="5" a="1"/>
  <c r="P985" i="5" s="1"/>
  <c r="P986" i="5" a="1"/>
  <c r="P986" i="5" s="1"/>
  <c r="P987" i="5" a="1"/>
  <c r="P987" i="5" s="1"/>
  <c r="P988" i="5" a="1"/>
  <c r="P988" i="5" s="1"/>
  <c r="P989" i="5" a="1"/>
  <c r="P989" i="5" s="1"/>
  <c r="P990" i="5" a="1"/>
  <c r="P990" i="5" s="1"/>
  <c r="P991" i="5" a="1"/>
  <c r="P991" i="5"/>
  <c r="P992" i="5" a="1"/>
  <c r="P992" i="5" s="1"/>
  <c r="P993" i="5" a="1"/>
  <c r="P993" i="5" s="1"/>
  <c r="P994" i="5" a="1"/>
  <c r="P994" i="5" s="1"/>
  <c r="P995" i="5" a="1"/>
  <c r="P995" i="5"/>
  <c r="P996" i="5" a="1"/>
  <c r="P996" i="5" s="1"/>
  <c r="P997" i="5" a="1"/>
  <c r="P997" i="5" s="1"/>
  <c r="P998" i="5" a="1"/>
  <c r="P998" i="5" s="1"/>
  <c r="P999" i="5" a="1"/>
  <c r="P999" i="5" s="1"/>
  <c r="P1000" i="5" a="1"/>
  <c r="P1000" i="5" s="1"/>
  <c r="P1001" i="5" a="1"/>
  <c r="P1001" i="5" s="1"/>
  <c r="P1002" i="5" a="1"/>
  <c r="P1002" i="5" s="1"/>
  <c r="P1003" i="5" a="1"/>
  <c r="P1003" i="5" s="1"/>
  <c r="P1004" i="5" a="1"/>
  <c r="P1004" i="5" s="1"/>
  <c r="P1005" i="5" a="1"/>
  <c r="P1005" i="5" s="1"/>
  <c r="P1006" i="5" a="1"/>
  <c r="P1006" i="5" s="1"/>
  <c r="P1007" i="5" a="1"/>
  <c r="P1007" i="5"/>
  <c r="P1008" i="5" a="1"/>
  <c r="P1008" i="5" s="1"/>
  <c r="P1009" i="5" a="1"/>
  <c r="P1009" i="5" s="1"/>
  <c r="P1010" i="5" a="1"/>
  <c r="P1010" i="5" s="1"/>
  <c r="P1011" i="5" a="1"/>
  <c r="P1011" i="5"/>
  <c r="P1012" i="5" a="1"/>
  <c r="P1012" i="5" s="1"/>
  <c r="P1013" i="5" a="1"/>
  <c r="P1013" i="5" s="1"/>
  <c r="P1014" i="5" a="1"/>
  <c r="P1014" i="5" s="1"/>
  <c r="P1015" i="5" a="1"/>
  <c r="P1015" i="5"/>
  <c r="P1016" i="5" a="1"/>
  <c r="P1016" i="5" s="1"/>
  <c r="P1017" i="5" a="1"/>
  <c r="P1017" i="5" s="1"/>
  <c r="P1018" i="5" a="1"/>
  <c r="P1018" i="5" s="1"/>
  <c r="P1019" i="5" a="1"/>
  <c r="P1019" i="5" s="1"/>
  <c r="P1020" i="5" a="1"/>
  <c r="P1020" i="5" s="1"/>
  <c r="P1021" i="5" a="1"/>
  <c r="P1021" i="5" s="1"/>
  <c r="P1022" i="5" a="1"/>
  <c r="P1022" i="5" s="1"/>
  <c r="P1023" i="5" a="1"/>
  <c r="P1023" i="5"/>
  <c r="P1024" i="5" a="1"/>
  <c r="P1024" i="5" s="1"/>
  <c r="P1025" i="5" a="1"/>
  <c r="P1025" i="5" s="1"/>
  <c r="P1026" i="5" a="1"/>
  <c r="P1026" i="5" s="1"/>
  <c r="P1027" i="5" a="1"/>
  <c r="P1027" i="5" s="1"/>
  <c r="P1028" i="5" a="1"/>
  <c r="P1028" i="5" s="1"/>
  <c r="P1029" i="5" a="1"/>
  <c r="P1029" i="5" s="1"/>
  <c r="P1030" i="5" a="1"/>
  <c r="P1030" i="5" s="1"/>
  <c r="P1031" i="5" a="1"/>
  <c r="P1031" i="5"/>
  <c r="P1032" i="5" a="1"/>
  <c r="P1032" i="5" s="1"/>
  <c r="P1033" i="5" a="1"/>
  <c r="P1033" i="5" s="1"/>
  <c r="P1034" i="5" a="1"/>
  <c r="P1034" i="5" s="1"/>
  <c r="P1035" i="5" a="1"/>
  <c r="P1035" i="5" s="1"/>
  <c r="P1036" i="5" a="1"/>
  <c r="P1036" i="5" s="1"/>
  <c r="P1037" i="5" a="1"/>
  <c r="P1037" i="5" s="1"/>
  <c r="P1038" i="5" a="1"/>
  <c r="P1038" i="5" s="1"/>
  <c r="P1039" i="5" a="1"/>
  <c r="P1039" i="5"/>
  <c r="P1040" i="5" a="1"/>
  <c r="P1040" i="5" s="1"/>
  <c r="P1041" i="5" a="1"/>
  <c r="P1041" i="5" s="1"/>
  <c r="P1042" i="5" a="1"/>
  <c r="P1042" i="5" s="1"/>
  <c r="P1043" i="5" a="1"/>
  <c r="P1043" i="5"/>
  <c r="P1044" i="5" a="1"/>
  <c r="P1044" i="5" s="1"/>
  <c r="P1045" i="5" a="1"/>
  <c r="P1045" i="5" s="1"/>
  <c r="P1046" i="5" a="1"/>
  <c r="P1046" i="5" s="1"/>
  <c r="P1047" i="5" a="1"/>
  <c r="P1047" i="5"/>
  <c r="P1048" i="5" a="1"/>
  <c r="P1048" i="5" s="1"/>
  <c r="P1049" i="5" a="1"/>
  <c r="P1049" i="5" s="1"/>
  <c r="P1050" i="5" a="1"/>
  <c r="P1050" i="5" s="1"/>
  <c r="P1051" i="5" a="1"/>
  <c r="P1051" i="5" s="1"/>
  <c r="P1052" i="5" a="1"/>
  <c r="P1052" i="5" s="1"/>
  <c r="P1053" i="5" a="1"/>
  <c r="P1053" i="5" s="1"/>
  <c r="P1054" i="5" a="1"/>
  <c r="P1054" i="5" s="1"/>
  <c r="P1055" i="5" a="1"/>
  <c r="P1055" i="5"/>
  <c r="P1056" i="5" a="1"/>
  <c r="P1056" i="5" s="1"/>
  <c r="P1057" i="5" a="1"/>
  <c r="P1057" i="5" s="1"/>
  <c r="P1058" i="5" a="1"/>
  <c r="P1058" i="5" s="1"/>
  <c r="P1059" i="5" a="1"/>
  <c r="P1059" i="5" s="1"/>
  <c r="P1060" i="5" a="1"/>
  <c r="P1060" i="5" s="1"/>
  <c r="P1061" i="5" a="1"/>
  <c r="P1061" i="5" s="1"/>
  <c r="P1062" i="5" a="1"/>
  <c r="P1062" i="5" s="1"/>
  <c r="P1063" i="5" a="1"/>
  <c r="P1063" i="5"/>
  <c r="P1064" i="5" a="1"/>
  <c r="P1064" i="5" s="1"/>
  <c r="P1065" i="5" a="1"/>
  <c r="P1065" i="5" s="1"/>
  <c r="P1066" i="5" a="1"/>
  <c r="P1066" i="5" s="1"/>
  <c r="P1067" i="5" a="1"/>
  <c r="P1067" i="5" s="1"/>
  <c r="P1068" i="5" a="1"/>
  <c r="P1068" i="5" s="1"/>
  <c r="P1069" i="5" a="1"/>
  <c r="P1069" i="5" s="1"/>
  <c r="P1070" i="5" a="1"/>
  <c r="P1070" i="5" s="1"/>
  <c r="P1071" i="5" a="1"/>
  <c r="P1071" i="5"/>
  <c r="P1072" i="5" a="1"/>
  <c r="P1072" i="5" s="1"/>
  <c r="P1073" i="5" a="1"/>
  <c r="P1073" i="5" s="1"/>
  <c r="P1074" i="5" a="1"/>
  <c r="P1074" i="5" s="1"/>
  <c r="P1075" i="5" a="1"/>
  <c r="P1075" i="5"/>
  <c r="P1076" i="5" a="1"/>
  <c r="P1076" i="5" s="1"/>
  <c r="P1077" i="5" a="1"/>
  <c r="P1077" i="5" s="1"/>
  <c r="P1078" i="5" a="1"/>
  <c r="P1078" i="5" s="1"/>
  <c r="P1079" i="5" a="1"/>
  <c r="P1079" i="5"/>
  <c r="P1080" i="5" a="1"/>
  <c r="P1080" i="5" s="1"/>
  <c r="P1081" i="5" a="1"/>
  <c r="P1081" i="5" s="1"/>
  <c r="P1082" i="5" a="1"/>
  <c r="P1082" i="5" s="1"/>
  <c r="P1083" i="5" a="1"/>
  <c r="P1083" i="5" s="1"/>
  <c r="P1084" i="5" a="1"/>
  <c r="P1084" i="5" s="1"/>
  <c r="P1085" i="5" a="1"/>
  <c r="P1085" i="5" s="1"/>
  <c r="P1086" i="5" a="1"/>
  <c r="P1086" i="5" s="1"/>
  <c r="P1087" i="5" a="1"/>
  <c r="P1087" i="5"/>
  <c r="P1088" i="5" a="1"/>
  <c r="P1088" i="5" s="1"/>
  <c r="P1089" i="5" a="1"/>
  <c r="P1089" i="5" s="1"/>
  <c r="P1090" i="5" a="1"/>
  <c r="P1090" i="5" s="1"/>
  <c r="P1091" i="5" a="1"/>
  <c r="P1091" i="5" s="1"/>
  <c r="P1092" i="5" a="1"/>
  <c r="P1092" i="5" s="1"/>
  <c r="P1093" i="5" a="1"/>
  <c r="P1093" i="5" s="1"/>
  <c r="P1094" i="5" a="1"/>
  <c r="P1094" i="5" s="1"/>
  <c r="P1095" i="5" a="1"/>
  <c r="P1095" i="5"/>
  <c r="P1096" i="5" a="1"/>
  <c r="P1096" i="5" s="1"/>
  <c r="P1097" i="5" a="1"/>
  <c r="P1097" i="5" s="1"/>
  <c r="P1098" i="5" a="1"/>
  <c r="P1098" i="5" s="1"/>
  <c r="P1099" i="5" a="1"/>
  <c r="P1099" i="5" s="1"/>
  <c r="P1100" i="5" a="1"/>
  <c r="P1100" i="5" s="1"/>
  <c r="P1101" i="5" a="1"/>
  <c r="P1101" i="5" s="1"/>
  <c r="P1102" i="5" a="1"/>
  <c r="P1102" i="5" s="1"/>
  <c r="P1103" i="5" a="1"/>
  <c r="P1103" i="5"/>
  <c r="P1104" i="5" a="1"/>
  <c r="P1104" i="5" s="1"/>
  <c r="P1105" i="5" a="1"/>
  <c r="P1105" i="5" s="1"/>
  <c r="P1106" i="5" a="1"/>
  <c r="P1106" i="5" s="1"/>
  <c r="P1107" i="5" a="1"/>
  <c r="P1107" i="5"/>
  <c r="P1108" i="5" a="1"/>
  <c r="P1108" i="5" s="1"/>
  <c r="P1109" i="5" a="1"/>
  <c r="P1109" i="5" s="1"/>
  <c r="P1110" i="5" a="1"/>
  <c r="P1110" i="5" s="1"/>
  <c r="P1111" i="5" a="1"/>
  <c r="P1111" i="5"/>
  <c r="P1112" i="5" a="1"/>
  <c r="P1112" i="5" s="1"/>
  <c r="P1113" i="5" a="1"/>
  <c r="P1113" i="5" s="1"/>
  <c r="P1114" i="5" a="1"/>
  <c r="P1114" i="5" s="1"/>
  <c r="P1115" i="5" a="1"/>
  <c r="P1115" i="5" s="1"/>
  <c r="P1116" i="5" a="1"/>
  <c r="P1116" i="5" s="1"/>
  <c r="P1117" i="5" a="1"/>
  <c r="P1117" i="5" s="1"/>
  <c r="P1118" i="5" a="1"/>
  <c r="P1118" i="5" s="1"/>
  <c r="P1119" i="5" a="1"/>
  <c r="P1119" i="5"/>
  <c r="P1120" i="5" a="1"/>
  <c r="P1120" i="5" s="1"/>
  <c r="P1121" i="5" a="1"/>
  <c r="P1121" i="5" s="1"/>
  <c r="P1122" i="5" a="1"/>
  <c r="P1122" i="5" s="1"/>
  <c r="P1123" i="5" a="1"/>
  <c r="P1123" i="5" s="1"/>
  <c r="P1124" i="5" a="1"/>
  <c r="P1124" i="5" s="1"/>
  <c r="P1125" i="5" a="1"/>
  <c r="P1125" i="5" s="1"/>
  <c r="P1126" i="5" a="1"/>
  <c r="P1126" i="5" s="1"/>
  <c r="P1127" i="5" a="1"/>
  <c r="P1127" i="5" s="1"/>
  <c r="P1128" i="5" a="1"/>
  <c r="P1128" i="5" s="1"/>
  <c r="P1129" i="5" a="1"/>
  <c r="P1129" i="5" s="1"/>
  <c r="P1130" i="5" a="1"/>
  <c r="P1130" i="5" s="1"/>
  <c r="P1131" i="5" a="1"/>
  <c r="P1131" i="5" s="1"/>
  <c r="P1132" i="5" a="1"/>
  <c r="P1132" i="5" s="1"/>
  <c r="P1133" i="5" a="1"/>
  <c r="P1133" i="5" s="1"/>
  <c r="P1134" i="5" a="1"/>
  <c r="P1134" i="5" s="1"/>
  <c r="P1135" i="5" a="1"/>
  <c r="P1135" i="5" s="1"/>
  <c r="P1136" i="5" a="1"/>
  <c r="P1136" i="5" s="1"/>
  <c r="P1137" i="5" a="1"/>
  <c r="P1137" i="5" s="1"/>
  <c r="P1138" i="5" a="1"/>
  <c r="P1138" i="5" s="1"/>
  <c r="P1139" i="5" a="1"/>
  <c r="P1139" i="5" s="1"/>
  <c r="P1140" i="5" a="1"/>
  <c r="P1140" i="5" s="1"/>
  <c r="P1141" i="5" a="1"/>
  <c r="P1141" i="5" s="1"/>
  <c r="P1142" i="5" a="1"/>
  <c r="P1142" i="5" s="1"/>
  <c r="P1143" i="5" a="1"/>
  <c r="P1143" i="5" s="1"/>
  <c r="P1144" i="5" a="1"/>
  <c r="P1144" i="5" s="1"/>
  <c r="P1145" i="5" a="1"/>
  <c r="P1145" i="5" s="1"/>
  <c r="P1146" i="5" a="1"/>
  <c r="P1146" i="5" s="1"/>
  <c r="P1147" i="5" a="1"/>
  <c r="P1147" i="5" s="1"/>
  <c r="P1148" i="5" a="1"/>
  <c r="P1148" i="5" s="1"/>
  <c r="P1149" i="5" a="1"/>
  <c r="P1149" i="5" s="1"/>
  <c r="P1150" i="5" a="1"/>
  <c r="P1150" i="5" s="1"/>
  <c r="P1151" i="5" a="1"/>
  <c r="P1151" i="5" s="1"/>
  <c r="P1152" i="5" a="1"/>
  <c r="P1152" i="5" s="1"/>
  <c r="P1153" i="5" a="1"/>
  <c r="P1153" i="5" s="1"/>
  <c r="P1154" i="5" a="1"/>
  <c r="P1154" i="5" s="1"/>
  <c r="P1155" i="5" a="1"/>
  <c r="P1155" i="5" s="1"/>
  <c r="P1156" i="5" a="1"/>
  <c r="P1156" i="5" s="1"/>
  <c r="P1157" i="5" a="1"/>
  <c r="P1157" i="5" s="1"/>
  <c r="P1158" i="5" a="1"/>
  <c r="P1158" i="5" s="1"/>
  <c r="P1159" i="5" a="1"/>
  <c r="P1159" i="5" s="1"/>
  <c r="P1160" i="5" a="1"/>
  <c r="P1160" i="5" s="1"/>
  <c r="P1161" i="5" a="1"/>
  <c r="P1161" i="5" s="1"/>
  <c r="P1162" i="5" a="1"/>
  <c r="P1162" i="5" s="1"/>
  <c r="P1163" i="5" a="1"/>
  <c r="P1163" i="5" s="1"/>
  <c r="P1164" i="5" a="1"/>
  <c r="P1164" i="5" s="1"/>
  <c r="P1165" i="5" a="1"/>
  <c r="P1165" i="5" s="1"/>
  <c r="P1166" i="5" a="1"/>
  <c r="P1166" i="5" s="1"/>
  <c r="P1167" i="5" a="1"/>
  <c r="P1167" i="5" s="1"/>
  <c r="P1168" i="5" a="1"/>
  <c r="P1168" i="5" s="1"/>
  <c r="P1169" i="5" a="1"/>
  <c r="P1169" i="5" s="1"/>
  <c r="P1170" i="5" a="1"/>
  <c r="P1170" i="5" s="1"/>
  <c r="P1171" i="5" a="1"/>
  <c r="P1171" i="5" s="1"/>
  <c r="P1172" i="5" a="1"/>
  <c r="P1172" i="5" s="1"/>
  <c r="P1173" i="5" a="1"/>
  <c r="P1173" i="5" s="1"/>
  <c r="P1174" i="5" a="1"/>
  <c r="P1174" i="5" s="1"/>
  <c r="P1175" i="5" a="1"/>
  <c r="P1175" i="5" s="1"/>
  <c r="P1176" i="5" a="1"/>
  <c r="P1176" i="5" s="1"/>
  <c r="P1177" i="5" a="1"/>
  <c r="P1177" i="5" s="1"/>
  <c r="P1178" i="5" a="1"/>
  <c r="P1178" i="5" s="1"/>
  <c r="P1179" i="5" a="1"/>
  <c r="P1179" i="5" s="1"/>
  <c r="P1180" i="5" a="1"/>
  <c r="P1180" i="5" s="1"/>
  <c r="P1181" i="5" a="1"/>
  <c r="P1181" i="5" s="1"/>
  <c r="P1182" i="5" a="1"/>
  <c r="P1182" i="5" s="1"/>
  <c r="P1183" i="5" a="1"/>
  <c r="P1183" i="5" s="1"/>
  <c r="P1184" i="5" a="1"/>
  <c r="P1184" i="5" s="1"/>
  <c r="P1185" i="5" a="1"/>
  <c r="P1185" i="5" s="1"/>
  <c r="P1186" i="5" a="1"/>
  <c r="P1186" i="5" s="1"/>
  <c r="P1187" i="5" a="1"/>
  <c r="P1187" i="5" s="1"/>
  <c r="P1188" i="5" a="1"/>
  <c r="P1188" i="5" s="1"/>
  <c r="P1189" i="5" a="1"/>
  <c r="P1189" i="5" s="1"/>
  <c r="P1190" i="5" a="1"/>
  <c r="P1190" i="5" s="1"/>
  <c r="P1191" i="5" a="1"/>
  <c r="P1191" i="5" s="1"/>
  <c r="P1192" i="5" a="1"/>
  <c r="P1192" i="5" s="1"/>
  <c r="P1193" i="5" a="1"/>
  <c r="P1193" i="5" s="1"/>
  <c r="P1194" i="5" a="1"/>
  <c r="P1194" i="5" s="1"/>
  <c r="P1195" i="5" a="1"/>
  <c r="P1195" i="5" s="1"/>
  <c r="P1196" i="5" a="1"/>
  <c r="P1196" i="5" s="1"/>
  <c r="P1197" i="5" a="1"/>
  <c r="P1197" i="5" s="1"/>
  <c r="P1198" i="5" a="1"/>
  <c r="P1198" i="5" s="1"/>
  <c r="P1199" i="5" a="1"/>
  <c r="P1199" i="5" s="1"/>
  <c r="P1200" i="5" a="1"/>
  <c r="P1200" i="5" s="1"/>
  <c r="P1201" i="5" a="1"/>
  <c r="P1201" i="5" s="1"/>
  <c r="G2" i="8" a="1"/>
  <c r="G2" i="8" s="1"/>
  <c r="H2" i="8" s="1"/>
  <c r="D2" i="8" a="1"/>
  <c r="D2" i="8" s="1"/>
  <c r="E2" i="8" s="1"/>
  <c r="A2" i="8" a="1"/>
  <c r="A2" i="8" s="1"/>
  <c r="B2" i="8" s="1"/>
  <c r="O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G56" i="3"/>
  <c r="G55" i="3"/>
  <c r="M43" i="3"/>
  <c r="F64" i="3" a="1"/>
  <c r="F64" i="3" s="1"/>
  <c r="E64" i="3" a="1"/>
  <c r="E64" i="3" s="1"/>
  <c r="M55" i="3"/>
  <c r="M54" i="3"/>
  <c r="F59" i="3" a="1"/>
  <c r="F59" i="3" s="1"/>
  <c r="E59" i="3" a="1"/>
  <c r="E59" i="3" s="1"/>
  <c r="F62" i="3" a="1"/>
  <c r="F62" i="3" s="1"/>
  <c r="E62" i="3" a="1"/>
  <c r="E62" i="3" s="1"/>
  <c r="F61" i="3" a="1"/>
  <c r="F61" i="3" s="1"/>
  <c r="E61" i="3" a="1"/>
  <c r="E61" i="3" s="1"/>
  <c r="E60" i="3" a="1"/>
  <c r="E60" i="3" s="1"/>
  <c r="F60" i="3" a="1"/>
  <c r="F60" i="3" s="1"/>
  <c r="E58" i="3" a="1"/>
  <c r="E58" i="3" s="1"/>
  <c r="F58" i="3" a="1"/>
  <c r="F58" i="3" s="1"/>
  <c r="F57" i="3" a="1"/>
  <c r="F57" i="3" s="1"/>
  <c r="E57" i="3" a="1"/>
  <c r="E57" i="3" s="1"/>
  <c r="F56" i="3" a="1"/>
  <c r="F56" i="3" s="1"/>
  <c r="E56" i="3" a="1"/>
  <c r="E56" i="3" s="1"/>
  <c r="K49" i="3" a="1"/>
  <c r="K49" i="3" s="1"/>
  <c r="J49" i="3" a="1"/>
  <c r="J49" i="3" s="1"/>
  <c r="K48" i="3" a="1"/>
  <c r="K48" i="3" s="1"/>
  <c r="J48" i="3" a="1"/>
  <c r="J48" i="3" s="1"/>
  <c r="K47" i="3" a="1"/>
  <c r="K47" i="3" s="1"/>
  <c r="J47" i="3" a="1"/>
  <c r="J47" i="3" s="1"/>
  <c r="K46" i="3" a="1"/>
  <c r="K46" i="3" s="1"/>
  <c r="J46" i="3" a="1"/>
  <c r="J46" i="3" s="1"/>
  <c r="K45" i="3" a="1"/>
  <c r="K45" i="3" s="1"/>
  <c r="J45" i="3" a="1"/>
  <c r="J45" i="3" s="1"/>
  <c r="K44" i="3" a="1"/>
  <c r="K44" i="3" s="1"/>
  <c r="J44" i="3" a="1"/>
  <c r="J44" i="3" s="1"/>
  <c r="K43" i="3" a="1"/>
  <c r="K43" i="3" s="1"/>
  <c r="J43" i="3" a="1"/>
  <c r="J43" i="3" s="1"/>
  <c r="M44" i="3"/>
  <c r="N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C50" i="3" a="1"/>
  <c r="C50" i="3" s="1"/>
  <c r="B50" i="3" a="1"/>
  <c r="B50" i="3" s="1"/>
  <c r="C49" i="3" a="1"/>
  <c r="C49" i="3" s="1"/>
  <c r="B49" i="3" a="1"/>
  <c r="B49" i="3" s="1"/>
  <c r="C48" i="3" a="1"/>
  <c r="C48" i="3" s="1"/>
  <c r="B48" i="3" a="1"/>
  <c r="B48" i="3" s="1"/>
  <c r="C47" i="3" a="1"/>
  <c r="C47" i="3" s="1"/>
  <c r="B47" i="3" a="1"/>
  <c r="B47" i="3" s="1"/>
  <c r="C46" i="3" a="1"/>
  <c r="C46" i="3" s="1"/>
  <c r="B46" i="3" a="1"/>
  <c r="B46" i="3" s="1"/>
  <c r="C45" i="3" a="1"/>
  <c r="C45" i="3" s="1"/>
  <c r="B45" i="3" a="1"/>
  <c r="B45" i="3" s="1"/>
  <c r="C44" i="3" a="1"/>
  <c r="C44" i="3" s="1"/>
  <c r="B44" i="3" a="1"/>
  <c r="B44" i="3" s="1"/>
  <c r="C43" i="3" a="1"/>
  <c r="C43" i="3" s="1"/>
  <c r="B43" i="3" a="1"/>
  <c r="B43" i="3" s="1"/>
  <c r="C1205" i="5"/>
  <c r="C1202" i="5"/>
  <c r="M1202" i="5"/>
  <c r="D70" i="4"/>
  <c r="D71" i="4"/>
  <c r="D72" i="4"/>
  <c r="D73" i="4"/>
  <c r="D74" i="4"/>
  <c r="D75" i="4"/>
  <c r="C70" i="4"/>
  <c r="C71" i="4"/>
  <c r="C72" i="4"/>
  <c r="C73" i="4"/>
  <c r="C74" i="4"/>
  <c r="C75" i="4"/>
  <c r="B70" i="4"/>
  <c r="B71" i="4"/>
  <c r="B72" i="4"/>
  <c r="B73" i="4"/>
  <c r="B74" i="4"/>
  <c r="B75" i="4"/>
  <c r="D69" i="4"/>
  <c r="C69" i="4"/>
  <c r="B69" i="4"/>
  <c r="G24" i="8" l="1"/>
  <c r="G9" i="8" a="1"/>
  <c r="B8" i="8"/>
  <c r="B7" i="8"/>
  <c r="B6" i="8"/>
  <c r="E3" i="8"/>
  <c r="E5" i="8" s="1"/>
  <c r="B5" i="8"/>
  <c r="B4" i="8"/>
  <c r="B3" i="8"/>
  <c r="H3" i="8"/>
  <c r="H5" i="8" s="1"/>
  <c r="M71" i="3" a="1"/>
  <c r="M71" i="3" s="1"/>
  <c r="J81" i="3"/>
  <c r="I81" i="3"/>
  <c r="J82" i="3"/>
  <c r="K71" i="3" a="1"/>
  <c r="K71" i="3" s="1"/>
  <c r="L71" i="3" a="1"/>
  <c r="L71" i="3" s="1"/>
  <c r="K80" i="3"/>
  <c r="K82" i="3"/>
  <c r="I82" i="3"/>
  <c r="K81" i="3"/>
  <c r="I80" i="3"/>
  <c r="J80" i="3"/>
  <c r="K56" i="3" a="1"/>
  <c r="K56" i="3" s="1"/>
  <c r="J60" i="3" a="1"/>
  <c r="J60" i="3" s="1"/>
  <c r="L58" i="3" a="1"/>
  <c r="L58" i="3" s="1"/>
  <c r="L61" i="3" a="1"/>
  <c r="L61" i="3" s="1"/>
  <c r="J57" i="3" a="1"/>
  <c r="J57" i="3" s="1"/>
  <c r="E63" i="3" a="1"/>
  <c r="E63" i="3" s="1"/>
  <c r="J58" i="3" a="1"/>
  <c r="J58" i="3" s="1"/>
  <c r="K60" i="3" a="1"/>
  <c r="K60" i="3" s="1"/>
  <c r="K57" i="3" a="1"/>
  <c r="K57" i="3" s="1"/>
  <c r="L59" i="3" a="1"/>
  <c r="L59" i="3" s="1"/>
  <c r="L60" i="3" a="1"/>
  <c r="L60" i="3" s="1"/>
  <c r="K58" i="3" a="1"/>
  <c r="K58" i="3" s="1"/>
  <c r="L57" i="3" a="1"/>
  <c r="L57" i="3" s="1"/>
  <c r="J56" i="3" a="1"/>
  <c r="J56" i="3" s="1"/>
  <c r="K59" i="3" a="1"/>
  <c r="K59" i="3" s="1"/>
  <c r="J61" i="3" a="1"/>
  <c r="J61" i="3" s="1"/>
  <c r="K61" i="3" a="1"/>
  <c r="K61" i="3" s="1"/>
  <c r="L56" i="3" a="1"/>
  <c r="L56" i="3" s="1"/>
  <c r="J59" i="3" a="1"/>
  <c r="J59" i="3" s="1"/>
  <c r="K50" i="3" a="1"/>
  <c r="K50" i="3" s="1"/>
  <c r="F63" i="3" a="1"/>
  <c r="F63" i="3" s="1"/>
  <c r="B51" i="3" a="1"/>
  <c r="B51" i="3" s="1"/>
  <c r="C51" i="3" a="1"/>
  <c r="C51" i="3" s="1"/>
  <c r="J50" i="3" a="1"/>
  <c r="J50" i="3" s="1"/>
  <c r="B10" i="8" l="1"/>
  <c r="G9" i="8"/>
  <c r="H9" i="8" s="1"/>
  <c r="H10" i="8"/>
  <c r="J83" i="3"/>
  <c r="I83" i="3"/>
  <c r="K83" i="3"/>
  <c r="H12" i="8" l="1"/>
  <c r="L83" i="3"/>
  <c r="C25" i="3" l="1"/>
  <c r="C26" i="3"/>
  <c r="C24" i="3"/>
  <c r="D40" i="4"/>
  <c r="D41" i="4"/>
  <c r="D39" i="4"/>
  <c r="C39" i="4"/>
  <c r="C40" i="4"/>
  <c r="C41" i="4"/>
  <c r="T20" i="4" a="1"/>
  <c r="T20" i="4" s="1"/>
  <c r="S20" i="4" a="1"/>
  <c r="S20" i="4" s="1"/>
  <c r="R20" i="4" a="1"/>
  <c r="R20" i="4" s="1"/>
  <c r="N36" i="4" a="1"/>
  <c r="N36" i="4" s="1"/>
  <c r="N37" i="4" a="1"/>
  <c r="N37" i="4" s="1"/>
  <c r="N35" i="4" a="1"/>
  <c r="N35" i="4" s="1"/>
  <c r="N31" i="4" a="1"/>
  <c r="N31" i="4" s="1"/>
  <c r="N32" i="4" a="1"/>
  <c r="N32" i="4" s="1"/>
  <c r="N30" i="4" a="1"/>
  <c r="N30" i="4" s="1"/>
  <c r="N26" i="4" a="1"/>
  <c r="N26" i="4" s="1"/>
  <c r="N27" i="4" a="1"/>
  <c r="N27" i="4" s="1"/>
  <c r="N25" i="4" a="1"/>
  <c r="N25" i="4" s="1"/>
  <c r="N21" i="4" a="1"/>
  <c r="N21" i="4" s="1"/>
  <c r="N22" i="4" a="1"/>
  <c r="N22" i="4" s="1"/>
  <c r="N20" i="4" a="1"/>
  <c r="N20" i="4" s="1"/>
  <c r="N3" i="4" a="1"/>
  <c r="N3" i="4" s="1"/>
  <c r="N4" i="4" a="1"/>
  <c r="N4" i="4" s="1"/>
  <c r="N5" i="4" a="1"/>
  <c r="N5" i="4" s="1"/>
  <c r="N6" i="4" a="1"/>
  <c r="N6" i="4" s="1"/>
  <c r="N7" i="4" a="1"/>
  <c r="N7" i="4" s="1"/>
  <c r="N8" i="4" a="1"/>
  <c r="N8" i="4" s="1"/>
  <c r="N2" i="4" a="1"/>
  <c r="N2" i="4" s="1"/>
  <c r="A25" i="4"/>
  <c r="A24" i="4"/>
  <c r="A23" i="4"/>
  <c r="A3" i="4"/>
  <c r="A4" i="4"/>
  <c r="A5" i="4"/>
  <c r="A6" i="4"/>
  <c r="A7" i="4"/>
  <c r="A8" i="4"/>
  <c r="A2" i="4"/>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<sst xmlns="http://schemas.openxmlformats.org/spreadsheetml/2006/main" count="11115" uniqueCount="176">
  <si>
    <t>age</t>
  </si>
  <si>
    <t>gender</t>
  </si>
  <si>
    <t>daily_social_media_hours</t>
  </si>
  <si>
    <t>platform_usage</t>
  </si>
  <si>
    <t>sleep_hours</t>
  </si>
  <si>
    <t>screen_time_before_sleep</t>
  </si>
  <si>
    <t>academic_performance</t>
  </si>
  <si>
    <t>physical_activity</t>
  </si>
  <si>
    <t>social_interaction_level</t>
  </si>
  <si>
    <t>stress_level</t>
  </si>
  <si>
    <t>anxiety_level</t>
  </si>
  <si>
    <t>addiction_level</t>
  </si>
  <si>
    <t>depression_label</t>
  </si>
  <si>
    <t>male</t>
  </si>
  <si>
    <t>Instagram</t>
  </si>
  <si>
    <t>low</t>
  </si>
  <si>
    <t>female</t>
  </si>
  <si>
    <t>TikTok</t>
  </si>
  <si>
    <t>high</t>
  </si>
  <si>
    <t>medium</t>
  </si>
  <si>
    <t>Both</t>
  </si>
  <si>
    <t>Tackling as an analyst, we have to think of questions that the stackeholders or bosses would want to investigate. This will help for purposeful manipulation of the data.</t>
  </si>
  <si>
    <t>List some potential questions below:</t>
  </si>
  <si>
    <t>1. Does the distribution of used social media vary based on the participant's gender?</t>
  </si>
  <si>
    <t>2. What is the median GPA of each age group? (separated by gender</t>
  </si>
  <si>
    <t>3. Is there a difference between the median screentime of each social media platform? (all participants)</t>
  </si>
  <si>
    <t>4. If they are labeled as depressed, are their stress, anxiety, and addiction levels higher than the median of those who are not labeled as depressed?</t>
  </si>
  <si>
    <t>5. Could you make a chart that shows the proportion of the participant's screentime and their sleep time above or next to each other?</t>
  </si>
  <si>
    <t>6. Does screentime alone, seem to affect the participant's social interaction level?</t>
  </si>
  <si>
    <t>7. Do those that get more sleep, have higher academic performances than those who don't?</t>
  </si>
  <si>
    <t>8. Does a higher addiction level indicate higher screentime than those with lower addiction level?</t>
  </si>
  <si>
    <t>9. Which social media platform do those labeled as depressed use?</t>
  </si>
  <si>
    <t>10. Do age and gender influence stress, anxiety, and addiction levels? (as they get older, are more showing higher levels of those categories?</t>
  </si>
  <si>
    <t>Sum of depression_label</t>
  </si>
  <si>
    <t xml:space="preserve">Advice. Above is a good starting point, but for dashboards, visualizing metrics is the goal. Therefore, some of the questions are higher gerared toward analysis rather than being dashboard quality. </t>
  </si>
  <si>
    <t>Begin by defining some core themes, like: Social Media use, mental health indicators, Academic performance, screentime, etc. And then make questions about dashboard visuals</t>
  </si>
  <si>
    <t>First Theme is Social Media: Platforms, Screentime Patterns, and Addiction levels. (maybe screentime before bed)</t>
  </si>
  <si>
    <t>Second Theme is Mental Health Indicators: Stress, Anxiety, Depression Label</t>
  </si>
  <si>
    <t>Third Theme is Academic Performance: GPA, Study Habits, Sleep hours per night</t>
  </si>
  <si>
    <t>Fourth Theme is Lifestyle: Social Interaction, Screentime, Social Interaction</t>
  </si>
  <si>
    <t>Good Visuals Ideas: Distribution of social media use by gender -&gt; Clustered bar chart &amp; gender slicer. Median Screentime per platform --&gt; Column chart with median line.  Screentime vs sleeptime Dual axis chart or side by side chart. Sleep vs academic performance.  Addiction level vs screentime -&gt; Box plot or scatter plot.  Social Media platforms used by depressed participants -&gt; Stacked bar or donut chart</t>
  </si>
  <si>
    <t xml:space="preserve">Dashboard Structure: Demographics Overview: Age distribution, gender distribution, and GPA by group. </t>
  </si>
  <si>
    <t>Social Media &amp; Screentime: Screentime per platform, platform usage by gender, addiction lvl vs screentime, plotforms used by depressed ppl</t>
  </si>
  <si>
    <t>Mental Health Indicators: Stress, anxiety, addiction levels by age group, compare depressed vs non-depressed. Screentime vs socail interaction</t>
  </si>
  <si>
    <t>Sleep &amp; Academic Performance: Sleep v GPA</t>
  </si>
  <si>
    <t>Age Group Counts</t>
  </si>
  <si>
    <t>Check Ages:</t>
  </si>
  <si>
    <t>Count of Male vs Female Participants</t>
  </si>
  <si>
    <t>Gender</t>
  </si>
  <si>
    <t>Total</t>
  </si>
  <si>
    <t>Academic Perfomance by Age Group</t>
  </si>
  <si>
    <t>Ages</t>
  </si>
  <si>
    <t>Type of Platform</t>
  </si>
  <si>
    <t>Tiktok</t>
  </si>
  <si>
    <t>MIN Screentime per Platform</t>
  </si>
  <si>
    <t>MAX Screentime per Platform</t>
  </si>
  <si>
    <t>Average Screentime per Platform</t>
  </si>
  <si>
    <t>MEDIAN Screntime per Platform</t>
  </si>
  <si>
    <t>Daily_Insta_Hours</t>
  </si>
  <si>
    <t>Daily_TikTok_Hours</t>
  </si>
  <si>
    <t>Daily_Both_Hours</t>
  </si>
  <si>
    <t>MAX</t>
  </si>
  <si>
    <t>MIN</t>
  </si>
  <si>
    <t>MEDIAN</t>
  </si>
  <si>
    <t>Platform</t>
  </si>
  <si>
    <t>Count</t>
  </si>
  <si>
    <t>Count Male</t>
  </si>
  <si>
    <t>Count Female</t>
  </si>
  <si>
    <t>Male Users</t>
  </si>
  <si>
    <t>Female Users</t>
  </si>
  <si>
    <t>Depressed</t>
  </si>
  <si>
    <t>Insta</t>
  </si>
  <si>
    <t>Depressed Count</t>
  </si>
  <si>
    <t>How many Depressed Individuals in each Age Group</t>
  </si>
  <si>
    <t>Non-Depressed</t>
  </si>
  <si>
    <t>Non-Depressed Stats</t>
  </si>
  <si>
    <t>Depressed Stats</t>
  </si>
  <si>
    <t>Median Daily_Screentime</t>
  </si>
  <si>
    <t>Median Sleep_hours</t>
  </si>
  <si>
    <t>Median screentime_before_bed</t>
  </si>
  <si>
    <t>Median academic_performance</t>
  </si>
  <si>
    <t>Median activity_level</t>
  </si>
  <si>
    <t>Median stress_level</t>
  </si>
  <si>
    <t>Median anxiety_level</t>
  </si>
  <si>
    <t>Median addiction_level</t>
  </si>
  <si>
    <t>social_interaction_2</t>
  </si>
  <si>
    <t>AVG social_interaction_level</t>
  </si>
  <si>
    <t xml:space="preserve">Median </t>
  </si>
  <si>
    <t>screentime_before_bed</t>
  </si>
  <si>
    <t>activity_level</t>
  </si>
  <si>
    <t>AVG</t>
  </si>
  <si>
    <t>How I chose the Screentime Threshold: https://pmc.ncbi.nlm.nih.gov/articles/PMC12364383/</t>
  </si>
  <si>
    <t>Higher (&gt; 2)</t>
  </si>
  <si>
    <t>Lower ( &lt;=2)</t>
  </si>
  <si>
    <t>Difference btwn High Screentimes vs "Recommended Range Screentime"</t>
  </si>
  <si>
    <t>daily_social_media_hrs</t>
  </si>
  <si>
    <t>Advice here, was to make a composite behavorial score! So add them all up then choose thresholds that make sense.</t>
  </si>
  <si>
    <t>So since they can sum to 30, then maybe the breakdown can be:</t>
  </si>
  <si>
    <t>1-10, 11-20. 21-30?</t>
  </si>
  <si>
    <t>??</t>
  </si>
  <si>
    <t>behavioral_composite</t>
  </si>
  <si>
    <t>&gt;= 18</t>
  </si>
  <si>
    <t>(12-17)</t>
  </si>
  <si>
    <t>&lt;=11</t>
  </si>
  <si>
    <t>Behavioral Composite Score</t>
  </si>
  <si>
    <t>Average or Median of Behavioral Composite Score Depressed vs non-Depressed</t>
  </si>
  <si>
    <t>Median ND</t>
  </si>
  <si>
    <t>Median Dep</t>
  </si>
  <si>
    <t>Avg ND</t>
  </si>
  <si>
    <t>Avg Dep</t>
  </si>
  <si>
    <t>Which Platform is Associated w Higher Behavioral Composite Scores and How many Counts</t>
  </si>
  <si>
    <t>&gt;=18</t>
  </si>
  <si>
    <t>Totals:</t>
  </si>
  <si>
    <t>Depression Dashboard</t>
  </si>
  <si>
    <t>participant_age</t>
  </si>
  <si>
    <t>age_count</t>
  </si>
  <si>
    <t>Total:</t>
  </si>
  <si>
    <t>particpant_gender</t>
  </si>
  <si>
    <t>gender_count</t>
  </si>
  <si>
    <t>participant_depressed</t>
  </si>
  <si>
    <t>depressed_count</t>
  </si>
  <si>
    <t>Labeled Depressed</t>
  </si>
  <si>
    <t>text_depression</t>
  </si>
  <si>
    <t>(using text this time)</t>
  </si>
  <si>
    <t>Not Depressed</t>
  </si>
  <si>
    <t>capitalize_gender</t>
  </si>
  <si>
    <t>(capitalizing gender</t>
  </si>
  <si>
    <t>13/F/D</t>
  </si>
  <si>
    <t>13/F/ND</t>
  </si>
  <si>
    <t>13/M/D</t>
  </si>
  <si>
    <t>13/M/ND</t>
  </si>
  <si>
    <t>14/F/D</t>
  </si>
  <si>
    <t>14/F/ND</t>
  </si>
  <si>
    <t>14/M/D</t>
  </si>
  <si>
    <t>14/M/ND</t>
  </si>
  <si>
    <t>15/F/D</t>
  </si>
  <si>
    <t>15/F/ND</t>
  </si>
  <si>
    <t>15/M/D</t>
  </si>
  <si>
    <t>15/M/ND</t>
  </si>
  <si>
    <t>16/F/D</t>
  </si>
  <si>
    <t>16/F/ND</t>
  </si>
  <si>
    <t>16/M/D</t>
  </si>
  <si>
    <t>16/M/ND</t>
  </si>
  <si>
    <t>17/F/D</t>
  </si>
  <si>
    <t>17/F/ND</t>
  </si>
  <si>
    <t>17/M/D</t>
  </si>
  <si>
    <t>17/M/ND</t>
  </si>
  <si>
    <t>18/F/D</t>
  </si>
  <si>
    <t>18/F/ND</t>
  </si>
  <si>
    <t>18/M/D</t>
  </si>
  <si>
    <t>18/M/ND</t>
  </si>
  <si>
    <t>19/F/D</t>
  </si>
  <si>
    <t>19/F/ND</t>
  </si>
  <si>
    <t>19/M/D</t>
  </si>
  <si>
    <t>19/M/ND</t>
  </si>
  <si>
    <t>behavioral_composite_score</t>
  </si>
  <si>
    <t xml:space="preserve"> </t>
  </si>
  <si>
    <t>Median Behavioral Composite Score</t>
  </si>
  <si>
    <t>Female</t>
  </si>
  <si>
    <t>daily_screentime</t>
  </si>
  <si>
    <t>behavioral_comp_score</t>
  </si>
  <si>
    <t>Median Behavioral Composite Scores</t>
  </si>
  <si>
    <t>Depressed:</t>
  </si>
  <si>
    <t>Non-Depressed:</t>
  </si>
  <si>
    <t>Depressed vs Non-Depressed Metrics</t>
  </si>
  <si>
    <t xml:space="preserve">Depressed </t>
  </si>
  <si>
    <t>Sleep Hours</t>
  </si>
  <si>
    <t>Stress Level</t>
  </si>
  <si>
    <t>Anxiety Level</t>
  </si>
  <si>
    <t>Addiction Level</t>
  </si>
  <si>
    <t>Filter By:</t>
  </si>
  <si>
    <t>Total Participants:</t>
  </si>
  <si>
    <t>Proportion of Platform Usage</t>
  </si>
  <si>
    <t xml:space="preserve">% Users that exceed 2 hours of screentime </t>
  </si>
  <si>
    <t>Academic Performance</t>
  </si>
  <si>
    <t>Avg Social Interaction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</si>
</sst>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7" formatCode="0.000"/>
  </numFmts>
  <fonts count="25"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Cambria"/>
      <family val="1"/>
    </font>
    <font>
      <sz val="14"/>
      <color theme="1"/>
      <name val="Cambria"/>
      <family val="1"/>
    </font>
    <font>
      <b/>
      <sz val="14"/>
      <color theme="1"/>
      <name val="Cambria"/>
      <family val="1"/>
    </font>
    <font>
      <b/>
      <sz val="11"/>
      <color theme="1"/>
      <name val="Cambria"/>
      <family val="1"/>
    </font>
    <font>
      <b/>
      <sz val="16"/>
      <color theme="1"/>
      <name val="Cambria"/>
      <family val="1"/>
    </font>
    <font>
      <b/>
      <sz val="12"/>
      <color theme="1"/>
      <name val="Cambria"/>
      <family val="1"/>
    </font>
    <font>
      <b/>
      <sz val="28"/>
      <color theme="3"/>
      <name val="Cambria"/>
      <family val="1"/>
    </font>
  </fonts>
  <fills count="4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6" tint="0.59999389629810485"/>
        <bgColor indexed="64"/>
      </patternFill>
    </fill>
    <fill>
      <patternFill patternType="solid">
        <fgColor theme="3" tint="0.749992370372631"/>
        <bgColor indexed="64"/>
      </patternFill>
    </fill>
    <fill>
      <patternFill patternType="solid">
        <fgColor theme="1"/>
        <bgColor indexed="64"/>
      </patternFill>
    </fill>
    <fill>
      <patternFill patternType="solid">
        <fgColor theme="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3" tint="0.89999084444715716"/>
        <bgColor indexed="64"/>
      </patternFill>
    </fill>
  </fills>
  <borders count="5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medium">
        <color indexed="64"/>
      </right>
      <top/>
      <bottom style="thin">
        <color indexed="64"/>
      </bottom>
      <diagonal/>
    </border>
    <border>
      <left/>
      <right style="medium">
        <color indexed="64"/>
      </right>
      <top style="thin">
        <color indexed="64"/>
      </top>
      <bottom/>
      <diagonal/>
    </border>
    <border>
      <left/>
      <right/>
      <top style="medium">
        <color indexed="64"/>
      </top>
      <bottom/>
      <diagonal/>
    </border>
    <border>
      <left/>
      <right/>
      <top/>
      <bottom style="medium">
        <color indexed="64"/>
      </bottom>
      <diagonal/>
    </border>
    <border>
      <left style="thin">
        <color indexed="64"/>
      </left>
      <right/>
      <top/>
      <bottom style="medium">
        <color indexed="64"/>
      </bottom>
      <diagonal/>
    </border>
    <border>
      <left/>
      <right/>
      <top style="thin">
        <color indexed="64"/>
      </top>
      <bottom style="medium">
        <color indexed="64"/>
      </bottom>
      <diagonal/>
    </border>
    <border>
      <left/>
      <right style="thin">
        <color indexed="64"/>
      </right>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127">
    <xf numFmtId="0" fontId="0" fillId="0" borderId="0" xfId="0"/>
    <xf numFmtId="0" fontId="0" fillId="0" borderId="0" xfId="0" pivotButton="1"/>
    <xf numFmtId="0" fontId="0" fillId="0" borderId="0" xfId="0" applyAlignment="1">
      <alignment horizontal="center" wrapText="1"/>
    </xf>
    <xf numFmtId="2" fontId="0" fillId="0" borderId="0" xfId="0" applyNumberFormat="1"/>
    <xf numFmtId="1" fontId="0" fillId="0" borderId="0" xfId="0" applyNumberFormat="1"/>
    <xf numFmtId="0" fontId="0" fillId="0" borderId="10" xfId="0" applyBorder="1"/>
    <xf numFmtId="0" fontId="0" fillId="0" borderId="11" xfId="0" applyBorder="1"/>
    <xf numFmtId="0" fontId="16" fillId="0" borderId="12" xfId="0" applyFont="1" applyBorder="1"/>
    <xf numFmtId="0" fontId="16" fillId="0" borderId="13" xfId="0" applyFont="1" applyBorder="1"/>
    <xf numFmtId="0" fontId="16" fillId="0" borderId="14" xfId="0" applyFont="1" applyBorder="1"/>
    <xf numFmtId="0" fontId="0" fillId="0" borderId="15" xfId="0" applyBorder="1"/>
    <xf numFmtId="0" fontId="16" fillId="0" borderId="16" xfId="0" applyFont="1" applyBorder="1"/>
    <xf numFmtId="0" fontId="0" fillId="0" borderId="17" xfId="0" applyBorder="1"/>
    <xf numFmtId="0" fontId="0" fillId="0" borderId="18" xfId="0" applyBorder="1"/>
    <xf numFmtId="0" fontId="16" fillId="0" borderId="11" xfId="0" applyFont="1" applyBorder="1"/>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top" wrapText="1"/>
    </xf>
    <xf numFmtId="0" fontId="16" fillId="0" borderId="0" xfId="0" applyFont="1"/>
    <xf numFmtId="0" fontId="0" fillId="0" borderId="0" xfId="0" applyBorder="1"/>
    <xf numFmtId="0" fontId="0" fillId="0" borderId="23" xfId="0" applyBorder="1"/>
    <xf numFmtId="0" fontId="0" fillId="0" borderId="14" xfId="0" applyBorder="1"/>
    <xf numFmtId="0" fontId="0" fillId="0" borderId="16" xfId="0" applyBorder="1"/>
    <xf numFmtId="167" fontId="0" fillId="0" borderId="0" xfId="0" applyNumberFormat="1"/>
    <xf numFmtId="16" fontId="0" fillId="0" borderId="0" xfId="0" applyNumberFormat="1"/>
    <xf numFmtId="0" fontId="0" fillId="0" borderId="0" xfId="0" applyAlignment="1">
      <alignment horizontal="left"/>
    </xf>
    <xf numFmtId="0" fontId="0" fillId="0" borderId="0" xfId="0" applyAlignment="1">
      <alignment wrapText="1"/>
    </xf>
    <xf numFmtId="0" fontId="0" fillId="33" borderId="0" xfId="0" applyFill="1"/>
    <xf numFmtId="0" fontId="16" fillId="0" borderId="18" xfId="0" applyFont="1" applyBorder="1"/>
    <xf numFmtId="0" fontId="0" fillId="0" borderId="25" xfId="0" applyBorder="1"/>
    <xf numFmtId="0" fontId="0" fillId="0" borderId="26" xfId="0" applyBorder="1"/>
    <xf numFmtId="0" fontId="16" fillId="0" borderId="27" xfId="0" applyFont="1" applyBorder="1"/>
    <xf numFmtId="0" fontId="16" fillId="0" borderId="28" xfId="0" applyFont="1" applyBorder="1"/>
    <xf numFmtId="0" fontId="16" fillId="0" borderId="29" xfId="0" applyFont="1" applyFill="1" applyBorder="1"/>
    <xf numFmtId="0" fontId="16" fillId="0" borderId="30" xfId="0" applyFont="1" applyFill="1" applyBorder="1"/>
    <xf numFmtId="0" fontId="0" fillId="0" borderId="31" xfId="0" applyBorder="1"/>
    <xf numFmtId="0" fontId="0" fillId="0" borderId="32" xfId="0" applyBorder="1"/>
    <xf numFmtId="0" fontId="0" fillId="0" borderId="33" xfId="0" applyBorder="1"/>
    <xf numFmtId="0" fontId="0" fillId="0" borderId="34" xfId="0" applyBorder="1"/>
    <xf numFmtId="0" fontId="16" fillId="0" borderId="33" xfId="0" applyFont="1" applyBorder="1"/>
    <xf numFmtId="0" fontId="16" fillId="0" borderId="34" xfId="0" applyFont="1" applyBorder="1"/>
    <xf numFmtId="0" fontId="16" fillId="0" borderId="29" xfId="0" applyFont="1" applyBorder="1"/>
    <xf numFmtId="0" fontId="16" fillId="0" borderId="30" xfId="0" applyFont="1" applyBorder="1"/>
    <xf numFmtId="0" fontId="16" fillId="0" borderId="31" xfId="0" applyFont="1" applyBorder="1"/>
    <xf numFmtId="0" fontId="0" fillId="0" borderId="31" xfId="0" applyFont="1" applyBorder="1"/>
    <xf numFmtId="0" fontId="0" fillId="0" borderId="0" xfId="0" applyNumberFormat="1"/>
    <xf numFmtId="0" fontId="0" fillId="34" borderId="0" xfId="0" applyFill="1"/>
    <xf numFmtId="0" fontId="0" fillId="35" borderId="0" xfId="0" applyFill="1"/>
    <xf numFmtId="0" fontId="16" fillId="34" borderId="0" xfId="0" applyFont="1" applyFill="1"/>
    <xf numFmtId="0" fontId="0" fillId="0" borderId="0" xfId="0" applyFill="1"/>
    <xf numFmtId="0" fontId="16" fillId="0" borderId="0" xfId="0" applyFont="1" applyAlignment="1">
      <alignment horizontal="center"/>
    </xf>
    <xf numFmtId="0" fontId="0" fillId="36" borderId="0" xfId="0" applyFill="1"/>
    <xf numFmtId="0" fontId="0" fillId="37" borderId="0" xfId="0" applyFill="1"/>
    <xf numFmtId="0" fontId="0" fillId="0" borderId="0" xfId="0"/>
    <xf numFmtId="0" fontId="22" fillId="0" borderId="0" xfId="0" applyFont="1" applyAlignment="1">
      <alignment horizontal="center"/>
    </xf>
    <xf numFmtId="0" fontId="18" fillId="0" borderId="31" xfId="0" applyFont="1" applyBorder="1"/>
    <xf numFmtId="0" fontId="18" fillId="0" borderId="0" xfId="0" applyFont="1" applyBorder="1"/>
    <xf numFmtId="0" fontId="18" fillId="0" borderId="37" xfId="0" applyFont="1" applyBorder="1"/>
    <xf numFmtId="0" fontId="18" fillId="0" borderId="20" xfId="0" applyFont="1" applyBorder="1"/>
    <xf numFmtId="0" fontId="0" fillId="0" borderId="39" xfId="0" applyBorder="1"/>
    <xf numFmtId="0" fontId="18" fillId="0" borderId="19" xfId="0" applyFont="1" applyBorder="1"/>
    <xf numFmtId="0" fontId="18" fillId="0" borderId="22" xfId="0" applyFont="1" applyBorder="1"/>
    <xf numFmtId="0" fontId="18" fillId="0" borderId="23" xfId="0" applyFont="1" applyBorder="1"/>
    <xf numFmtId="0" fontId="18" fillId="0" borderId="36" xfId="0" applyFont="1" applyBorder="1"/>
    <xf numFmtId="0" fontId="18" fillId="0" borderId="21" xfId="0" applyFont="1" applyBorder="1"/>
    <xf numFmtId="0" fontId="0" fillId="0" borderId="38" xfId="0" applyBorder="1"/>
    <xf numFmtId="0" fontId="0" fillId="0" borderId="41" xfId="0" applyBorder="1"/>
    <xf numFmtId="0" fontId="0" fillId="0" borderId="44" xfId="0" applyBorder="1"/>
    <xf numFmtId="0" fontId="0" fillId="0" borderId="42" xfId="0" applyBorder="1"/>
    <xf numFmtId="0" fontId="0" fillId="0" borderId="46" xfId="0" applyBorder="1"/>
    <xf numFmtId="0" fontId="0" fillId="0" borderId="45" xfId="0" applyBorder="1"/>
    <xf numFmtId="0" fontId="0" fillId="0" borderId="47" xfId="0" applyBorder="1"/>
    <xf numFmtId="0" fontId="0" fillId="0" borderId="35" xfId="0" applyBorder="1"/>
    <xf numFmtId="0" fontId="19" fillId="0" borderId="35" xfId="0" applyFont="1" applyBorder="1"/>
    <xf numFmtId="0" fontId="22" fillId="0" borderId="49" xfId="0" applyFont="1" applyBorder="1"/>
    <xf numFmtId="0" fontId="19" fillId="0" borderId="48" xfId="0" applyFont="1" applyBorder="1"/>
    <xf numFmtId="0" fontId="0" fillId="0" borderId="43" xfId="0" applyBorder="1"/>
    <xf numFmtId="0" fontId="22" fillId="0" borderId="0" xfId="0" applyFont="1" applyAlignment="1">
      <alignment horizontal="center" vertical="center"/>
    </xf>
    <xf numFmtId="0" fontId="22" fillId="0" borderId="0" xfId="0" applyFont="1" applyAlignment="1">
      <alignment horizontal="right" vertical="center"/>
    </xf>
    <xf numFmtId="0" fontId="19" fillId="0" borderId="0" xfId="0" applyFont="1" applyFill="1"/>
    <xf numFmtId="0" fontId="21" fillId="0" borderId="46" xfId="0" applyFont="1" applyFill="1" applyBorder="1"/>
    <xf numFmtId="0" fontId="21" fillId="0" borderId="45" xfId="0" applyFont="1" applyFill="1" applyBorder="1"/>
    <xf numFmtId="0" fontId="21" fillId="0" borderId="49" xfId="0" applyFont="1" applyFill="1" applyBorder="1"/>
    <xf numFmtId="0" fontId="0" fillId="0" borderId="50" xfId="0" applyBorder="1"/>
    <xf numFmtId="0" fontId="21" fillId="0" borderId="48" xfId="0" applyFont="1" applyFill="1" applyBorder="1"/>
    <xf numFmtId="0" fontId="20" fillId="0" borderId="0" xfId="0" applyFont="1" applyAlignment="1">
      <alignment horizontal="center" vertical="center"/>
    </xf>
    <xf numFmtId="0" fontId="0" fillId="0" borderId="37" xfId="0" applyBorder="1"/>
    <xf numFmtId="0" fontId="0" fillId="0" borderId="20" xfId="0" applyBorder="1"/>
    <xf numFmtId="0" fontId="0" fillId="0" borderId="39" xfId="0" applyBorder="1"/>
    <xf numFmtId="0" fontId="0" fillId="0" borderId="36" xfId="0" applyBorder="1"/>
    <xf numFmtId="0" fontId="0" fillId="0" borderId="24" xfId="0" applyBorder="1"/>
    <xf numFmtId="0" fontId="0" fillId="0" borderId="38" xfId="0" applyBorder="1"/>
    <xf numFmtId="0" fontId="23" fillId="0" borderId="47" xfId="0" applyFont="1" applyBorder="1" applyAlignment="1">
      <alignment horizontal="center" vertical="center"/>
    </xf>
    <xf numFmtId="0" fontId="23" fillId="0" borderId="35" xfId="0" applyFont="1" applyBorder="1" applyAlignment="1">
      <alignment horizontal="center" vertical="center"/>
    </xf>
    <xf numFmtId="0" fontId="23" fillId="0" borderId="47" xfId="0" applyFont="1" applyBorder="1" applyAlignment="1">
      <alignment horizontal="center"/>
    </xf>
    <xf numFmtId="0" fontId="23" fillId="0" borderId="35" xfId="0" applyFont="1" applyBorder="1" applyAlignment="1">
      <alignment horizontal="center"/>
    </xf>
    <xf numFmtId="0" fontId="23" fillId="0" borderId="29" xfId="0" applyFont="1" applyBorder="1" applyAlignment="1">
      <alignment horizontal="center" vertical="center"/>
    </xf>
    <xf numFmtId="0" fontId="23" fillId="0" borderId="30" xfId="0" applyFont="1" applyBorder="1" applyAlignment="1">
      <alignment horizontal="center" vertical="center"/>
    </xf>
    <xf numFmtId="0" fontId="23" fillId="0" borderId="31" xfId="0" applyFont="1" applyBorder="1" applyAlignment="1">
      <alignment horizontal="center" vertical="center"/>
    </xf>
    <xf numFmtId="0" fontId="23" fillId="0" borderId="32" xfId="0" applyFont="1" applyBorder="1" applyAlignment="1">
      <alignment horizontal="center" vertical="center"/>
    </xf>
    <xf numFmtId="0" fontId="21" fillId="0" borderId="31" xfId="0" applyFont="1" applyBorder="1"/>
    <xf numFmtId="0" fontId="21" fillId="0" borderId="32" xfId="0" applyFont="1" applyBorder="1"/>
    <xf numFmtId="0" fontId="23" fillId="0" borderId="37" xfId="0" applyFont="1" applyBorder="1" applyAlignment="1">
      <alignment horizontal="center" vertical="center"/>
    </xf>
    <xf numFmtId="0" fontId="23" fillId="0" borderId="39" xfId="0" applyFont="1" applyBorder="1" applyAlignment="1">
      <alignment horizontal="center" vertical="center"/>
    </xf>
    <xf numFmtId="0" fontId="23" fillId="0" borderId="36" xfId="0" applyFont="1" applyBorder="1"/>
    <xf numFmtId="0" fontId="23" fillId="0" borderId="38" xfId="0" applyFont="1" applyBorder="1"/>
    <xf numFmtId="0" fontId="23" fillId="0" borderId="31" xfId="0" applyFont="1" applyBorder="1"/>
    <xf numFmtId="0" fontId="23" fillId="0" borderId="32" xfId="0" applyFont="1" applyBorder="1"/>
    <xf numFmtId="0" fontId="20" fillId="0" borderId="29" xfId="0" applyFont="1" applyBorder="1" applyAlignment="1">
      <alignment horizontal="center"/>
    </xf>
    <xf numFmtId="0" fontId="16" fillId="0" borderId="40" xfId="0" applyFont="1" applyBorder="1" applyAlignment="1">
      <alignment horizontal="center"/>
    </xf>
    <xf numFmtId="0" fontId="20" fillId="0" borderId="40" xfId="0" applyFont="1" applyBorder="1" applyAlignment="1">
      <alignment horizontal="center"/>
    </xf>
    <xf numFmtId="0" fontId="20" fillId="0" borderId="30" xfId="0" applyFont="1" applyBorder="1" applyAlignment="1">
      <alignment horizontal="center"/>
    </xf>
    <xf numFmtId="0" fontId="21" fillId="0" borderId="20" xfId="0" applyFont="1" applyBorder="1" applyAlignment="1">
      <alignment horizontal="center" vertical="center"/>
    </xf>
    <xf numFmtId="0" fontId="21" fillId="0" borderId="0" xfId="0" applyFont="1" applyBorder="1" applyAlignment="1">
      <alignment horizontal="center" vertical="center"/>
    </xf>
    <xf numFmtId="0" fontId="21" fillId="0" borderId="0" xfId="0" applyFont="1" applyBorder="1"/>
    <xf numFmtId="0" fontId="21" fillId="0" borderId="24" xfId="0" applyFont="1" applyBorder="1"/>
    <xf numFmtId="0" fontId="16" fillId="38" borderId="0" xfId="0" applyFont="1" applyFill="1" applyAlignment="1">
      <alignment horizontal="center"/>
    </xf>
    <xf numFmtId="0" fontId="16" fillId="38" borderId="0" xfId="0" applyFont="1" applyFill="1"/>
    <xf numFmtId="0" fontId="0" fillId="38" borderId="0" xfId="0" applyFill="1"/>
    <xf numFmtId="9" fontId="0" fillId="0" borderId="0" xfId="42" applyFont="1"/>
    <xf numFmtId="2" fontId="0" fillId="0" borderId="0" xfId="42" applyNumberFormat="1" applyFont="1"/>
    <xf numFmtId="9" fontId="0" fillId="0" borderId="0" xfId="42" applyFont="1" applyFill="1"/>
    <xf numFmtId="9" fontId="0" fillId="0" borderId="0" xfId="42" applyFont="1" applyAlignment="1">
      <alignment horizontal="center"/>
    </xf>
    <xf numFmtId="0" fontId="0" fillId="0" borderId="0" xfId="0" applyFill="1"/>
    <xf numFmtId="0" fontId="24" fillId="0" borderId="1" xfId="2" applyFont="1" applyAlignment="1">
      <alignment horizontal="center"/>
    </xf>
    <xf numFmtId="0" fontId="0" fillId="39" borderId="0" xfId="0" applyFill="1"/>
    <xf numFmtId="0" fontId="9" fillId="5" borderId="4" xfId="9" applyAlignment="1" applyProtection="1">
      <alignment horizontal="center" vertical="center"/>
      <protection locked="0"/>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8">
    <dxf>
      <numFmt numFmtId="0" formatCode="General"/>
    </dxf>
    <dxf>
      <numFmt numFmtId="0" formatCode="General"/>
    </dxf>
    <dxf>
      <numFmt numFmtId="0" formatCode="General"/>
    </dxf>
    <dxf>
      <numFmt numFmtId="0" formatCode="General"/>
    </dxf>
    <dxf>
      <numFmt numFmtId="1" formatCode="0"/>
    </dxf>
    <dxf>
      <numFmt numFmtId="1" formatCode="0"/>
    </dxf>
    <dxf>
      <numFmt numFmtId="1" formatCode="0"/>
    </dxf>
    <dxf>
      <numFmt numFmtId="1" formatCode="0"/>
    </dxf>
  </dxfs>
  <tableStyles count="0" defaultTableStyle="TableStyleMedium2" defaultPivotStyle="PivotStyleLight16"/>
  <colors>
    <mruColors>
      <color rgb="FFE4A238"/>
      <color rgb="FFA5D40E"/>
      <color rgb="FF80A50B"/>
      <color rgb="FF3D3068"/>
      <color rgb="FF3A0C8C"/>
      <color rgb="FF93ED2F"/>
      <color rgb="FF8CE153"/>
      <color rgb="FFA5002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microsoft.com/office/2017/06/relationships/rdRichValue" Target="richData/rdrichvalu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microsoft.com/office/2007/relationships/slicerCache" Target="slicerCaches/slicerCache4.xml"/><Relationship Id="rId17" Type="http://schemas.microsoft.com/office/2022/10/relationships/richValueRel" Target="richData/richValueRel.xml"/><Relationship Id="rId2" Type="http://schemas.openxmlformats.org/officeDocument/2006/relationships/worksheet" Target="worksheets/sheet2.xml"/><Relationship Id="rId16" Type="http://schemas.openxmlformats.org/officeDocument/2006/relationships/sheetMetadata" Target="metadata.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19"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5.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6.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7.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8.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9.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0.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1.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3.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4.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Age Distribution of Participants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9136482939632546E-2"/>
          <c:y val="0.17634259259259263"/>
          <c:w val="0.89030796150481195"/>
          <c:h val="0.72125801983085447"/>
        </c:manualLayout>
      </c:layout>
      <c:barChart>
        <c:barDir val="col"/>
        <c:grouping val="clustered"/>
        <c:varyColors val="0"/>
        <c:ser>
          <c:idx val="0"/>
          <c:order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'Messing around w Charts'!$B$2:$B$8</c:f>
              <c:numCache>
                <c:formatCode>General</c:formatCode>
                <c:ptCount val="7"/>
                <c:pt idx="0">
                  <c:v>13</c:v>
                </c:pt>
                <c:pt idx="1">
                  <c:v>14</c:v>
                </c:pt>
                <c:pt idx="2">
                  <c:v>15</c:v>
                </c:pt>
                <c:pt idx="3">
                  <c:v>16</c:v>
                </c:pt>
                <c:pt idx="4">
                  <c:v>17</c:v>
                </c:pt>
                <c:pt idx="5">
                  <c:v>18</c:v>
                </c:pt>
                <c:pt idx="6">
                  <c:v>19</c:v>
                </c:pt>
              </c:numCache>
            </c:numRef>
          </c:cat>
          <c:val>
            <c:numRef>
              <c:f>'Messing around w Charts'!$A$2:$A$8</c:f>
              <c:numCache>
                <c:formatCode>General</c:formatCode>
                <c:ptCount val="7"/>
                <c:pt idx="0">
                  <c:v>200</c:v>
                </c:pt>
                <c:pt idx="1">
                  <c:v>153</c:v>
                </c:pt>
                <c:pt idx="2">
                  <c:v>180</c:v>
                </c:pt>
                <c:pt idx="3">
                  <c:v>163</c:v>
                </c:pt>
                <c:pt idx="4">
                  <c:v>170</c:v>
                </c:pt>
                <c:pt idx="5">
                  <c:v>172</c:v>
                </c:pt>
                <c:pt idx="6">
                  <c:v>162</c:v>
                </c:pt>
              </c:numCache>
            </c:numRef>
          </c:val>
          <c:extLst>
            <c:ext xmlns:c16="http://schemas.microsoft.com/office/drawing/2014/chart" uri="{C3380CC4-5D6E-409C-BE32-E72D297353CC}">
              <c16:uniqueId val="{00000000-4AB0-4BD6-8638-C460DAAACF76}"/>
            </c:ext>
          </c:extLst>
        </c:ser>
        <c:dLbls>
          <c:dLblPos val="outEnd"/>
          <c:showLegendKey val="0"/>
          <c:showVal val="1"/>
          <c:showCatName val="0"/>
          <c:showSerName val="0"/>
          <c:showPercent val="0"/>
          <c:showBubbleSize val="0"/>
        </c:dLbls>
        <c:gapWidth val="100"/>
        <c:overlap val="-24"/>
        <c:axId val="24811519"/>
        <c:axId val="1192903087"/>
      </c:barChart>
      <c:catAx>
        <c:axId val="24811519"/>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US"/>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903087"/>
        <c:crosses val="autoZero"/>
        <c:auto val="1"/>
        <c:lblAlgn val="ctr"/>
        <c:lblOffset val="100"/>
        <c:noMultiLvlLbl val="0"/>
      </c:catAx>
      <c:valAx>
        <c:axId val="1192903087"/>
        <c:scaling>
          <c:orientation val="minMax"/>
          <c:max val="200"/>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4811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Gender Ratio of Participants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doughnutChart>
        <c:varyColors val="1"/>
        <c:ser>
          <c:idx val="0"/>
          <c:order val="0"/>
          <c:dPt>
            <c:idx val="0"/>
            <c:bubble3D val="0"/>
            <c:spPr>
              <a:solidFill>
                <a:schemeClr val="accent1">
                  <a:lumMod val="60000"/>
                  <a:lumOff val="40000"/>
                </a:schemeClr>
              </a:solidFill>
              <a:ln>
                <a:solidFill>
                  <a:schemeClr val="accent1">
                    <a:alpha val="98000"/>
                  </a:schemeClr>
                </a:solid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C953-4D6E-8A39-8E7974E67AA9}"/>
              </c:ext>
            </c:extLst>
          </c:dPt>
          <c:dPt>
            <c:idx val="1"/>
            <c:bubble3D val="0"/>
            <c:spPr>
              <a:solidFill>
                <a:schemeClr val="accent5">
                  <a:lumMod val="40000"/>
                  <a:lumOff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2-C953-4D6E-8A39-8E7974E67AA9}"/>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'Messing around w Charts'!$B$23:$B$24</c:f>
              <c:strCache>
                <c:ptCount val="2"/>
                <c:pt idx="0">
                  <c:v>male</c:v>
                </c:pt>
                <c:pt idx="1">
                  <c:v>female</c:v>
                </c:pt>
              </c:strCache>
            </c:strRef>
          </c:cat>
          <c:val>
            <c:numRef>
              <c:f>'Messing around w Charts'!$A$23:$A$24</c:f>
              <c:numCache>
                <c:formatCode>General</c:formatCode>
                <c:ptCount val="2"/>
                <c:pt idx="0">
                  <c:v>615</c:v>
                </c:pt>
                <c:pt idx="1">
                  <c:v>585</c:v>
                </c:pt>
              </c:numCache>
            </c:numRef>
          </c:val>
          <c:extLst>
            <c:ext xmlns:c16="http://schemas.microsoft.com/office/drawing/2014/chart" uri="{C3380CC4-5D6E-409C-BE32-E72D297353CC}">
              <c16:uniqueId val="{00000000-C953-4D6E-8A39-8E7974E67AA9}"/>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Median GPA per Age Group</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cat>
            <c:numRef>
              <c:f>'Messing around w Charts'!$O$2:$O$8</c:f>
              <c:numCache>
                <c:formatCode>0</c:formatCode>
                <c:ptCount val="7"/>
                <c:pt idx="0">
                  <c:v>13</c:v>
                </c:pt>
                <c:pt idx="1">
                  <c:v>14</c:v>
                </c:pt>
                <c:pt idx="2">
                  <c:v>15</c:v>
                </c:pt>
                <c:pt idx="3">
                  <c:v>16</c:v>
                </c:pt>
                <c:pt idx="4">
                  <c:v>17</c:v>
                </c:pt>
                <c:pt idx="5">
                  <c:v>18</c:v>
                </c:pt>
                <c:pt idx="6">
                  <c:v>19</c:v>
                </c:pt>
              </c:numCache>
            </c:numRef>
          </c:cat>
          <c:val>
            <c:numRef>
              <c:f>'Messing around w Charts'!$N$2:$N$8</c:f>
              <c:numCache>
                <c:formatCode>0.00</c:formatCode>
                <c:ptCount val="7"/>
                <c:pt idx="0">
                  <c:v>3</c:v>
                </c:pt>
                <c:pt idx="1">
                  <c:v>3.01</c:v>
                </c:pt>
                <c:pt idx="2">
                  <c:v>3.0049999999999999</c:v>
                </c:pt>
                <c:pt idx="3">
                  <c:v>2.77</c:v>
                </c:pt>
                <c:pt idx="4">
                  <c:v>3.0449999999999999</c:v>
                </c:pt>
                <c:pt idx="5">
                  <c:v>3.04</c:v>
                </c:pt>
                <c:pt idx="6">
                  <c:v>2.895</c:v>
                </c:pt>
              </c:numCache>
            </c:numRef>
          </c:val>
          <c:extLst>
            <c:ext xmlns:c16="http://schemas.microsoft.com/office/drawing/2014/chart" uri="{C3380CC4-5D6E-409C-BE32-E72D297353CC}">
              <c16:uniqueId val="{00000000-3BC3-4734-9FE2-19D6A15ABF49}"/>
            </c:ext>
          </c:extLst>
        </c:ser>
        <c:dLbls>
          <c:showLegendKey val="0"/>
          <c:showVal val="0"/>
          <c:showCatName val="0"/>
          <c:showSerName val="0"/>
          <c:showPercent val="0"/>
          <c:showBubbleSize val="0"/>
        </c:dLbls>
        <c:gapWidth val="355"/>
        <c:overlap val="-70"/>
        <c:axId val="126235663"/>
        <c:axId val="1192901167"/>
      </c:barChart>
      <c:catAx>
        <c:axId val="126235663"/>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901167"/>
        <c:crosses val="autoZero"/>
        <c:auto val="1"/>
        <c:lblAlgn val="ctr"/>
        <c:lblOffset val="100"/>
        <c:noMultiLvlLbl val="0"/>
      </c:catAx>
      <c:valAx>
        <c:axId val="1192901167"/>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2356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solidFill>
                <a:effectLst>
                  <a:outerShdw blurRad="38100" dist="50800" dir="5400000" algn="ctr" rotWithShape="0">
                    <a:srgbClr val="000000">
                      <a:alpha val="20000"/>
                    </a:srgbClr>
                  </a:outerShdw>
                </a:effectLst>
                <a:latin typeface="+mn-lt"/>
                <a:ea typeface="+mn-ea"/>
                <a:cs typeface="+mn-cs"/>
              </a:defRPr>
            </a:pPr>
            <a:r>
              <a:rPr lang="en-US">
                <a:solidFill>
                  <a:schemeClr val="tx1"/>
                </a:solidFill>
                <a:effectLst>
                  <a:outerShdw blurRad="38100" dist="50800" dir="5400000" algn="ctr" rotWithShape="0">
                    <a:srgbClr val="000000">
                      <a:alpha val="20000"/>
                    </a:srgbClr>
                  </a:outerShdw>
                </a:effectLst>
              </a:rPr>
              <a:t>Platform Side-by-Side</a:t>
            </a:r>
            <a:r>
              <a:rPr lang="en-US" baseline="0">
                <a:solidFill>
                  <a:schemeClr val="tx1"/>
                </a:solidFill>
                <a:effectLst>
                  <a:outerShdw blurRad="38100" dist="50800" dir="5400000" algn="ctr" rotWithShape="0">
                    <a:srgbClr val="000000">
                      <a:alpha val="20000"/>
                    </a:srgbClr>
                  </a:outerShdw>
                </a:effectLst>
              </a:rPr>
              <a:t> Comparison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effectLst>
                <a:outerShdw blurRad="38100" dist="50800" dir="5400000" algn="ctr" rotWithShape="0">
                  <a:srgbClr val="000000">
                    <a:alpha val="20000"/>
                  </a:srgbClr>
                </a:outerShdw>
              </a:effectLst>
              <a:latin typeface="+mn-lt"/>
              <a:ea typeface="+mn-ea"/>
              <a:cs typeface="+mn-cs"/>
            </a:defRPr>
          </a:pPr>
          <a:endParaRPr lang="en-US"/>
        </a:p>
      </c:txPr>
    </c:title>
    <c:autoTitleDeleted val="0"/>
    <c:plotArea>
      <c:layout/>
      <c:barChart>
        <c:barDir val="col"/>
        <c:grouping val="clustered"/>
        <c:varyColors val="0"/>
        <c:ser>
          <c:idx val="0"/>
          <c:order val="0"/>
          <c:tx>
            <c:strRef>
              <c:f>'Messing around w Charts'!$N$42</c:f>
              <c:strCache>
                <c:ptCount val="1"/>
                <c:pt idx="0">
                  <c:v>Instagram</c:v>
                </c:pt>
              </c:strCache>
            </c:strRef>
          </c:tx>
          <c:spPr>
            <a:solidFill>
              <a:schemeClr val="accent1">
                <a:lumMod val="40000"/>
                <a:lumOff val="60000"/>
              </a:schemeClr>
            </a:solidFill>
            <a:ln>
              <a:noFill/>
            </a:ln>
            <a:effectLst/>
          </c:spPr>
          <c:invertIfNegative val="0"/>
          <c:cat>
            <c:strRef>
              <c:f>'Messing around w Charts'!$O$41:$Q$41</c:f>
              <c:strCache>
                <c:ptCount val="3"/>
                <c:pt idx="0">
                  <c:v>MIN</c:v>
                </c:pt>
                <c:pt idx="1">
                  <c:v>MAX</c:v>
                </c:pt>
                <c:pt idx="2">
                  <c:v>MEDIAN</c:v>
                </c:pt>
              </c:strCache>
            </c:strRef>
          </c:cat>
          <c:val>
            <c:numRef>
              <c:f>'Messing around w Charts'!$O$42:$Q$42</c:f>
              <c:numCache>
                <c:formatCode>General</c:formatCode>
                <c:ptCount val="3"/>
                <c:pt idx="0">
                  <c:v>1</c:v>
                </c:pt>
                <c:pt idx="1">
                  <c:v>8</c:v>
                </c:pt>
                <c:pt idx="2">
                  <c:v>4.4000000000000004</c:v>
                </c:pt>
              </c:numCache>
            </c:numRef>
          </c:val>
          <c:extLst>
            <c:ext xmlns:c16="http://schemas.microsoft.com/office/drawing/2014/chart" uri="{C3380CC4-5D6E-409C-BE32-E72D297353CC}">
              <c16:uniqueId val="{00000000-0DAB-4AEB-8B1B-87825E5B5227}"/>
            </c:ext>
          </c:extLst>
        </c:ser>
        <c:ser>
          <c:idx val="1"/>
          <c:order val="1"/>
          <c:tx>
            <c:strRef>
              <c:f>'Messing around w Charts'!$N$43</c:f>
              <c:strCache>
                <c:ptCount val="1"/>
                <c:pt idx="0">
                  <c:v>Tiktok</c:v>
                </c:pt>
              </c:strCache>
            </c:strRef>
          </c:tx>
          <c:spPr>
            <a:solidFill>
              <a:schemeClr val="accent5">
                <a:lumMod val="40000"/>
                <a:lumOff val="60000"/>
              </a:schemeClr>
            </a:solidFill>
            <a:ln>
              <a:noFill/>
            </a:ln>
            <a:effectLst/>
          </c:spPr>
          <c:invertIfNegative val="0"/>
          <c:cat>
            <c:strRef>
              <c:f>'Messing around w Charts'!$O$41:$Q$41</c:f>
              <c:strCache>
                <c:ptCount val="3"/>
                <c:pt idx="0">
                  <c:v>MIN</c:v>
                </c:pt>
                <c:pt idx="1">
                  <c:v>MAX</c:v>
                </c:pt>
                <c:pt idx="2">
                  <c:v>MEDIAN</c:v>
                </c:pt>
              </c:strCache>
            </c:strRef>
          </c:cat>
          <c:val>
            <c:numRef>
              <c:f>'Messing around w Charts'!$O$43:$Q$43</c:f>
              <c:numCache>
                <c:formatCode>General</c:formatCode>
                <c:ptCount val="3"/>
                <c:pt idx="0">
                  <c:v>1</c:v>
                </c:pt>
                <c:pt idx="1">
                  <c:v>8</c:v>
                </c:pt>
                <c:pt idx="2">
                  <c:v>4.5999999999999996</c:v>
                </c:pt>
              </c:numCache>
            </c:numRef>
          </c:val>
          <c:extLst>
            <c:ext xmlns:c16="http://schemas.microsoft.com/office/drawing/2014/chart" uri="{C3380CC4-5D6E-409C-BE32-E72D297353CC}">
              <c16:uniqueId val="{00000001-0DAB-4AEB-8B1B-87825E5B5227}"/>
            </c:ext>
          </c:extLst>
        </c:ser>
        <c:ser>
          <c:idx val="2"/>
          <c:order val="2"/>
          <c:tx>
            <c:strRef>
              <c:f>'Messing around w Charts'!$N$44</c:f>
              <c:strCache>
                <c:ptCount val="1"/>
                <c:pt idx="0">
                  <c:v>Both</c:v>
                </c:pt>
              </c:strCache>
            </c:strRef>
          </c:tx>
          <c:spPr>
            <a:solidFill>
              <a:schemeClr val="accent6">
                <a:lumMod val="75000"/>
              </a:schemeClr>
            </a:solidFill>
            <a:ln>
              <a:noFill/>
            </a:ln>
            <a:effectLst/>
          </c:spPr>
          <c:invertIfNegative val="0"/>
          <c:cat>
            <c:strRef>
              <c:f>'Messing around w Charts'!$O$41:$Q$41</c:f>
              <c:strCache>
                <c:ptCount val="3"/>
                <c:pt idx="0">
                  <c:v>MIN</c:v>
                </c:pt>
                <c:pt idx="1">
                  <c:v>MAX</c:v>
                </c:pt>
                <c:pt idx="2">
                  <c:v>MEDIAN</c:v>
                </c:pt>
              </c:strCache>
            </c:strRef>
          </c:cat>
          <c:val>
            <c:numRef>
              <c:f>'Messing around w Charts'!$O$44:$Q$44</c:f>
              <c:numCache>
                <c:formatCode>General</c:formatCode>
                <c:ptCount val="3"/>
                <c:pt idx="0">
                  <c:v>1</c:v>
                </c:pt>
                <c:pt idx="1">
                  <c:v>8</c:v>
                </c:pt>
                <c:pt idx="2">
                  <c:v>4.5</c:v>
                </c:pt>
              </c:numCache>
            </c:numRef>
          </c:val>
          <c:extLst>
            <c:ext xmlns:c16="http://schemas.microsoft.com/office/drawing/2014/chart" uri="{C3380CC4-5D6E-409C-BE32-E72D297353CC}">
              <c16:uniqueId val="{00000002-0DAB-4AEB-8B1B-87825E5B5227}"/>
            </c:ext>
          </c:extLst>
        </c:ser>
        <c:dLbls>
          <c:showLegendKey val="0"/>
          <c:showVal val="0"/>
          <c:showCatName val="0"/>
          <c:showSerName val="0"/>
          <c:showPercent val="0"/>
          <c:showBubbleSize val="0"/>
        </c:dLbls>
        <c:gapWidth val="219"/>
        <c:overlap val="-27"/>
        <c:axId val="124204399"/>
        <c:axId val="1701488847"/>
      </c:barChart>
      <c:catAx>
        <c:axId val="124204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488847"/>
        <c:crosses val="autoZero"/>
        <c:auto val="1"/>
        <c:lblAlgn val="ctr"/>
        <c:lblOffset val="100"/>
        <c:noMultiLvlLbl val="0"/>
      </c:catAx>
      <c:valAx>
        <c:axId val="17014888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04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 Media</a:t>
            </a:r>
            <a:r>
              <a:rPr lang="en-US" baseline="0"/>
              <a:t> Platform Use by Gender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'Messing around w Charts'!$A$46</c:f>
              <c:strCache>
                <c:ptCount val="1"/>
                <c:pt idx="0">
                  <c:v>Instagram</c:v>
                </c:pt>
              </c:strCache>
            </c:strRef>
          </c:tx>
          <c:spPr>
            <a:solidFill>
              <a:schemeClr val="accent1"/>
            </a:solidFill>
            <a:ln>
              <a:noFill/>
            </a:ln>
            <a:effectLst/>
          </c:spPr>
          <c:invertIfNegative val="0"/>
          <c:cat>
            <c:strRef>
              <c:f>'Messing around w Charts'!$B$45:$C$45</c:f>
              <c:strCache>
                <c:ptCount val="2"/>
                <c:pt idx="0">
                  <c:v>Male Users</c:v>
                </c:pt>
                <c:pt idx="1">
                  <c:v>Female Users</c:v>
                </c:pt>
              </c:strCache>
            </c:strRef>
          </c:cat>
          <c:val>
            <c:numRef>
              <c:f>'Messing around w Charts'!$B$46:$C$46</c:f>
              <c:numCache>
                <c:formatCode>General</c:formatCode>
                <c:ptCount val="2"/>
                <c:pt idx="0">
                  <c:v>208</c:v>
                </c:pt>
                <c:pt idx="1">
                  <c:v>203</c:v>
                </c:pt>
              </c:numCache>
            </c:numRef>
          </c:val>
          <c:extLst>
            <c:ext xmlns:c16="http://schemas.microsoft.com/office/drawing/2014/chart" uri="{C3380CC4-5D6E-409C-BE32-E72D297353CC}">
              <c16:uniqueId val="{00000000-20F9-44B5-9077-57C789C6BE2B}"/>
            </c:ext>
          </c:extLst>
        </c:ser>
        <c:ser>
          <c:idx val="1"/>
          <c:order val="1"/>
          <c:tx>
            <c:strRef>
              <c:f>'Messing around w Charts'!$A$47</c:f>
              <c:strCache>
                <c:ptCount val="1"/>
                <c:pt idx="0">
                  <c:v>Tiktok</c:v>
                </c:pt>
              </c:strCache>
            </c:strRef>
          </c:tx>
          <c:spPr>
            <a:solidFill>
              <a:schemeClr val="accent2"/>
            </a:solidFill>
            <a:ln>
              <a:noFill/>
            </a:ln>
            <a:effectLst/>
          </c:spPr>
          <c:invertIfNegative val="0"/>
          <c:cat>
            <c:strRef>
              <c:f>'Messing around w Charts'!$B$45:$C$45</c:f>
              <c:strCache>
                <c:ptCount val="2"/>
                <c:pt idx="0">
                  <c:v>Male Users</c:v>
                </c:pt>
                <c:pt idx="1">
                  <c:v>Female Users</c:v>
                </c:pt>
              </c:strCache>
            </c:strRef>
          </c:cat>
          <c:val>
            <c:numRef>
              <c:f>'Messing around w Charts'!$B$47:$C$47</c:f>
              <c:numCache>
                <c:formatCode>General</c:formatCode>
                <c:ptCount val="2"/>
                <c:pt idx="0">
                  <c:v>205</c:v>
                </c:pt>
                <c:pt idx="1">
                  <c:v>193</c:v>
                </c:pt>
              </c:numCache>
            </c:numRef>
          </c:val>
          <c:extLst>
            <c:ext xmlns:c16="http://schemas.microsoft.com/office/drawing/2014/chart" uri="{C3380CC4-5D6E-409C-BE32-E72D297353CC}">
              <c16:uniqueId val="{00000001-20F9-44B5-9077-57C789C6BE2B}"/>
            </c:ext>
          </c:extLst>
        </c:ser>
        <c:ser>
          <c:idx val="2"/>
          <c:order val="2"/>
          <c:tx>
            <c:strRef>
              <c:f>'Messing around w Charts'!$A$48</c:f>
              <c:strCache>
                <c:ptCount val="1"/>
                <c:pt idx="0">
                  <c:v>Both</c:v>
                </c:pt>
              </c:strCache>
            </c:strRef>
          </c:tx>
          <c:spPr>
            <a:solidFill>
              <a:schemeClr val="accent3"/>
            </a:solidFill>
            <a:ln>
              <a:noFill/>
            </a:ln>
            <a:effectLst/>
          </c:spPr>
          <c:invertIfNegative val="0"/>
          <c:cat>
            <c:strRef>
              <c:f>'Messing around w Charts'!$B$45:$C$45</c:f>
              <c:strCache>
                <c:ptCount val="2"/>
                <c:pt idx="0">
                  <c:v>Male Users</c:v>
                </c:pt>
                <c:pt idx="1">
                  <c:v>Female Users</c:v>
                </c:pt>
              </c:strCache>
            </c:strRef>
          </c:cat>
          <c:val>
            <c:numRef>
              <c:f>'Messing around w Charts'!$B$48:$C$48</c:f>
              <c:numCache>
                <c:formatCode>General</c:formatCode>
                <c:ptCount val="2"/>
                <c:pt idx="0">
                  <c:v>202</c:v>
                </c:pt>
                <c:pt idx="1">
                  <c:v>189</c:v>
                </c:pt>
              </c:numCache>
            </c:numRef>
          </c:val>
          <c:extLst>
            <c:ext xmlns:c16="http://schemas.microsoft.com/office/drawing/2014/chart" uri="{C3380CC4-5D6E-409C-BE32-E72D297353CC}">
              <c16:uniqueId val="{00000002-20F9-44B5-9077-57C789C6BE2B}"/>
            </c:ext>
          </c:extLst>
        </c:ser>
        <c:dLbls>
          <c:showLegendKey val="0"/>
          <c:showVal val="0"/>
          <c:showCatName val="0"/>
          <c:showSerName val="0"/>
          <c:showPercent val="0"/>
          <c:showBubbleSize val="0"/>
        </c:dLbls>
        <c:gapWidth val="182"/>
        <c:axId val="124134799"/>
        <c:axId val="1701667407"/>
      </c:barChart>
      <c:catAx>
        <c:axId val="124134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67407"/>
        <c:crosses val="autoZero"/>
        <c:auto val="1"/>
        <c:lblAlgn val="ctr"/>
        <c:lblOffset val="100"/>
        <c:noMultiLvlLbl val="0"/>
      </c:catAx>
      <c:valAx>
        <c:axId val="170166740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1347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Proportion of Depressed in Study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barChart>
        <c:barDir val="bar"/>
        <c:grouping val="stacked"/>
        <c:varyColors val="0"/>
        <c:ser>
          <c:idx val="0"/>
          <c:order val="0"/>
          <c:tx>
            <c:strRef>
              <c:f>'Messing around w Charts'!$B$68</c:f>
              <c:strCache>
                <c:ptCount val="1"/>
                <c:pt idx="0">
                  <c:v>Non-Depressed</c:v>
                </c:pt>
              </c:strCache>
            </c:strRef>
          </c:tx>
          <c:spPr>
            <a:solidFill>
              <a:schemeClr val="tx2">
                <a:lumMod val="50000"/>
                <a:lumOff val="50000"/>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'Messing around w Charts'!$A$69:$A$75</c:f>
              <c:numCache>
                <c:formatCode>General</c:formatCode>
                <c:ptCount val="7"/>
                <c:pt idx="0">
                  <c:v>13</c:v>
                </c:pt>
                <c:pt idx="1">
                  <c:v>14</c:v>
                </c:pt>
                <c:pt idx="2">
                  <c:v>15</c:v>
                </c:pt>
                <c:pt idx="3">
                  <c:v>16</c:v>
                </c:pt>
                <c:pt idx="4">
                  <c:v>17</c:v>
                </c:pt>
                <c:pt idx="5">
                  <c:v>18</c:v>
                </c:pt>
                <c:pt idx="6">
                  <c:v>19</c:v>
                </c:pt>
              </c:numCache>
            </c:numRef>
          </c:cat>
          <c:val>
            <c:numRef>
              <c:f>'Messing around w Charts'!$B$69:$B$75</c:f>
              <c:numCache>
                <c:formatCode>General</c:formatCode>
                <c:ptCount val="7"/>
                <c:pt idx="0">
                  <c:v>196</c:v>
                </c:pt>
                <c:pt idx="1">
                  <c:v>150</c:v>
                </c:pt>
                <c:pt idx="2">
                  <c:v>172</c:v>
                </c:pt>
                <c:pt idx="3">
                  <c:v>159</c:v>
                </c:pt>
                <c:pt idx="4">
                  <c:v>168</c:v>
                </c:pt>
                <c:pt idx="5">
                  <c:v>168</c:v>
                </c:pt>
                <c:pt idx="6">
                  <c:v>156</c:v>
                </c:pt>
              </c:numCache>
            </c:numRef>
          </c:val>
          <c:extLst>
            <c:ext xmlns:c16="http://schemas.microsoft.com/office/drawing/2014/chart" uri="{C3380CC4-5D6E-409C-BE32-E72D297353CC}">
              <c16:uniqueId val="{00000000-DE21-4E93-9646-9185C0AB365E}"/>
            </c:ext>
          </c:extLst>
        </c:ser>
        <c:ser>
          <c:idx val="1"/>
          <c:order val="1"/>
          <c:tx>
            <c:strRef>
              <c:f>'Messing around w Charts'!$C$68</c:f>
              <c:strCache>
                <c:ptCount val="1"/>
                <c:pt idx="0">
                  <c:v>Depressed</c:v>
                </c:pt>
              </c:strCache>
            </c:strRef>
          </c:tx>
          <c:spPr>
            <a:solidFill>
              <a:schemeClr val="bg2">
                <a:lumMod val="75000"/>
                <a:alpha val="85000"/>
              </a:schemeClr>
            </a:solidFill>
            <a:ln w="9525" cap="flat" cmpd="sng" algn="ctr">
              <a:solidFill>
                <a:schemeClr val="lt1">
                  <a:alpha val="50000"/>
                </a:schemeClr>
              </a:solidFill>
              <a:round/>
            </a:ln>
            <a:effectLst/>
          </c:spPr>
          <c:invertIfNegative val="0"/>
          <c:dLbls>
            <c:spPr>
              <a:solidFill>
                <a:schemeClr val="bg2">
                  <a:lumMod val="75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'Messing around w Charts'!$A$69:$A$75</c:f>
              <c:numCache>
                <c:formatCode>General</c:formatCode>
                <c:ptCount val="7"/>
                <c:pt idx="0">
                  <c:v>13</c:v>
                </c:pt>
                <c:pt idx="1">
                  <c:v>14</c:v>
                </c:pt>
                <c:pt idx="2">
                  <c:v>15</c:v>
                </c:pt>
                <c:pt idx="3">
                  <c:v>16</c:v>
                </c:pt>
                <c:pt idx="4">
                  <c:v>17</c:v>
                </c:pt>
                <c:pt idx="5">
                  <c:v>18</c:v>
                </c:pt>
                <c:pt idx="6">
                  <c:v>19</c:v>
                </c:pt>
              </c:numCache>
            </c:numRef>
          </c:cat>
          <c:val>
            <c:numRef>
              <c:f>'Messing around w Charts'!$C$69:$C$75</c:f>
              <c:numCache>
                <c:formatCode>General</c:formatCode>
                <c:ptCount val="7"/>
                <c:pt idx="0">
                  <c:v>4</c:v>
                </c:pt>
                <c:pt idx="1">
                  <c:v>3</c:v>
                </c:pt>
                <c:pt idx="2">
                  <c:v>8</c:v>
                </c:pt>
                <c:pt idx="3">
                  <c:v>4</c:v>
                </c:pt>
                <c:pt idx="4">
                  <c:v>2</c:v>
                </c:pt>
                <c:pt idx="5">
                  <c:v>4</c:v>
                </c:pt>
                <c:pt idx="6">
                  <c:v>6</c:v>
                </c:pt>
              </c:numCache>
            </c:numRef>
          </c:val>
          <c:extLst>
            <c:ext xmlns:c16="http://schemas.microsoft.com/office/drawing/2014/chart" uri="{C3380CC4-5D6E-409C-BE32-E72D297353CC}">
              <c16:uniqueId val="{00000001-DE21-4E93-9646-9185C0AB365E}"/>
            </c:ext>
          </c:extLst>
        </c:ser>
        <c:dLbls>
          <c:dLblPos val="ctr"/>
          <c:showLegendKey val="0"/>
          <c:showVal val="1"/>
          <c:showCatName val="0"/>
          <c:showSerName val="0"/>
          <c:showPercent val="0"/>
          <c:showBubbleSize val="0"/>
        </c:dLbls>
        <c:gapWidth val="150"/>
        <c:overlap val="100"/>
        <c:axId val="434082447"/>
        <c:axId val="2116732015"/>
      </c:barChart>
      <c:catAx>
        <c:axId val="43408244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 of Participants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6732015"/>
        <c:crosses val="autoZero"/>
        <c:auto val="1"/>
        <c:lblAlgn val="ctr"/>
        <c:lblOffset val="100"/>
        <c:noMultiLvlLbl val="0"/>
      </c:catAx>
      <c:valAx>
        <c:axId val="2116732015"/>
        <c:scaling>
          <c:orientation val="minMax"/>
        </c:scaling>
        <c:delete val="1"/>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crossAx val="434082447"/>
        <c:crosses val="autoZero"/>
        <c:crossBetween val="between"/>
      </c:valAx>
      <c:spPr>
        <a:noFill/>
        <a:ln>
          <a:noFill/>
        </a:ln>
        <a:effectLst/>
      </c:spPr>
    </c:plotArea>
    <c:legend>
      <c:legendPos val="b"/>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[Depression_Dashboard.xlsx]Labeled w Depression!PivotTable5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Labeled</a:t>
            </a:r>
            <a:r>
              <a:rPr lang="en-US" baseline="0"/>
              <a:t> w Depression by Gender</a:t>
            </a:r>
          </a:p>
        </c:rich>
      </c:tx>
      <c:layout>
        <c:manualLayout>
          <c:xMode val="edge"/>
          <c:yMode val="edge"/>
          <c:x val="0.248"/>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'Labeled w Depression'!$B$3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'Labeled w Depression'!$A$4:$A$5</c:f>
              <c:strCache>
                <c:ptCount val="2"/>
                <c:pt idx="0">
                  <c:v>female</c:v>
                </c:pt>
                <c:pt idx="1">
                  <c:v>male</c:v>
                </c:pt>
              </c:strCache>
            </c:strRef>
          </c:cat>
          <c:val>
            <c:numRef>
              <c:f>'Labeled w Depression'!$B$4:$B$5</c:f>
              <c:numCache>
                <c:formatCode>General</c:formatCode>
                <c:ptCount val="2"/>
                <c:pt idx="0">
                  <c:v>17</c:v>
                </c:pt>
                <c:pt idx="1">
                  <c:v>14</c:v>
                </c:pt>
              </c:numCache>
            </c:numRef>
          </c:val>
          <c:extLst>
            <c:ext xmlns:c16="http://schemas.microsoft.com/office/drawing/2014/chart" uri="{C3380CC4-5D6E-409C-BE32-E72D297353CC}">
              <c16:uniqueId val="{00000000-0627-4F0C-9206-7D0A2027C516}"/>
            </c:ext>
          </c:extLst>
        </c:ser>
        <c:dLbls>
          <c:dLblPos val="outEnd"/>
          <c:showLegendKey val="0"/>
          <c:showVal val="1"/>
          <c:showCatName val="0"/>
          <c:showSerName val="0"/>
          <c:showPercent val="0"/>
          <c:showBubbleSize val="0"/>
        </c:dLbls>
        <c:gapWidth val="219"/>
        <c:overlap val="-27"/>
        <c:axId val="1335878176"/>
        <c:axId val="724778960"/>
      </c:barChart>
      <c:catAx>
        <c:axId val="1335878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4778960"/>
        <c:crosses val="autoZero"/>
        <c:auto val="1"/>
        <c:lblAlgn val="ctr"/>
        <c:lblOffset val="100"/>
        <c:noMultiLvlLbl val="0"/>
      </c:catAx>
      <c:valAx>
        <c:axId val="724778960"/>
        <c:scaling>
          <c:orientation val="minMax"/>
          <c:max val="21"/>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5878176"/>
        <c:crosses val="autoZero"/>
        <c:crossBetween val="between"/>
        <c:majorUnit val="7"/>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'Labeled w Depression'!$A$31</c:f>
              <c:strCache>
                <c:ptCount val="1"/>
                <c:pt idx="0">
                  <c:v>Insta</c:v>
                </c:pt>
              </c:strCache>
            </c:strRef>
          </c:tx>
          <c:spPr>
            <a:solidFill>
              <a:schemeClr val="accent1"/>
            </a:solidFill>
            <a:ln>
              <a:noFill/>
            </a:ln>
            <a:effectLst/>
          </c:spPr>
          <c:invertIfNegative val="0"/>
          <c:cat>
            <c:strRef>
              <c:f>'Labeled w Depression'!$B$30</c:f>
              <c:strCache>
                <c:ptCount val="1"/>
                <c:pt idx="0">
                  <c:v>Depressed Count</c:v>
                </c:pt>
              </c:strCache>
            </c:strRef>
          </c:cat>
          <c:val>
            <c:numRef>
              <c:f>'Labeled w Depression'!$B$31</c:f>
              <c:numCache>
                <c:formatCode>General</c:formatCode>
                <c:ptCount val="1"/>
                <c:pt idx="0">
                  <c:v>10</c:v>
                </c:pt>
              </c:numCache>
            </c:numRef>
          </c:val>
          <c:extLst>
            <c:ext xmlns:c16="http://schemas.microsoft.com/office/drawing/2014/chart" uri="{C3380CC4-5D6E-409C-BE32-E72D297353CC}">
              <c16:uniqueId val="{00000000-11CD-4588-888E-2FCFB956C14A}"/>
            </c:ext>
          </c:extLst>
        </c:ser>
        <c:ser>
          <c:idx val="1"/>
          <c:order val="1"/>
          <c:tx>
            <c:strRef>
              <c:f>'Labeled w Depression'!$A$32</c:f>
              <c:strCache>
                <c:ptCount val="1"/>
                <c:pt idx="0">
                  <c:v>Tiktok</c:v>
                </c:pt>
              </c:strCache>
            </c:strRef>
          </c:tx>
          <c:spPr>
            <a:solidFill>
              <a:schemeClr val="accent2"/>
            </a:solidFill>
            <a:ln>
              <a:noFill/>
            </a:ln>
            <a:effectLst/>
          </c:spPr>
          <c:invertIfNegative val="0"/>
          <c:cat>
            <c:strRef>
              <c:f>'Labeled w Depression'!$B$30</c:f>
              <c:strCache>
                <c:ptCount val="1"/>
                <c:pt idx="0">
                  <c:v>Depressed Count</c:v>
                </c:pt>
              </c:strCache>
            </c:strRef>
          </c:cat>
          <c:val>
            <c:numRef>
              <c:f>'Labeled w Depression'!$B$32</c:f>
              <c:numCache>
                <c:formatCode>General</c:formatCode>
                <c:ptCount val="1"/>
                <c:pt idx="0">
                  <c:v>12</c:v>
                </c:pt>
              </c:numCache>
            </c:numRef>
          </c:val>
          <c:extLst>
            <c:ext xmlns:c16="http://schemas.microsoft.com/office/drawing/2014/chart" uri="{C3380CC4-5D6E-409C-BE32-E72D297353CC}">
              <c16:uniqueId val="{00000001-11CD-4588-888E-2FCFB956C14A}"/>
            </c:ext>
          </c:extLst>
        </c:ser>
        <c:ser>
          <c:idx val="2"/>
          <c:order val="2"/>
          <c:tx>
            <c:strRef>
              <c:f>'Labeled w Depression'!$A$33</c:f>
              <c:strCache>
                <c:ptCount val="1"/>
                <c:pt idx="0">
                  <c:v>Both</c:v>
                </c:pt>
              </c:strCache>
            </c:strRef>
          </c:tx>
          <c:spPr>
            <a:solidFill>
              <a:schemeClr val="accent3"/>
            </a:solidFill>
            <a:ln>
              <a:noFill/>
            </a:ln>
            <a:effectLst/>
          </c:spPr>
          <c:invertIfNegative val="0"/>
          <c:cat>
            <c:strRef>
              <c:f>'Labeled w Depression'!$B$30</c:f>
              <c:strCache>
                <c:ptCount val="1"/>
                <c:pt idx="0">
                  <c:v>Depressed Count</c:v>
                </c:pt>
              </c:strCache>
            </c:strRef>
          </c:cat>
          <c:val>
            <c:numRef>
              <c:f>'Labeled w Depression'!$B$33</c:f>
              <c:numCache>
                <c:formatCode>General</c:formatCode>
                <c:ptCount val="1"/>
                <c:pt idx="0">
                  <c:v>9</c:v>
                </c:pt>
              </c:numCache>
            </c:numRef>
          </c:val>
          <c:extLst>
            <c:ext xmlns:c16="http://schemas.microsoft.com/office/drawing/2014/chart" uri="{C3380CC4-5D6E-409C-BE32-E72D297353CC}">
              <c16:uniqueId val="{00000002-11CD-4588-888E-2FCFB956C14A}"/>
            </c:ext>
          </c:extLst>
        </c:ser>
        <c:dLbls>
          <c:showLegendKey val="0"/>
          <c:showVal val="0"/>
          <c:showCatName val="0"/>
          <c:showSerName val="0"/>
          <c:showPercent val="0"/>
          <c:showBubbleSize val="0"/>
        </c:dLbls>
        <c:gapWidth val="219"/>
        <c:overlap val="-27"/>
        <c:axId val="124262399"/>
        <c:axId val="1701638127"/>
      </c:barChart>
      <c:catAx>
        <c:axId val="124262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1638127"/>
        <c:crosses val="autoZero"/>
        <c:auto val="1"/>
        <c:lblAlgn val="ctr"/>
        <c:lblOffset val="100"/>
        <c:noMultiLvlLbl val="0"/>
      </c:catAx>
      <c:valAx>
        <c:axId val="17016381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623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r>
              <a:rPr lang="en-US">
                <a:solidFill>
                  <a:schemeClr val="tx1">
                    <a:lumMod val="85000"/>
                    <a:lumOff val="15000"/>
                  </a:schemeClr>
                </a:solidFill>
                <a:latin typeface="Cambria" panose="02040503050406030204" pitchFamily="18" charset="0"/>
                <a:ea typeface="Cambria" panose="02040503050406030204" pitchFamily="18" charset="0"/>
              </a:rPr>
              <a:t>Daily Screentime Hours</a:t>
            </a:r>
          </a:p>
        </c:rich>
      </c:tx>
      <c:overlay val="0"/>
      <c:spPr>
        <a:solidFill>
          <a:schemeClr val="bg1"/>
        </a:solidFill>
        <a:ln>
          <a:solidFill>
            <a:schemeClr val="bg1"/>
          </a:solidFill>
        </a:ln>
        <a:effectLst/>
      </c:spPr>
      <c:txPr>
        <a:bodyPr rot="0" spcFirstLastPara="1" vertOverflow="ellipsis" vert="horz" wrap="square" anchor="ctr" anchorCtr="1"/>
        <a:lstStyle/>
        <a:p>
          <a:pPr>
            <a:defRPr sz="1600" b="1" i="0" u="none" strike="noStrike" kern="1200" baseline="0">
              <a:solidFill>
                <a:schemeClr val="tx1">
                  <a:lumMod val="85000"/>
                  <a:lumOff val="1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rgbClr val="A50021"/>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'Data Validation Perhaps'!$A$2:$A$8</c:f>
              <c:numCache>
                <c:formatCode>General</c:formatCode>
                <c:ptCount val="7"/>
                <c:pt idx="0">
                  <c:v>13</c:v>
                </c:pt>
                <c:pt idx="1">
                  <c:v>14</c:v>
                </c:pt>
                <c:pt idx="2">
                  <c:v>15</c:v>
                </c:pt>
                <c:pt idx="3">
                  <c:v>16</c:v>
                </c:pt>
                <c:pt idx="4">
                  <c:v>17</c:v>
                </c:pt>
                <c:pt idx="5">
                  <c:v>18</c:v>
                </c:pt>
                <c:pt idx="6">
                  <c:v>19</c:v>
                </c:pt>
              </c:numCache>
            </c:numRef>
          </c:cat>
          <c:val>
            <c:numRef>
              <c:f>'Data Validation Perhaps'!$O$34:$O$40</c:f>
              <c:numCache>
                <c:formatCode>General</c:formatCode>
                <c:ptCount val="7"/>
                <c:pt idx="0">
                  <c:v>4</c:v>
                </c:pt>
                <c:pt idx="1">
                  <c:v>4.5</c:v>
                </c:pt>
                <c:pt idx="2">
                  <c:v>4</c:v>
                </c:pt>
                <c:pt idx="3">
                  <c:v>4.5</c:v>
                </c:pt>
                <c:pt idx="4">
                  <c:v>5</c:v>
                </c:pt>
                <c:pt idx="5">
                  <c:v>4</c:v>
                </c:pt>
                <c:pt idx="6">
                  <c:v>4.5</c:v>
                </c:pt>
              </c:numCache>
            </c:numRef>
          </c:val>
          <c:extLst>
            <c:ext xmlns:c16="http://schemas.microsoft.com/office/drawing/2014/chart" uri="{C3380CC4-5D6E-409C-BE32-E72D297353CC}">
              <c16:uniqueId val="{00000000-4EDC-4C6A-9471-1ADFFEEE2E63}"/>
            </c:ext>
          </c:extLst>
        </c:ser>
        <c:dLbls>
          <c:dLblPos val="outEnd"/>
          <c:showLegendKey val="0"/>
          <c:showVal val="1"/>
          <c:showCatName val="0"/>
          <c:showSerName val="0"/>
          <c:showPercent val="0"/>
          <c:showBubbleSize val="0"/>
        </c:dLbls>
        <c:gapWidth val="100"/>
        <c:overlap val="-24"/>
        <c:axId val="432860735"/>
        <c:axId val="2116793935"/>
      </c:barChart>
      <c:catAx>
        <c:axId val="432860735"/>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r>
                  <a:rPr lang="en-US">
                    <a:solidFill>
                      <a:schemeClr val="tx1"/>
                    </a:solidFill>
                  </a:rPr>
                  <a:t>Age</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6793935"/>
        <c:crosses val="autoZero"/>
        <c:auto val="1"/>
        <c:lblAlgn val="ctr"/>
        <c:lblOffset val="100"/>
        <c:noMultiLvlLbl val="0"/>
      </c:catAx>
      <c:valAx>
        <c:axId val="211679393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r>
                  <a:rPr lang="en-US">
                    <a:ln>
                      <a:noFill/>
                    </a:ln>
                    <a:solidFill>
                      <a:schemeClr val="tx1"/>
                    </a:solidFill>
                  </a:rPr>
                  <a:t>Screentime Hours</a:t>
                </a:r>
              </a:p>
            </c:rich>
          </c:tx>
          <c:overlay val="0"/>
          <c:spPr>
            <a:noFill/>
            <a:ln>
              <a:noFill/>
            </a:ln>
            <a:effectLst/>
          </c:spPr>
          <c:txPr>
            <a:bodyPr rot="-5400000" spcFirstLastPara="1" vertOverflow="ellipsis" vert="horz" wrap="square" anchor="ctr" anchorCtr="1"/>
            <a:lstStyle/>
            <a:p>
              <a:pPr>
                <a:defRPr sz="900" b="0" i="0" u="none" strike="noStrike" kern="1200" baseline="0">
                  <a:ln>
                    <a:noFill/>
                  </a:ln>
                  <a:solidFill>
                    <a:schemeClr val="tx1"/>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2860735"/>
        <c:crosses val="autoZero"/>
        <c:crossBetween val="between"/>
        <c:majorUnit val="1"/>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r>
              <a:rPr lang="en-US">
                <a:solidFill>
                  <a:schemeClr val="tx1"/>
                </a:solidFill>
                <a:latin typeface="Cambria" panose="02040503050406030204" pitchFamily="18" charset="0"/>
                <a:ea typeface="Cambria" panose="02040503050406030204" pitchFamily="18" charset="0"/>
              </a:rPr>
              <a:t>Behavioral Composite Score</a:t>
            </a:r>
          </a:p>
        </c:rich>
      </c:tx>
      <c:overlay val="0"/>
      <c:spPr>
        <a:noFill/>
        <a:ln>
          <a:solidFill>
            <a:schemeClr val="accent4">
              <a:lumMod val="20000"/>
              <a:lumOff val="80000"/>
            </a:schemeClr>
          </a:solidFill>
        </a:ln>
        <a:effectLst/>
      </c:spPr>
      <c:txPr>
        <a:bodyPr rot="0" spcFirstLastPara="1" vertOverflow="ellipsis" vert="horz" wrap="square" anchor="ctr" anchorCtr="1"/>
        <a:lstStyle/>
        <a:p>
          <a:pPr>
            <a:defRPr sz="1800" b="1" i="0" u="none" strike="noStrike" kern="1200" baseline="0">
              <a:solidFill>
                <a:schemeClr val="tx1"/>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numRef>
              <c:f>'Data Validation Perhaps'!$A$2:$A$8</c:f>
              <c:numCache>
                <c:formatCode>General</c:formatCode>
                <c:ptCount val="7"/>
                <c:pt idx="0">
                  <c:v>13</c:v>
                </c:pt>
                <c:pt idx="1">
                  <c:v>14</c:v>
                </c:pt>
                <c:pt idx="2">
                  <c:v>15</c:v>
                </c:pt>
                <c:pt idx="3">
                  <c:v>16</c:v>
                </c:pt>
                <c:pt idx="4">
                  <c:v>17</c:v>
                </c:pt>
                <c:pt idx="5">
                  <c:v>18</c:v>
                </c:pt>
                <c:pt idx="6">
                  <c:v>19</c:v>
                </c:pt>
              </c:numCache>
            </c:numRef>
          </c:cat>
          <c:val>
            <c:numRef>
              <c:f>'Data Validation Perhaps'!$P$34:$P$40</c:f>
              <c:numCache>
                <c:formatCode>General</c:formatCode>
                <c:ptCount val="7"/>
                <c:pt idx="0">
                  <c:v>17</c:v>
                </c:pt>
                <c:pt idx="1">
                  <c:v>16</c:v>
                </c:pt>
                <c:pt idx="2">
                  <c:v>16</c:v>
                </c:pt>
                <c:pt idx="3">
                  <c:v>16</c:v>
                </c:pt>
                <c:pt idx="4">
                  <c:v>17</c:v>
                </c:pt>
                <c:pt idx="5">
                  <c:v>16</c:v>
                </c:pt>
                <c:pt idx="6">
                  <c:v>17</c:v>
                </c:pt>
              </c:numCache>
            </c:numRef>
          </c:val>
          <c:extLst>
            <c:ext xmlns:c16="http://schemas.microsoft.com/office/drawing/2014/chart" uri="{C3380CC4-5D6E-409C-BE32-E72D297353CC}">
              <c16:uniqueId val="{00000000-05F2-4F64-8209-0431CB7CBA8C}"/>
            </c:ext>
          </c:extLst>
        </c:ser>
        <c:dLbls>
          <c:dLblPos val="inEnd"/>
          <c:showLegendKey val="0"/>
          <c:showVal val="1"/>
          <c:showCatName val="0"/>
          <c:showSerName val="0"/>
          <c:showPercent val="0"/>
          <c:showBubbleSize val="0"/>
        </c:dLbls>
        <c:gapWidth val="65"/>
        <c:axId val="432838927"/>
        <c:axId val="2116727695"/>
      </c:barChart>
      <c:catAx>
        <c:axId val="432838927"/>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Age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16727695"/>
        <c:crosses val="autoZero"/>
        <c:auto val="1"/>
        <c:lblAlgn val="ctr"/>
        <c:lblOffset val="100"/>
        <c:noMultiLvlLbl val="0"/>
      </c:catAx>
      <c:valAx>
        <c:axId val="2116727695"/>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Score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32838927"/>
        <c:crosses val="autoZero"/>
        <c:crossBetween val="between"/>
      </c:valAx>
      <c:spPr>
        <a:noFill/>
        <a:ln>
          <a:noFill/>
        </a:ln>
        <a:effectLst/>
      </c:spPr>
    </c:plotArea>
    <c:plotVisOnly val="1"/>
    <c:dispBlanksAs val="gap"/>
    <c:showDLblsOverMax val="0"/>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mn-cs"/>
              </a:defRPr>
            </a:pPr>
            <a:r>
              <a:rPr lang="en-US" sz="1600">
                <a:solidFill>
                  <a:schemeClr val="tx1">
                    <a:lumMod val="85000"/>
                    <a:lumOff val="15000"/>
                  </a:schemeClr>
                </a:solidFill>
                <a:latin typeface="Cambria" panose="02040503050406030204" pitchFamily="18" charset="0"/>
                <a:ea typeface="Cambria" panose="02040503050406030204" pitchFamily="18" charset="0"/>
              </a:rPr>
              <a:t>Depressed</a:t>
            </a:r>
            <a:r>
              <a:rPr lang="en-US" sz="1600" baseline="0">
                <a:solidFill>
                  <a:schemeClr val="tx1">
                    <a:lumMod val="85000"/>
                    <a:lumOff val="15000"/>
                  </a:schemeClr>
                </a:solidFill>
                <a:latin typeface="Cambria" panose="02040503050406030204" pitchFamily="18" charset="0"/>
                <a:ea typeface="Cambria" panose="02040503050406030204" pitchFamily="18" charset="0"/>
              </a:rPr>
              <a:t> vs Non-Depressed: Percentage Breakdown</a:t>
            </a:r>
            <a:endParaRPr lang="en-US" sz="1600">
              <a:solidFill>
                <a:schemeClr val="tx1">
                  <a:lumMod val="85000"/>
                  <a:lumOff val="15000"/>
                </a:schemeClr>
              </a:solidFill>
              <a:latin typeface="Cambria" panose="02040503050406030204" pitchFamily="18" charset="0"/>
              <a:ea typeface="Cambria" panose="02040503050406030204" pitchFamily="18" charset="0"/>
            </a:endParaRPr>
          </a:p>
        </c:rich>
      </c:tx>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85000"/>
                  <a:lumOff val="15000"/>
                </a:schemeClr>
              </a:solidFill>
              <a:latin typeface="+mn-lt"/>
              <a:ea typeface="+mn-ea"/>
              <a:cs typeface="+mn-cs"/>
            </a:defRPr>
          </a:pPr>
          <a:endParaRPr lang="en-US"/>
        </a:p>
      </c:txPr>
    </c:title>
    <c:autoTitleDeleted val="0"/>
    <c:plotArea>
      <c:layout>
        <c:manualLayout>
          <c:layoutTarget val="inner"/>
          <c:xMode val="edge"/>
          <c:yMode val="edge"/>
          <c:x val="0.30831321084864394"/>
          <c:y val="0.31079250510352874"/>
          <c:w val="0.33521566054243218"/>
          <c:h val="0.55869276757072028"/>
        </c:manualLayout>
      </c:layout>
      <c:doughnutChart>
        <c:varyColors val="1"/>
        <c:ser>
          <c:idx val="0"/>
          <c:order val="0"/>
          <c:dPt>
            <c:idx val="0"/>
            <c:bubble3D val="0"/>
            <c:spPr>
              <a:solidFill>
                <a:srgbClr val="3D3068"/>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C337-4252-B815-F6F7836A13B6}"/>
              </c:ext>
            </c:extLst>
          </c:dPt>
          <c:dPt>
            <c:idx val="1"/>
            <c:bubble3D val="0"/>
            <c:spPr>
              <a:solidFill>
                <a:srgbClr val="E4A238"/>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C337-4252-B815-F6F7836A13B6}"/>
              </c:ext>
            </c:extLst>
          </c:dPt>
          <c:dLbls>
            <c:dLbl>
              <c:idx val="0"/>
              <c:layout>
                <c:manualLayout>
                  <c:x val="0.11388888888888889"/>
                  <c:y val="-0.1898148148148148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37-4252-B815-F6F7836A13B6}"/>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'Data Validation Perhaps'!$G$9:$G$10</c:f>
              <c:strCache>
                <c:ptCount val="2"/>
                <c:pt idx="0">
                  <c:v>Depressed</c:v>
                </c:pt>
                <c:pt idx="1">
                  <c:v>Not Depressed</c:v>
                </c:pt>
              </c:strCache>
            </c:strRef>
          </c:cat>
          <c:val>
            <c:numRef>
              <c:f>'Data Validation Perhaps'!$H$9:$H$10</c:f>
              <c:numCache>
                <c:formatCode>General</c:formatCode>
                <c:ptCount val="2"/>
                <c:pt idx="0">
                  <c:v>31</c:v>
                </c:pt>
                <c:pt idx="1">
                  <c:v>1169</c:v>
                </c:pt>
              </c:numCache>
            </c:numRef>
          </c:val>
          <c:extLst>
            <c:ext xmlns:c16="http://schemas.microsoft.com/office/drawing/2014/chart" uri="{C3380CC4-5D6E-409C-BE32-E72D297353CC}">
              <c16:uniqueId val="{00000004-C337-4252-B815-F6F7836A13B6}"/>
            </c:ext>
          </c:extLst>
        </c:ser>
        <c:dLbls>
          <c:showLegendKey val="0"/>
          <c:showVal val="0"/>
          <c:showCatName val="0"/>
          <c:showSerName val="0"/>
          <c:showPercent val="0"/>
          <c:showBubbleSize val="0"/>
          <c:showLeaderLines val="0"/>
        </c:dLbls>
        <c:firstSliceAng val="85"/>
        <c:holeSize val="71"/>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numDim type="val">
        <cx:f>_xlchart.v1.0</cx:f>
      </cx:numDim>
    </cx:data>
  </cx:chartData>
  <cx:chart>
    <cx:title pos="t" align="ctr" overlay="0"/>
    <cx:plotArea>
      <cx:plotAreaRegion>
        <cx:series layoutId="clusteredColumn" uniqueId="{00000000-630F-4006-87E0-11D19B22130E}">
          <cx:dataId val="0"/>
          <cx:layoutPr>
            <cx:binning intervalClosed="r">
              <cx:binSize val="0.98999999999999999"/>
            </cx:binning>
          </cx:layoutPr>
        </cx:series>
      </cx:plotAreaRegion>
      <cx:axis id="0">
        <cx:catScaling gapWidth="0"/>
        <cx:tickLabels/>
        <cx:numFmt formatCode="#,##0.00" sourceLinked="0"/>
      </cx:axis>
      <cx:axis id="1">
        <cx:valScaling/>
        <cx:majorGridlines/>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numDim type="val">
        <cx:f>_xlchart.v1.1</cx:f>
      </cx:numDim>
    </cx:data>
  </cx:chartData>
  <cx:chart>
    <cx:title pos="t" align="ctr" overlay="0"/>
    <cx:plotArea>
      <cx:plotAreaRegion>
        <cx:series layoutId="clusteredColumn" uniqueId="{00000000-630F-4006-87E0-11D19B22130E}">
          <cx:dataId val="0"/>
          <cx:layoutPr>
            <cx:binning intervalClosed="r">
              <cx:binSize val="0.98999999999999999"/>
            </cx:binning>
          </cx:layoutPr>
        </cx:series>
      </cx:plotAreaRegion>
      <cx:axis id="0">
        <cx:catScaling gapWidth="0"/>
        <cx:tickLabels/>
        <cx:numFmt formatCode="#,##0.00" sourceLinked="0"/>
      </cx:axis>
      <cx:axis id="1">
        <cx:valScaling/>
        <cx:majorGridlines/>
        <cx:tickLabels/>
      </cx:axis>
    </cx:plotArea>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numDim type="val">
        <cx:f>_xlchart.v1.3</cx:f>
      </cx:numDim>
    </cx:data>
  </cx:chartData>
  <cx:chart>
    <cx:title pos="t" align="ctr" overlay="0">
      <cx:tx>
        <cx:txData>
          <cx:v>Instagram</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Instagram</a:t>
          </a:r>
        </a:p>
      </cx:txPr>
    </cx:title>
    <cx:plotArea>
      <cx:plotAreaRegion>
        <cx:series layoutId="boxWhisker" uniqueId="{00000000-138D-4446-AEAB-85296BB83454}">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numDim type="val">
        <cx:f>_xlchart.v1.2</cx:f>
      </cx:numDim>
    </cx:data>
  </cx:chartData>
  <cx:chart>
    <cx:title pos="t" align="ctr" overlay="0">
      <cx:tx>
        <cx:txData>
          <cx:v>TikTok</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TikTok</a:t>
          </a:r>
        </a:p>
      </cx:txPr>
    </cx:title>
    <cx:plotArea>
      <cx:plotAreaRegion>
        <cx:series layoutId="boxWhisker" uniqueId="{00000000-F56B-4021-A7C7-E437A7838752}">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hartEx5.xml><?xml version="1.0" encoding="utf-8"?>
<cx:chartSpace xmlns:a="http://schemas.openxmlformats.org/drawingml/2006/main" xmlns:r="http://schemas.openxmlformats.org/officeDocument/2006/relationships" xmlns:cx="http://schemas.microsoft.com/office/drawing/2014/chartex">
  <cx:chartData>
    <cx:data id="0">
      <cx:numDim type="val">
        <cx:f>_xlchart.v1.4</cx:f>
      </cx:numDim>
    </cx:data>
  </cx:chartData>
  <cx:chart>
    <cx:title pos="t" align="ctr" overlay="0"/>
    <cx:plotArea>
      <cx:plotAreaRegion>
        <cx:series layoutId="boxWhisker" uniqueId="{00000000-E109-4B35-AAF5-ACB6273F6F77}">
          <cx:dataId val="0"/>
          <cx:layoutPr>
            <cx:visibility meanLine="0" meanMarker="1" nonoutliers="0" outliers="1"/>
            <cx:statistics quartileMethod="exclusive"/>
          </cx:layoutPr>
        </cx:series>
      </cx:plotAreaRegion>
      <cx:axis id="0">
        <cx:catScaling gapWidth="1"/>
        <cx:tickLabels/>
      </cx:axis>
      <cx:axis id="1">
        <cx:valScaling/>
        <cx:majorGridlines/>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Reversed" id="23">
  <a:schemeClr val="accent3"/>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40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solidFill>
      <a:ln>
        <a:solidFill>
          <a:schemeClr val="ph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00">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microsoft.com/office/2014/relationships/chartEx" Target="../charts/chartEx1.xml"/></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5.xml"/><Relationship Id="rId5" Type="http://schemas.microsoft.com/office/2014/relationships/chartEx" Target="../charts/chartEx4.xml"/><Relationship Id="rId4" Type="http://schemas.microsoft.com/office/2014/relationships/chartEx" Target="../charts/chartEx3.xml"/><Relationship Id="rId9" Type="http://schemas.openxmlformats.org/officeDocument/2006/relationships/chart" Target="../charts/chart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10</xdr:col>
      <xdr:colOff>342900</xdr:colOff>
      <xdr:row>1171</xdr:row>
      <xdr:rowOff>38100</xdr:rowOff>
    </xdr:from>
    <xdr:to>
      <xdr:col>18</xdr:col>
      <xdr:colOff>38100</xdr:colOff>
      <xdr:row>1186</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F1323EB2-5F47-7C59-21DA-5EE998546E1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438900" y="2156777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10</xdr:col>
      <xdr:colOff>342900</xdr:colOff>
      <xdr:row>1171</xdr:row>
      <xdr:rowOff>38100</xdr:rowOff>
    </xdr:from>
    <xdr:to>
      <xdr:col>18</xdr:col>
      <xdr:colOff>38100</xdr:colOff>
      <xdr:row>1186</xdr:row>
      <xdr:rowOff>19050</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C8D28677-1202-4311-A6E3-0D3ED81BDD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12211050" y="1841500"/>
              <a:ext cx="5988050" cy="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5</xdr:col>
      <xdr:colOff>635000</xdr:colOff>
      <xdr:row>9</xdr:row>
      <xdr:rowOff>44450</xdr:rowOff>
    </xdr:from>
    <xdr:to>
      <xdr:col>6</xdr:col>
      <xdr:colOff>742950</xdr:colOff>
      <xdr:row>23</xdr:row>
      <xdr:rowOff>85722</xdr:rowOff>
    </xdr:to>
    <mc:AlternateContent xmlns:mc="http://schemas.openxmlformats.org/markup-compatibility/2006" xmlns:sle15="http://schemas.microsoft.com/office/drawing/2012/slicer">
      <mc:Choice Requires="sle15">
        <xdr:graphicFrame macro="">
          <xdr:nvGraphicFramePr>
            <xdr:cNvPr id="3" name="age">
              <a:extLst>
                <a:ext uri="{FF2B5EF4-FFF2-40B4-BE49-F238E27FC236}">
                  <a16:creationId xmlns:a16="http://schemas.microsoft.com/office/drawing/2014/main" id="{85DF0BDD-5F34-3097-A4D7-D3A24FCE333F}"/>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5556250" y="17018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6</xdr:col>
      <xdr:colOff>717550</xdr:colOff>
      <xdr:row>9</xdr:row>
      <xdr:rowOff>69850</xdr:rowOff>
    </xdr:from>
    <xdr:to>
      <xdr:col>7</xdr:col>
      <xdr:colOff>965200</xdr:colOff>
      <xdr:row>23</xdr:row>
      <xdr:rowOff>111122</xdr:rowOff>
    </xdr:to>
    <mc:AlternateContent xmlns:mc="http://schemas.openxmlformats.org/markup-compatibility/2006" xmlns:sle15="http://schemas.microsoft.com/office/drawing/2012/slicer">
      <mc:Choice Requires="sle15">
        <xdr:graphicFrame macro="">
          <xdr:nvGraphicFramePr>
            <xdr:cNvPr id="4" name="gender">
              <a:extLst>
                <a:ext uri="{FF2B5EF4-FFF2-40B4-BE49-F238E27FC236}">
                  <a16:creationId xmlns:a16="http://schemas.microsoft.com/office/drawing/2014/main" id="{488480F8-0E5B-0403-234D-3676D32EC3F3}"/>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359650" y="1727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7</xdr:col>
      <xdr:colOff>1003300</xdr:colOff>
      <xdr:row>9</xdr:row>
      <xdr:rowOff>69850</xdr:rowOff>
    </xdr:from>
    <xdr:to>
      <xdr:col>10</xdr:col>
      <xdr:colOff>768350</xdr:colOff>
      <xdr:row>23</xdr:row>
      <xdr:rowOff>111122</xdr:rowOff>
    </xdr:to>
    <mc:AlternateContent xmlns:mc="http://schemas.openxmlformats.org/markup-compatibility/2006" xmlns:sle15="http://schemas.microsoft.com/office/drawing/2012/slicer">
      <mc:Choice Requires="sle15">
        <xdr:graphicFrame macro="">
          <xdr:nvGraphicFramePr>
            <xdr:cNvPr id="5" name="depression_label">
              <a:extLst>
                <a:ext uri="{FF2B5EF4-FFF2-40B4-BE49-F238E27FC236}">
                  <a16:creationId xmlns:a16="http://schemas.microsoft.com/office/drawing/2014/main" id="{509FF3F0-0EAF-C59A-8B46-C216F3641A5E}"/>
                </a:ext>
              </a:extLst>
            </xdr:cNvPr>
            <xdr:cNvGraphicFramePr/>
          </xdr:nvGraphicFramePr>
          <xdr:xfrm>
            <a:off x="0" y="0"/>
            <a:ext cx="0" cy="0"/>
          </xdr:xfrm>
          <a:graphic>
            <a:graphicData uri="http://schemas.microsoft.com/office/drawing/2010/slicer">
              <sle:slicer xmlns:sle="http://schemas.microsoft.com/office/drawing/2010/slicer" name="depression_label"/>
            </a:graphicData>
          </a:graphic>
        </xdr:graphicFrame>
      </mc:Choice>
      <mc:Fallback xmlns="">
        <xdr:sp macro="" textlink="">
          <xdr:nvSpPr>
            <xdr:cNvPr id="0" name=""/>
            <xdr:cNvSpPr>
              <a:spLocks noTextEdit="1"/>
            </xdr:cNvSpPr>
          </xdr:nvSpPr>
          <xdr:spPr>
            <a:xfrm>
              <a:off x="9226550" y="17272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723900</xdr:colOff>
      <xdr:row>9</xdr:row>
      <xdr:rowOff>57150</xdr:rowOff>
    </xdr:from>
    <xdr:to>
      <xdr:col>12</xdr:col>
      <xdr:colOff>501650</xdr:colOff>
      <xdr:row>23</xdr:row>
      <xdr:rowOff>98422</xdr:rowOff>
    </xdr:to>
    <mc:AlternateContent xmlns:mc="http://schemas.openxmlformats.org/markup-compatibility/2006" xmlns:sle15="http://schemas.microsoft.com/office/drawing/2012/slicer">
      <mc:Choice Requires="sle15">
        <xdr:graphicFrame macro="">
          <xdr:nvGraphicFramePr>
            <xdr:cNvPr id="6" name="platform_usage">
              <a:extLst>
                <a:ext uri="{FF2B5EF4-FFF2-40B4-BE49-F238E27FC236}">
                  <a16:creationId xmlns:a16="http://schemas.microsoft.com/office/drawing/2014/main" id="{329B31AF-F68F-447D-06B3-AB36C450FE39}"/>
                </a:ext>
              </a:extLst>
            </xdr:cNvPr>
            <xdr:cNvGraphicFramePr/>
          </xdr:nvGraphicFramePr>
          <xdr:xfrm>
            <a:off x="0" y="0"/>
            <a:ext cx="0" cy="0"/>
          </xdr:xfrm>
          <a:graphic>
            <a:graphicData uri="http://schemas.microsoft.com/office/drawing/2010/slicer">
              <sle:slicer xmlns:sle="http://schemas.microsoft.com/office/drawing/2010/slicer" name="platform_usage"/>
            </a:graphicData>
          </a:graphic>
        </xdr:graphicFrame>
      </mc:Choice>
      <mc:Fallback xmlns="">
        <xdr:sp macro="" textlink="">
          <xdr:nvSpPr>
            <xdr:cNvPr id="0" name=""/>
            <xdr:cNvSpPr>
              <a:spLocks noTextEdit="1"/>
            </xdr:cNvSpPr>
          </xdr:nvSpPr>
          <xdr:spPr>
            <a:xfrm>
              <a:off x="11010900" y="17145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xdr:col>
      <xdr:colOff>146050</xdr:colOff>
      <xdr:row>0</xdr:row>
      <xdr:rowOff>0</xdr:rowOff>
    </xdr:from>
    <xdr:to>
      <xdr:col>10</xdr:col>
      <xdr:colOff>187325</xdr:colOff>
      <xdr:row>17</xdr:row>
      <xdr:rowOff>82550</xdr:rowOff>
    </xdr:to>
    <xdr:graphicFrame macro="">
      <xdr:nvGraphicFramePr>
        <xdr:cNvPr id="5" name="Chart 4">
          <a:extLst>
            <a:ext uri="{FF2B5EF4-FFF2-40B4-BE49-F238E27FC236}">
              <a16:creationId xmlns:a16="http://schemas.microsoft.com/office/drawing/2014/main" id="{8D0D9DDA-651B-488B-D847-55BF264E52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266699</xdr:colOff>
      <xdr:row>19</xdr:row>
      <xdr:rowOff>95250</xdr:rowOff>
    </xdr:from>
    <xdr:to>
      <xdr:col>8</xdr:col>
      <xdr:colOff>523874</xdr:colOff>
      <xdr:row>33</xdr:row>
      <xdr:rowOff>101600</xdr:rowOff>
    </xdr:to>
    <xdr:graphicFrame macro="">
      <xdr:nvGraphicFramePr>
        <xdr:cNvPr id="6" name="Chart 5">
          <a:extLst>
            <a:ext uri="{FF2B5EF4-FFF2-40B4-BE49-F238E27FC236}">
              <a16:creationId xmlns:a16="http://schemas.microsoft.com/office/drawing/2014/main" id="{AC4FCF55-8235-06ED-1674-A1E39F8E3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111125</xdr:colOff>
      <xdr:row>0</xdr:row>
      <xdr:rowOff>0</xdr:rowOff>
    </xdr:from>
    <xdr:to>
      <xdr:col>22</xdr:col>
      <xdr:colOff>415925</xdr:colOff>
      <xdr:row>14</xdr:row>
      <xdr:rowOff>165100</xdr:rowOff>
    </xdr:to>
    <xdr:graphicFrame macro="">
      <xdr:nvGraphicFramePr>
        <xdr:cNvPr id="10" name="Chart 9">
          <a:extLst>
            <a:ext uri="{FF2B5EF4-FFF2-40B4-BE49-F238E27FC236}">
              <a16:creationId xmlns:a16="http://schemas.microsoft.com/office/drawing/2014/main" id="{900F88AF-8329-77D0-593D-F6C72928C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342900</xdr:colOff>
      <xdr:row>17</xdr:row>
      <xdr:rowOff>165100</xdr:rowOff>
    </xdr:from>
    <xdr:to>
      <xdr:col>30</xdr:col>
      <xdr:colOff>38100</xdr:colOff>
      <xdr:row>32</xdr:row>
      <xdr:rowOff>146050</xdr:rowOff>
    </xdr:to>
    <mc:AlternateContent xmlns:mc="http://schemas.openxmlformats.org/markup-compatibility/2006">
      <mc:Choice xmlns:cx1="http://schemas.microsoft.com/office/drawing/2015/9/8/chartex" Requires="cx1">
        <xdr:graphicFrame macro="">
          <xdr:nvGraphicFramePr>
            <xdr:cNvPr id="12" name="Chart 11">
              <a:extLst>
                <a:ext uri="{FF2B5EF4-FFF2-40B4-BE49-F238E27FC236}">
                  <a16:creationId xmlns:a16="http://schemas.microsoft.com/office/drawing/2014/main" id="{A107A705-86E7-4E83-AC55-6B3FA68705C6}"/>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9208750" y="329565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336550</xdr:colOff>
      <xdr:row>32</xdr:row>
      <xdr:rowOff>177800</xdr:rowOff>
    </xdr:from>
    <xdr:to>
      <xdr:col>30</xdr:col>
      <xdr:colOff>31750</xdr:colOff>
      <xdr:row>47</xdr:row>
      <xdr:rowOff>158750</xdr:rowOff>
    </xdr:to>
    <mc:AlternateContent xmlns:mc="http://schemas.openxmlformats.org/markup-compatibility/2006">
      <mc:Choice xmlns:cx1="http://schemas.microsoft.com/office/drawing/2015/9/8/chartex" Requires="cx1">
        <xdr:graphicFrame macro="">
          <xdr:nvGraphicFramePr>
            <xdr:cNvPr id="14" name="Chart 13">
              <a:extLst>
                <a:ext uri="{FF2B5EF4-FFF2-40B4-BE49-F238E27FC236}">
                  <a16:creationId xmlns:a16="http://schemas.microsoft.com/office/drawing/2014/main" id="{11BDFF04-0DD8-4D50-9E55-F5CF8323652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9202400" y="6070600"/>
              <a:ext cx="4572000" cy="27559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330200</xdr:colOff>
      <xdr:row>48</xdr:row>
      <xdr:rowOff>57150</xdr:rowOff>
    </xdr:from>
    <xdr:to>
      <xdr:col>30</xdr:col>
      <xdr:colOff>25400</xdr:colOff>
      <xdr:row>63</xdr:row>
      <xdr:rowOff>38100</xdr:rowOff>
    </xdr:to>
    <mc:AlternateContent xmlns:mc="http://schemas.openxmlformats.org/markup-compatibility/2006">
      <mc:Choice xmlns:cx1="http://schemas.microsoft.com/office/drawing/2015/9/8/chartex" Requires="cx1">
        <xdr:graphicFrame macro="">
          <xdr:nvGraphicFramePr>
            <xdr:cNvPr id="16" name="Chart 15">
              <a:extLst>
                <a:ext uri="{FF2B5EF4-FFF2-40B4-BE49-F238E27FC236}">
                  <a16:creationId xmlns:a16="http://schemas.microsoft.com/office/drawing/2014/main" id="{0F14C02F-8CAB-4415-8D18-639F50755AE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9196050" y="891540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12</xdr:col>
      <xdr:colOff>174625</xdr:colOff>
      <xdr:row>44</xdr:row>
      <xdr:rowOff>63500</xdr:rowOff>
    </xdr:from>
    <xdr:to>
      <xdr:col>16</xdr:col>
      <xdr:colOff>441325</xdr:colOff>
      <xdr:row>59</xdr:row>
      <xdr:rowOff>44450</xdr:rowOff>
    </xdr:to>
    <xdr:graphicFrame macro="">
      <xdr:nvGraphicFramePr>
        <xdr:cNvPr id="17" name="Chart 16">
          <a:extLst>
            <a:ext uri="{FF2B5EF4-FFF2-40B4-BE49-F238E27FC236}">
              <a16:creationId xmlns:a16="http://schemas.microsoft.com/office/drawing/2014/main" id="{C2814AF3-EFDF-4B10-1EF6-D6675F9FA4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49</xdr:row>
      <xdr:rowOff>25400</xdr:rowOff>
    </xdr:from>
    <xdr:to>
      <xdr:col>3</xdr:col>
      <xdr:colOff>869950</xdr:colOff>
      <xdr:row>64</xdr:row>
      <xdr:rowOff>6350</xdr:rowOff>
    </xdr:to>
    <xdr:graphicFrame macro="">
      <xdr:nvGraphicFramePr>
        <xdr:cNvPr id="18" name="Chart 17">
          <a:extLst>
            <a:ext uri="{FF2B5EF4-FFF2-40B4-BE49-F238E27FC236}">
              <a16:creationId xmlns:a16="http://schemas.microsoft.com/office/drawing/2014/main" id="{27945C3A-3156-1FAB-BE6C-701D97964E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4</xdr:col>
      <xdr:colOff>393700</xdr:colOff>
      <xdr:row>62</xdr:row>
      <xdr:rowOff>177800</xdr:rowOff>
    </xdr:from>
    <xdr:to>
      <xdr:col>12</xdr:col>
      <xdr:colOff>88900</xdr:colOff>
      <xdr:row>77</xdr:row>
      <xdr:rowOff>146050</xdr:rowOff>
    </xdr:to>
    <xdr:graphicFrame macro="">
      <xdr:nvGraphicFramePr>
        <xdr:cNvPr id="3" name="Chart 2">
          <a:extLst>
            <a:ext uri="{FF2B5EF4-FFF2-40B4-BE49-F238E27FC236}">
              <a16:creationId xmlns:a16="http://schemas.microsoft.com/office/drawing/2014/main" id="{C1EEDB38-0B30-47D8-94C7-A80073D24F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5</xdr:row>
      <xdr:rowOff>76200</xdr:rowOff>
    </xdr:from>
    <xdr:to>
      <xdr:col>6</xdr:col>
      <xdr:colOff>12700</xdr:colOff>
      <xdr:row>20</xdr:row>
      <xdr:rowOff>57150</xdr:rowOff>
    </xdr:to>
    <xdr:graphicFrame macro="">
      <xdr:nvGraphicFramePr>
        <xdr:cNvPr id="2" name="Chart 1">
          <a:extLst>
            <a:ext uri="{FF2B5EF4-FFF2-40B4-BE49-F238E27FC236}">
              <a16:creationId xmlns:a16="http://schemas.microsoft.com/office/drawing/2014/main" id="{1234BFE9-2C6E-E0C3-9804-BC4AFC4BC9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217752</xdr:colOff>
      <xdr:row>22</xdr:row>
      <xdr:rowOff>6615</xdr:rowOff>
    </xdr:from>
    <xdr:to>
      <xdr:col>10</xdr:col>
      <xdr:colOff>409046</xdr:colOff>
      <xdr:row>36</xdr:row>
      <xdr:rowOff>171715</xdr:rowOff>
    </xdr:to>
    <xdr:graphicFrame macro="">
      <xdr:nvGraphicFramePr>
        <xdr:cNvPr id="3" name="Chart 2">
          <a:extLst>
            <a:ext uri="{FF2B5EF4-FFF2-40B4-BE49-F238E27FC236}">
              <a16:creationId xmlns:a16="http://schemas.microsoft.com/office/drawing/2014/main" id="{D66D0FC4-9A70-162B-F12F-CEE217877C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6350</xdr:colOff>
      <xdr:row>7</xdr:row>
      <xdr:rowOff>6350</xdr:rowOff>
    </xdr:from>
    <xdr:to>
      <xdr:col>9</xdr:col>
      <xdr:colOff>19050</xdr:colOff>
      <xdr:row>11</xdr:row>
      <xdr:rowOff>19050</xdr:rowOff>
    </xdr:to>
    <xdr:sp macro="" textlink="">
      <xdr:nvSpPr>
        <xdr:cNvPr id="10" name="Rectangle 9">
          <a:extLst>
            <a:ext uri="{FF2B5EF4-FFF2-40B4-BE49-F238E27FC236}">
              <a16:creationId xmlns:a16="http://schemas.microsoft.com/office/drawing/2014/main" id="{74BDEA80-4EBB-F77F-5CCD-8FCEEDB04414}"/>
            </a:ext>
          </a:extLst>
        </xdr:cNvPr>
        <xdr:cNvSpPr/>
      </xdr:nvSpPr>
      <xdr:spPr>
        <a:xfrm>
          <a:off x="4210050" y="1454150"/>
          <a:ext cx="2889250" cy="762000"/>
        </a:xfrm>
        <a:prstGeom prst="rect">
          <a:avLst/>
        </a:prstGeom>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200">
              <a:latin typeface="Cambria" panose="02040503050406030204" pitchFamily="18" charset="0"/>
              <a:ea typeface="Cambria" panose="02040503050406030204" pitchFamily="18" charset="0"/>
            </a:rPr>
            <a:t>Median</a:t>
          </a:r>
          <a:r>
            <a:rPr lang="en-US" sz="1200" baseline="0">
              <a:latin typeface="Cambria" panose="02040503050406030204" pitchFamily="18" charset="0"/>
              <a:ea typeface="Cambria" panose="02040503050406030204" pitchFamily="18" charset="0"/>
            </a:rPr>
            <a:t> GPA:</a:t>
          </a:r>
        </a:p>
      </xdr:txBody>
    </xdr:sp>
    <xdr:clientData/>
  </xdr:twoCellAnchor>
  <xdr:oneCellAnchor>
    <xdr:from>
      <xdr:col>5</xdr:col>
      <xdr:colOff>596900</xdr:colOff>
      <xdr:row>7</xdr:row>
      <xdr:rowOff>0</xdr:rowOff>
    </xdr:from>
    <xdr:ext cx="2851150" cy="755650"/>
    <xdr:sp macro="" textlink="academia">
      <xdr:nvSpPr>
        <xdr:cNvPr id="7" name="TextBox 6">
          <a:extLst>
            <a:ext uri="{FF2B5EF4-FFF2-40B4-BE49-F238E27FC236}">
              <a16:creationId xmlns:a16="http://schemas.microsoft.com/office/drawing/2014/main" id="{FC928FB7-6907-2861-8728-C94D2105D66B}"/>
            </a:ext>
          </a:extLst>
        </xdr:cNvPr>
        <xdr:cNvSpPr txBox="1"/>
      </xdr:nvSpPr>
      <xdr:spPr>
        <a:xfrm>
          <a:off x="4191000" y="1447800"/>
          <a:ext cx="2851150" cy="7556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b">
          <a:noAutofit/>
        </a:bodyPr>
        <a:lstStyle/>
        <a:p>
          <a:pPr algn="ctr"/>
          <a:fld id="{122F6C84-5977-453D-9581-29C5A13957B6}" type="TxLink">
            <a:rPr lang="en-US" sz="1600" b="1" i="0" u="none" strike="noStrike">
              <a:solidFill>
                <a:srgbClr val="000000"/>
              </a:solidFill>
              <a:latin typeface="Cambria" panose="02040503050406030204" pitchFamily="18" charset="0"/>
              <a:ea typeface="Cambria" panose="02040503050406030204" pitchFamily="18" charset="0"/>
            </a:rPr>
            <a:pPr algn="ctr"/>
            <a:t>2.98</a:t>
          </a:fld>
          <a:endParaRPr lang="en-US" sz="1600" b="1">
            <a:latin typeface="Cambria" panose="02040503050406030204" pitchFamily="18" charset="0"/>
            <a:ea typeface="Cambria" panose="02040503050406030204" pitchFamily="18" charset="0"/>
          </a:endParaRPr>
        </a:p>
      </xdr:txBody>
    </xdr:sp>
    <xdr:clientData/>
  </xdr:oneCellAnchor>
  <xdr:twoCellAnchor>
    <xdr:from>
      <xdr:col>6</xdr:col>
      <xdr:colOff>12700</xdr:colOff>
      <xdr:row>11</xdr:row>
      <xdr:rowOff>158750</xdr:rowOff>
    </xdr:from>
    <xdr:to>
      <xdr:col>9</xdr:col>
      <xdr:colOff>31750</xdr:colOff>
      <xdr:row>15</xdr:row>
      <xdr:rowOff>177800</xdr:rowOff>
    </xdr:to>
    <xdr:sp macro="" textlink="">
      <xdr:nvSpPr>
        <xdr:cNvPr id="12" name="Rectangle 11">
          <a:extLst>
            <a:ext uri="{FF2B5EF4-FFF2-40B4-BE49-F238E27FC236}">
              <a16:creationId xmlns:a16="http://schemas.microsoft.com/office/drawing/2014/main" id="{77D984F6-40CC-47C1-C0DF-60068E2429B7}"/>
            </a:ext>
          </a:extLst>
        </xdr:cNvPr>
        <xdr:cNvSpPr/>
      </xdr:nvSpPr>
      <xdr:spPr>
        <a:xfrm>
          <a:off x="4216400" y="2355850"/>
          <a:ext cx="2895600" cy="781050"/>
        </a:xfrm>
        <a:prstGeom prst="rect">
          <a:avLst/>
        </a:prstGeom>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a:latin typeface="Cambria" panose="02040503050406030204" pitchFamily="18" charset="0"/>
              <a:ea typeface="Cambria" panose="02040503050406030204" pitchFamily="18" charset="0"/>
            </a:rPr>
            <a:t>Average</a:t>
          </a:r>
          <a:r>
            <a:rPr lang="en-US" sz="1050" baseline="0">
              <a:latin typeface="Cambria" panose="02040503050406030204" pitchFamily="18" charset="0"/>
              <a:ea typeface="Cambria" panose="02040503050406030204" pitchFamily="18" charset="0"/>
            </a:rPr>
            <a:t> Social Interaction (1 = Low, 3 = High):</a:t>
          </a:r>
          <a:endParaRPr lang="en-US" sz="1050">
            <a:latin typeface="Cambria" panose="02040503050406030204" pitchFamily="18" charset="0"/>
            <a:ea typeface="Cambria" panose="02040503050406030204" pitchFamily="18" charset="0"/>
          </a:endParaRPr>
        </a:p>
      </xdr:txBody>
    </xdr:sp>
    <xdr:clientData/>
  </xdr:twoCellAnchor>
  <xdr:twoCellAnchor>
    <xdr:from>
      <xdr:col>6</xdr:col>
      <xdr:colOff>0</xdr:colOff>
      <xdr:row>11</xdr:row>
      <xdr:rowOff>177800</xdr:rowOff>
    </xdr:from>
    <xdr:to>
      <xdr:col>9</xdr:col>
      <xdr:colOff>44450</xdr:colOff>
      <xdr:row>15</xdr:row>
      <xdr:rowOff>171450</xdr:rowOff>
    </xdr:to>
    <xdr:sp macro="" textlink="socialize">
      <xdr:nvSpPr>
        <xdr:cNvPr id="9" name="TextBox 8">
          <a:extLst>
            <a:ext uri="{FF2B5EF4-FFF2-40B4-BE49-F238E27FC236}">
              <a16:creationId xmlns:a16="http://schemas.microsoft.com/office/drawing/2014/main" id="{C1D84643-7623-82BB-535C-45BC17F34330}"/>
            </a:ext>
          </a:extLst>
        </xdr:cNvPr>
        <xdr:cNvSpPr txBox="1"/>
      </xdr:nvSpPr>
      <xdr:spPr>
        <a:xfrm>
          <a:off x="4203700" y="2374900"/>
          <a:ext cx="2921000" cy="755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B61EEF92-D300-4C7C-9475-0B5B4C7B65E4}" type="TxLink">
            <a:rPr lang="en-US" sz="1600" b="1" i="0" u="none" strike="noStrike">
              <a:solidFill>
                <a:srgbClr val="000000"/>
              </a:solidFill>
              <a:latin typeface="Cambria" panose="02040503050406030204" pitchFamily="18" charset="0"/>
              <a:ea typeface="Cambria" panose="02040503050406030204" pitchFamily="18" charset="0"/>
            </a:rPr>
            <a:pPr algn="ctr"/>
            <a:t>1.99</a:t>
          </a:fld>
          <a:endParaRPr lang="en-US" sz="1600" b="1">
            <a:latin typeface="Cambria" panose="02040503050406030204" pitchFamily="18" charset="0"/>
            <a:ea typeface="Cambria" panose="02040503050406030204" pitchFamily="18" charset="0"/>
          </a:endParaRPr>
        </a:p>
      </xdr:txBody>
    </xdr:sp>
    <xdr:clientData/>
  </xdr:twoCellAnchor>
  <xdr:twoCellAnchor>
    <xdr:from>
      <xdr:col>5</xdr:col>
      <xdr:colOff>603250</xdr:colOff>
      <xdr:row>2</xdr:row>
      <xdr:rowOff>146050</xdr:rowOff>
    </xdr:from>
    <xdr:to>
      <xdr:col>8</xdr:col>
      <xdr:colOff>1206500</xdr:colOff>
      <xdr:row>6</xdr:row>
      <xdr:rowOff>44450</xdr:rowOff>
    </xdr:to>
    <xdr:sp macro="" textlink="">
      <xdr:nvSpPr>
        <xdr:cNvPr id="11" name="Rectangle 10">
          <a:extLst>
            <a:ext uri="{FF2B5EF4-FFF2-40B4-BE49-F238E27FC236}">
              <a16:creationId xmlns:a16="http://schemas.microsoft.com/office/drawing/2014/main" id="{A33C3D4D-7DCE-94AB-CCF5-A79D48973B27}"/>
            </a:ext>
          </a:extLst>
        </xdr:cNvPr>
        <xdr:cNvSpPr/>
      </xdr:nvSpPr>
      <xdr:spPr>
        <a:xfrm>
          <a:off x="4197350" y="514350"/>
          <a:ext cx="2876550" cy="755650"/>
        </a:xfrm>
        <a:prstGeom prst="rect">
          <a:avLst/>
        </a:prstGeom>
        <a:ln>
          <a:solidFill>
            <a:schemeClr val="tx2">
              <a:lumMod val="10000"/>
              <a:lumOff val="9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US" sz="1050" b="0">
              <a:latin typeface="Cambria" panose="02040503050406030204" pitchFamily="18" charset="0"/>
              <a:ea typeface="Cambria" panose="02040503050406030204" pitchFamily="18" charset="0"/>
            </a:rPr>
            <a:t>Participants</a:t>
          </a:r>
          <a:r>
            <a:rPr lang="en-US" sz="1050" b="0" baseline="0">
              <a:latin typeface="Cambria" panose="02040503050406030204" pitchFamily="18" charset="0"/>
              <a:ea typeface="Cambria" panose="02040503050406030204" pitchFamily="18" charset="0"/>
            </a:rPr>
            <a:t> that Exceeded 2 Hour Screentime:</a:t>
          </a:r>
          <a:endParaRPr lang="en-US" sz="1050" b="0">
            <a:latin typeface="Cambria" panose="02040503050406030204" pitchFamily="18" charset="0"/>
            <a:ea typeface="Cambria" panose="02040503050406030204" pitchFamily="18" charset="0"/>
          </a:endParaRPr>
        </a:p>
      </xdr:txBody>
    </xdr:sp>
    <xdr:clientData/>
  </xdr:twoCellAnchor>
  <xdr:twoCellAnchor>
    <xdr:from>
      <xdr:col>5</xdr:col>
      <xdr:colOff>590550</xdr:colOff>
      <xdr:row>2</xdr:row>
      <xdr:rowOff>127000</xdr:rowOff>
    </xdr:from>
    <xdr:to>
      <xdr:col>8</xdr:col>
      <xdr:colOff>1200150</xdr:colOff>
      <xdr:row>6</xdr:row>
      <xdr:rowOff>44450</xdr:rowOff>
    </xdr:to>
    <xdr:sp macro="" textlink="gr8_than_2">
      <xdr:nvSpPr>
        <xdr:cNvPr id="8" name="TextBox 7">
          <a:extLst>
            <a:ext uri="{FF2B5EF4-FFF2-40B4-BE49-F238E27FC236}">
              <a16:creationId xmlns:a16="http://schemas.microsoft.com/office/drawing/2014/main" id="{A8B177B5-86E4-91E7-D627-E07162AD136C}"/>
            </a:ext>
          </a:extLst>
        </xdr:cNvPr>
        <xdr:cNvSpPr txBox="1"/>
      </xdr:nvSpPr>
      <xdr:spPr>
        <a:xfrm>
          <a:off x="4184650" y="495300"/>
          <a:ext cx="2882900" cy="774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6E21D2D7-3408-47E4-AB61-38E54233541F}" type="TxLink">
            <a:rPr lang="en-US" sz="1600" b="1" i="0" u="none" strike="noStrike">
              <a:solidFill>
                <a:srgbClr val="000000"/>
              </a:solidFill>
              <a:latin typeface="Cambria" panose="02040503050406030204" pitchFamily="18" charset="0"/>
              <a:ea typeface="Cambria" panose="02040503050406030204" pitchFamily="18" charset="0"/>
            </a:rPr>
            <a:pPr algn="ctr"/>
            <a:t>85%</a:t>
          </a:fld>
          <a:endParaRPr lang="en-US" sz="1600" b="1">
            <a:latin typeface="Cambria" panose="02040503050406030204" pitchFamily="18" charset="0"/>
            <a:ea typeface="Cambria" panose="02040503050406030204" pitchFamily="18" charset="0"/>
          </a:endParaRPr>
        </a:p>
      </xdr:txBody>
    </xdr:sp>
    <xdr:clientData/>
  </xdr:twoCellAnchor>
  <xdr:twoCellAnchor>
    <xdr:from>
      <xdr:col>14</xdr:col>
      <xdr:colOff>88901</xdr:colOff>
      <xdr:row>17</xdr:row>
      <xdr:rowOff>69850</xdr:rowOff>
    </xdr:from>
    <xdr:to>
      <xdr:col>22</xdr:col>
      <xdr:colOff>63501</xdr:colOff>
      <xdr:row>35</xdr:row>
      <xdr:rowOff>164907</xdr:rowOff>
    </xdr:to>
    <xdr:graphicFrame macro="">
      <xdr:nvGraphicFramePr>
        <xdr:cNvPr id="2" name="Chart 1">
          <a:extLst>
            <a:ext uri="{FF2B5EF4-FFF2-40B4-BE49-F238E27FC236}">
              <a16:creationId xmlns:a16="http://schemas.microsoft.com/office/drawing/2014/main" id="{7C3B4E91-862C-4E06-AE25-7EC4304B32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173646</xdr:rowOff>
    </xdr:from>
    <xdr:to>
      <xdr:col>7</xdr:col>
      <xdr:colOff>356075</xdr:colOff>
      <xdr:row>35</xdr:row>
      <xdr:rowOff>33411</xdr:rowOff>
    </xdr:to>
    <xdr:graphicFrame macro="">
      <xdr:nvGraphicFramePr>
        <xdr:cNvPr id="3" name="Chart 2">
          <a:extLst>
            <a:ext uri="{FF2B5EF4-FFF2-40B4-BE49-F238E27FC236}">
              <a16:creationId xmlns:a16="http://schemas.microsoft.com/office/drawing/2014/main" id="{04DF9B18-B7A2-49CC-AE6D-2778EE3570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2</xdr:row>
      <xdr:rowOff>11869</xdr:rowOff>
    </xdr:from>
    <xdr:to>
      <xdr:col>5</xdr:col>
      <xdr:colOff>11870</xdr:colOff>
      <xdr:row>15</xdr:row>
      <xdr:rowOff>1</xdr:rowOff>
    </xdr:to>
    <xdr:graphicFrame macro="">
      <xdr:nvGraphicFramePr>
        <xdr:cNvPr id="5" name="Chart 4">
          <a:extLst>
            <a:ext uri="{FF2B5EF4-FFF2-40B4-BE49-F238E27FC236}">
              <a16:creationId xmlns:a16="http://schemas.microsoft.com/office/drawing/2014/main" id="{ABF71696-AD56-441B-8939-41CCDF516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obin Thrush" refreshedDate="46254.546413194446" createdVersion="8" refreshedVersion="8" minRefreshableVersion="3" recordCount="1200" xr:uid="{B12AD0B7-8996-4ECD-9184-1544E648F42B}">
  <cacheSource type="worksheet">
    <worksheetSource name="mental"/>
  </cacheSource>
  <cacheFields count="13">
    <cacheField name="age" numFmtId="0">
      <sharedItems containsSemiMixedTypes="0" containsString="0" containsNumber="1" containsInteger="1" minValue="13" maxValue="19"/>
    </cacheField>
    <cacheField name="gender" numFmtId="0">
      <sharedItems count="2">
        <s v="female"/>
        <s v="male"/>
      </sharedItems>
    </cacheField>
    <cacheField name="daily_social_media_hours" numFmtId="0">
      <sharedItems containsSemiMixedTypes="0" containsString="0" containsNumber="1" minValue="1" maxValue="8"/>
    </cacheField>
    <cacheField name="platform_usage" numFmtId="0">
      <sharedItems/>
    </cacheField>
    <cacheField name="sleep_hours" numFmtId="0">
      <sharedItems containsSemiMixedTypes="0" containsString="0" containsNumber="1" minValue="4" maxValue="9"/>
    </cacheField>
    <cacheField name="screen_time_before_sleep" numFmtId="0">
      <sharedItems containsSemiMixedTypes="0" containsString="0" containsNumber="1" minValue="0.5" maxValue="3"/>
    </cacheField>
    <cacheField name="academic_performance" numFmtId="0">
      <sharedItems containsSemiMixedTypes="0" containsString="0" containsNumber="1" minValue="2" maxValue="4"/>
    </cacheField>
    <cacheField name="physical_activity" numFmtId="0">
      <sharedItems containsSemiMixedTypes="0" containsString="0" containsNumber="1" minValue="0" maxValue="2"/>
    </cacheField>
    <cacheField name="social_interaction_level" numFmtId="0">
      <sharedItems/>
    </cacheField>
    <cacheField name="stress_level" numFmtId="0">
      <sharedItems containsSemiMixedTypes="0" containsString="0" containsNumber="1" containsInteger="1" minValue="1" maxValue="10"/>
    </cacheField>
    <cacheField name="anxiety_level" numFmtId="0">
      <sharedItems containsSemiMixedTypes="0" containsString="0" containsNumber="1" containsInteger="1" minValue="1" maxValue="10"/>
    </cacheField>
    <cacheField name="addiction_level" numFmtId="0">
      <sharedItems containsSemiMixedTypes="0" containsString="0" containsNumber="1" containsInteger="1" minValue="1" maxValue="10"/>
    </cacheField>
    <cacheField name="depression_label"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0">
  <r>
    <n v="13"/>
    <x v="0"/>
    <n v="1.5"/>
    <s v="Both"/>
    <n v="7.2"/>
    <n v="2.5"/>
    <n v="2.15"/>
    <n v="1.3"/>
    <s v="medium"/>
    <n v="4"/>
    <n v="6"/>
    <n v="2"/>
    <n v="0"/>
  </r>
  <r>
    <n v="13"/>
    <x v="0"/>
    <n v="1.6"/>
    <s v="Instagram"/>
    <n v="8.6999999999999993"/>
    <n v="2.5"/>
    <n v="3.69"/>
    <n v="0.4"/>
    <s v="high"/>
    <n v="8"/>
    <n v="2"/>
    <n v="9"/>
    <n v="0"/>
  </r>
  <r>
    <n v="13"/>
    <x v="0"/>
    <n v="6.6"/>
    <s v="TikTok"/>
    <n v="7.3"/>
    <n v="1.6"/>
    <n v="3.27"/>
    <n v="0.1"/>
    <s v="medium"/>
    <n v="10"/>
    <n v="2"/>
    <n v="1"/>
    <n v="0"/>
  </r>
  <r>
    <n v="13"/>
    <x v="0"/>
    <n v="3.5"/>
    <s v="Instagram"/>
    <n v="5.0999999999999996"/>
    <n v="1.1000000000000001"/>
    <n v="2.27"/>
    <n v="1.8"/>
    <s v="medium"/>
    <n v="2"/>
    <n v="5"/>
    <n v="6"/>
    <n v="0"/>
  </r>
  <r>
    <n v="13"/>
    <x v="0"/>
    <n v="5.8"/>
    <s v="TikTok"/>
    <n v="8.5"/>
    <n v="2.2999999999999998"/>
    <n v="3.3"/>
    <n v="1.9"/>
    <s v="high"/>
    <n v="1"/>
    <n v="1"/>
    <n v="5"/>
    <n v="0"/>
  </r>
  <r>
    <n v="13"/>
    <x v="0"/>
    <n v="4"/>
    <s v="Instagram"/>
    <n v="4.4000000000000004"/>
    <n v="2.5"/>
    <n v="3.6"/>
    <n v="1.4"/>
    <s v="medium"/>
    <n v="7"/>
    <n v="2"/>
    <n v="10"/>
    <n v="0"/>
  </r>
  <r>
    <n v="13"/>
    <x v="0"/>
    <n v="3.5"/>
    <s v="TikTok"/>
    <n v="5.2"/>
    <n v="2.5"/>
    <n v="2.57"/>
    <n v="1.1000000000000001"/>
    <s v="high"/>
    <n v="1"/>
    <n v="6"/>
    <n v="3"/>
    <n v="0"/>
  </r>
  <r>
    <n v="13"/>
    <x v="0"/>
    <n v="4"/>
    <s v="Both"/>
    <n v="4.5"/>
    <n v="1"/>
    <n v="3.65"/>
    <n v="1.8"/>
    <s v="low"/>
    <n v="5"/>
    <n v="6"/>
    <n v="5"/>
    <n v="0"/>
  </r>
  <r>
    <n v="13"/>
    <x v="0"/>
    <n v="3.8"/>
    <s v="Instagram"/>
    <n v="7.9"/>
    <n v="1.3"/>
    <n v="3.97"/>
    <n v="0.2"/>
    <s v="medium"/>
    <n v="7"/>
    <n v="10"/>
    <n v="9"/>
    <n v="0"/>
  </r>
  <r>
    <n v="13"/>
    <x v="0"/>
    <n v="4.7"/>
    <s v="Both"/>
    <n v="6.8"/>
    <n v="1.7"/>
    <n v="3.27"/>
    <n v="1.4"/>
    <s v="low"/>
    <n v="4"/>
    <n v="2"/>
    <n v="4"/>
    <n v="0"/>
  </r>
  <r>
    <n v="13"/>
    <x v="0"/>
    <n v="4.4000000000000004"/>
    <s v="TikTok"/>
    <n v="8.8000000000000007"/>
    <n v="1.3"/>
    <n v="2.69"/>
    <n v="0.4"/>
    <s v="low"/>
    <n v="3"/>
    <n v="1"/>
    <n v="7"/>
    <n v="0"/>
  </r>
  <r>
    <n v="13"/>
    <x v="0"/>
    <n v="3.9"/>
    <s v="Instagram"/>
    <n v="5"/>
    <n v="0.7"/>
    <n v="2.98"/>
    <n v="0.3"/>
    <s v="medium"/>
    <n v="10"/>
    <n v="8"/>
    <n v="3"/>
    <n v="0"/>
  </r>
  <r>
    <n v="13"/>
    <x v="0"/>
    <n v="7.3"/>
    <s v="Both"/>
    <n v="8.9"/>
    <n v="2.7"/>
    <n v="3.68"/>
    <n v="1.9"/>
    <s v="low"/>
    <n v="6"/>
    <n v="6"/>
    <n v="10"/>
    <n v="0"/>
  </r>
  <r>
    <n v="13"/>
    <x v="0"/>
    <n v="1.9"/>
    <s v="TikTok"/>
    <n v="8.5"/>
    <n v="0.8"/>
    <n v="3.33"/>
    <n v="1.3"/>
    <s v="medium"/>
    <n v="5"/>
    <n v="1"/>
    <n v="3"/>
    <n v="0"/>
  </r>
  <r>
    <n v="13"/>
    <x v="0"/>
    <n v="6.5"/>
    <s v="TikTok"/>
    <n v="8.3000000000000007"/>
    <n v="0.6"/>
    <n v="3.05"/>
    <n v="0.3"/>
    <s v="high"/>
    <n v="2"/>
    <n v="7"/>
    <n v="8"/>
    <n v="0"/>
  </r>
  <r>
    <n v="13"/>
    <x v="0"/>
    <n v="7.2"/>
    <s v="TikTok"/>
    <n v="7.4"/>
    <n v="2.2000000000000002"/>
    <n v="3.42"/>
    <n v="0.1"/>
    <s v="low"/>
    <n v="8"/>
    <n v="9"/>
    <n v="6"/>
    <n v="0"/>
  </r>
  <r>
    <n v="13"/>
    <x v="0"/>
    <n v="7.9"/>
    <s v="Instagram"/>
    <n v="7.2"/>
    <n v="1.5"/>
    <n v="2.36"/>
    <n v="0.2"/>
    <s v="medium"/>
    <n v="2"/>
    <n v="6"/>
    <n v="8"/>
    <n v="0"/>
  </r>
  <r>
    <n v="13"/>
    <x v="0"/>
    <n v="3.6"/>
    <s v="TikTok"/>
    <n v="8.6"/>
    <n v="2.8"/>
    <n v="3.28"/>
    <n v="0.7"/>
    <s v="high"/>
    <n v="10"/>
    <n v="3"/>
    <n v="5"/>
    <n v="0"/>
  </r>
  <r>
    <n v="13"/>
    <x v="0"/>
    <n v="2"/>
    <s v="Instagram"/>
    <n v="8.6999999999999993"/>
    <n v="1.9"/>
    <n v="2.2799999999999998"/>
    <n v="1.2"/>
    <s v="medium"/>
    <n v="7"/>
    <n v="7"/>
    <n v="9"/>
    <n v="0"/>
  </r>
  <r>
    <n v="13"/>
    <x v="0"/>
    <n v="7.3"/>
    <s v="Instagram"/>
    <n v="6.4"/>
    <n v="2.2999999999999998"/>
    <n v="2.5299999999999998"/>
    <n v="0.7"/>
    <s v="low"/>
    <n v="9"/>
    <n v="9"/>
    <n v="4"/>
    <n v="0"/>
  </r>
  <r>
    <n v="13"/>
    <x v="0"/>
    <n v="8"/>
    <s v="Instagram"/>
    <n v="5.4"/>
    <n v="2.8"/>
    <n v="3.1"/>
    <n v="1.9"/>
    <s v="high"/>
    <n v="6"/>
    <n v="10"/>
    <n v="10"/>
    <n v="0"/>
  </r>
  <r>
    <n v="13"/>
    <x v="0"/>
    <n v="1.3"/>
    <s v="Instagram"/>
    <n v="8.9"/>
    <n v="2.6"/>
    <n v="3.54"/>
    <n v="1.2"/>
    <s v="high"/>
    <n v="8"/>
    <n v="5"/>
    <n v="2"/>
    <n v="0"/>
  </r>
  <r>
    <n v="13"/>
    <x v="0"/>
    <n v="6.4"/>
    <s v="Both"/>
    <n v="6.7"/>
    <n v="0.8"/>
    <n v="3.9"/>
    <n v="1.9"/>
    <s v="high"/>
    <n v="3"/>
    <n v="3"/>
    <n v="10"/>
    <n v="0"/>
  </r>
  <r>
    <n v="13"/>
    <x v="0"/>
    <n v="7.2"/>
    <s v="Both"/>
    <n v="6.7"/>
    <n v="0.9"/>
    <n v="2.36"/>
    <n v="0.6"/>
    <s v="low"/>
    <n v="8"/>
    <n v="8"/>
    <n v="1"/>
    <n v="0"/>
  </r>
  <r>
    <n v="13"/>
    <x v="0"/>
    <n v="2.1"/>
    <s v="Instagram"/>
    <n v="8.1999999999999993"/>
    <n v="0.9"/>
    <n v="2.48"/>
    <n v="0.5"/>
    <s v="high"/>
    <n v="2"/>
    <n v="7"/>
    <n v="6"/>
    <n v="0"/>
  </r>
  <r>
    <n v="13"/>
    <x v="0"/>
    <n v="4.4000000000000004"/>
    <s v="Instagram"/>
    <n v="4.3"/>
    <n v="1.9"/>
    <n v="3.51"/>
    <n v="0.9"/>
    <s v="medium"/>
    <n v="8"/>
    <n v="4"/>
    <n v="3"/>
    <n v="0"/>
  </r>
  <r>
    <n v="13"/>
    <x v="0"/>
    <n v="1.4"/>
    <s v="Both"/>
    <n v="7.4"/>
    <n v="0.5"/>
    <n v="2.3199999999999998"/>
    <n v="1.3"/>
    <s v="low"/>
    <n v="3"/>
    <n v="2"/>
    <n v="6"/>
    <n v="0"/>
  </r>
  <r>
    <n v="13"/>
    <x v="0"/>
    <n v="3"/>
    <s v="Instagram"/>
    <n v="7"/>
    <n v="0.9"/>
    <n v="2.73"/>
    <n v="1.7"/>
    <s v="high"/>
    <n v="5"/>
    <n v="6"/>
    <n v="9"/>
    <n v="0"/>
  </r>
  <r>
    <n v="13"/>
    <x v="0"/>
    <n v="1.6"/>
    <s v="Both"/>
    <n v="8.4"/>
    <n v="1.4"/>
    <n v="3.47"/>
    <n v="0.1"/>
    <s v="medium"/>
    <n v="1"/>
    <n v="6"/>
    <n v="6"/>
    <n v="0"/>
  </r>
  <r>
    <n v="13"/>
    <x v="0"/>
    <n v="5.2"/>
    <s v="TikTok"/>
    <n v="8.1999999999999993"/>
    <n v="2.8"/>
    <n v="2.12"/>
    <n v="1.4"/>
    <s v="medium"/>
    <n v="1"/>
    <n v="8"/>
    <n v="1"/>
    <n v="0"/>
  </r>
  <r>
    <n v="13"/>
    <x v="0"/>
    <n v="3"/>
    <s v="Both"/>
    <n v="6"/>
    <n v="1"/>
    <n v="2.63"/>
    <n v="0.1"/>
    <s v="low"/>
    <n v="5"/>
    <n v="10"/>
    <n v="9"/>
    <n v="0"/>
  </r>
  <r>
    <n v="13"/>
    <x v="0"/>
    <n v="2.7"/>
    <s v="TikTok"/>
    <n v="6.5"/>
    <n v="1.5"/>
    <n v="2.58"/>
    <n v="0.4"/>
    <s v="high"/>
    <n v="1"/>
    <n v="1"/>
    <n v="6"/>
    <n v="0"/>
  </r>
  <r>
    <n v="13"/>
    <x v="0"/>
    <n v="1.2"/>
    <s v="TikTok"/>
    <n v="8"/>
    <n v="2.8"/>
    <n v="2.1800000000000002"/>
    <n v="1.1000000000000001"/>
    <s v="high"/>
    <n v="5"/>
    <n v="8"/>
    <n v="5"/>
    <n v="0"/>
  </r>
  <r>
    <n v="13"/>
    <x v="0"/>
    <n v="7.1"/>
    <s v="Both"/>
    <n v="6.5"/>
    <n v="1.6"/>
    <n v="2.0299999999999998"/>
    <n v="0.3"/>
    <s v="medium"/>
    <n v="1"/>
    <n v="10"/>
    <n v="6"/>
    <n v="0"/>
  </r>
  <r>
    <n v="13"/>
    <x v="0"/>
    <n v="5.3"/>
    <s v="TikTok"/>
    <n v="6.5"/>
    <n v="1.1000000000000001"/>
    <n v="3.48"/>
    <n v="1.8"/>
    <s v="low"/>
    <n v="9"/>
    <n v="5"/>
    <n v="4"/>
    <n v="0"/>
  </r>
  <r>
    <n v="13"/>
    <x v="0"/>
    <n v="1.1000000000000001"/>
    <s v="Instagram"/>
    <n v="7"/>
    <n v="1.9"/>
    <n v="4"/>
    <n v="0.9"/>
    <s v="medium"/>
    <n v="2"/>
    <n v="9"/>
    <n v="6"/>
    <n v="0"/>
  </r>
  <r>
    <n v="13"/>
    <x v="0"/>
    <n v="4.4000000000000004"/>
    <s v="Instagram"/>
    <n v="5.5"/>
    <n v="2.7"/>
    <n v="3.17"/>
    <n v="0.3"/>
    <s v="low"/>
    <n v="5"/>
    <n v="1"/>
    <n v="5"/>
    <n v="0"/>
  </r>
  <r>
    <n v="13"/>
    <x v="0"/>
    <n v="1.4"/>
    <s v="Both"/>
    <n v="7.8"/>
    <n v="0.6"/>
    <n v="3.42"/>
    <n v="1.6"/>
    <s v="medium"/>
    <n v="10"/>
    <n v="4"/>
    <n v="6"/>
    <n v="0"/>
  </r>
  <r>
    <n v="13"/>
    <x v="0"/>
    <n v="2.4"/>
    <s v="Instagram"/>
    <n v="5.5"/>
    <n v="0.6"/>
    <n v="3.56"/>
    <n v="1.6"/>
    <s v="medium"/>
    <n v="4"/>
    <n v="8"/>
    <n v="7"/>
    <n v="0"/>
  </r>
  <r>
    <n v="13"/>
    <x v="0"/>
    <n v="4.2"/>
    <s v="Instagram"/>
    <n v="7.9"/>
    <n v="2.7"/>
    <n v="3.76"/>
    <n v="0.1"/>
    <s v="medium"/>
    <n v="10"/>
    <n v="7"/>
    <n v="2"/>
    <n v="0"/>
  </r>
  <r>
    <n v="13"/>
    <x v="0"/>
    <n v="7.8"/>
    <s v="Instagram"/>
    <n v="7.4"/>
    <n v="1.7"/>
    <n v="2.76"/>
    <n v="1.1000000000000001"/>
    <s v="low"/>
    <n v="10"/>
    <n v="1"/>
    <n v="4"/>
    <n v="0"/>
  </r>
  <r>
    <n v="13"/>
    <x v="0"/>
    <n v="3.5"/>
    <s v="Instagram"/>
    <n v="6.8"/>
    <n v="1.5"/>
    <n v="2.35"/>
    <n v="1.8"/>
    <s v="medium"/>
    <n v="7"/>
    <n v="3"/>
    <n v="2"/>
    <n v="0"/>
  </r>
  <r>
    <n v="13"/>
    <x v="0"/>
    <n v="6"/>
    <s v="TikTok"/>
    <n v="5"/>
    <n v="2.5"/>
    <n v="2.5499999999999998"/>
    <n v="1.8"/>
    <s v="high"/>
    <n v="4"/>
    <n v="9"/>
    <n v="2"/>
    <n v="0"/>
  </r>
  <r>
    <n v="13"/>
    <x v="0"/>
    <n v="3.6"/>
    <s v="TikTok"/>
    <n v="4.8"/>
    <n v="2.2000000000000002"/>
    <n v="3.58"/>
    <n v="1.2"/>
    <s v="medium"/>
    <n v="4"/>
    <n v="4"/>
    <n v="7"/>
    <n v="0"/>
  </r>
  <r>
    <n v="13"/>
    <x v="0"/>
    <n v="1.5"/>
    <s v="Both"/>
    <n v="7.9"/>
    <n v="1.8"/>
    <n v="2.85"/>
    <n v="1.1000000000000001"/>
    <s v="medium"/>
    <n v="5"/>
    <n v="7"/>
    <n v="1"/>
    <n v="0"/>
  </r>
  <r>
    <n v="13"/>
    <x v="0"/>
    <n v="6.1"/>
    <s v="Both"/>
    <n v="6.4"/>
    <n v="2.8"/>
    <n v="2.5099999999999998"/>
    <n v="1.9"/>
    <s v="low"/>
    <n v="6"/>
    <n v="1"/>
    <n v="9"/>
    <n v="0"/>
  </r>
  <r>
    <n v="13"/>
    <x v="0"/>
    <n v="5.5"/>
    <s v="Both"/>
    <n v="6.7"/>
    <n v="1.6"/>
    <n v="3.09"/>
    <n v="1.7"/>
    <s v="high"/>
    <n v="10"/>
    <n v="1"/>
    <n v="6"/>
    <n v="0"/>
  </r>
  <r>
    <n v="13"/>
    <x v="0"/>
    <n v="7.2"/>
    <s v="Both"/>
    <n v="4.2"/>
    <n v="2.5"/>
    <n v="2.65"/>
    <n v="1.6"/>
    <s v="low"/>
    <n v="10"/>
    <n v="9"/>
    <n v="3"/>
    <n v="1"/>
  </r>
  <r>
    <n v="13"/>
    <x v="0"/>
    <n v="2.2999999999999998"/>
    <s v="TikTok"/>
    <n v="8.6999999999999993"/>
    <n v="1.2"/>
    <n v="3.25"/>
    <n v="1.5"/>
    <s v="high"/>
    <n v="9"/>
    <n v="9"/>
    <n v="1"/>
    <n v="0"/>
  </r>
  <r>
    <n v="13"/>
    <x v="0"/>
    <n v="3.5"/>
    <s v="Both"/>
    <n v="8.6999999999999993"/>
    <n v="1.4"/>
    <n v="3.5"/>
    <n v="1.3"/>
    <s v="high"/>
    <n v="9"/>
    <n v="4"/>
    <n v="5"/>
    <n v="0"/>
  </r>
  <r>
    <n v="13"/>
    <x v="0"/>
    <n v="5.0999999999999996"/>
    <s v="TikTok"/>
    <n v="4.5"/>
    <n v="2.7"/>
    <n v="2.54"/>
    <n v="1.4"/>
    <s v="high"/>
    <n v="2"/>
    <n v="3"/>
    <n v="10"/>
    <n v="0"/>
  </r>
  <r>
    <n v="13"/>
    <x v="0"/>
    <n v="2.5"/>
    <s v="Instagram"/>
    <n v="4.5999999999999996"/>
    <n v="1.6"/>
    <n v="3.22"/>
    <n v="0.9"/>
    <s v="medium"/>
    <n v="6"/>
    <n v="4"/>
    <n v="3"/>
    <n v="0"/>
  </r>
  <r>
    <n v="13"/>
    <x v="0"/>
    <n v="2.6"/>
    <s v="TikTok"/>
    <n v="6.1"/>
    <n v="1.4"/>
    <n v="2.11"/>
    <n v="0.4"/>
    <s v="high"/>
    <n v="7"/>
    <n v="5"/>
    <n v="10"/>
    <n v="0"/>
  </r>
  <r>
    <n v="13"/>
    <x v="0"/>
    <n v="2.8"/>
    <s v="Both"/>
    <n v="6.4"/>
    <n v="1.4"/>
    <n v="2.38"/>
    <n v="1.4"/>
    <s v="medium"/>
    <n v="4"/>
    <n v="8"/>
    <n v="10"/>
    <n v="0"/>
  </r>
  <r>
    <n v="13"/>
    <x v="0"/>
    <n v="3.5"/>
    <s v="Instagram"/>
    <n v="5.3"/>
    <n v="1.7"/>
    <n v="2.2000000000000002"/>
    <n v="0.8"/>
    <s v="high"/>
    <n v="6"/>
    <n v="10"/>
    <n v="8"/>
    <n v="0"/>
  </r>
  <r>
    <n v="13"/>
    <x v="0"/>
    <n v="7"/>
    <s v="Instagram"/>
    <n v="4.9000000000000004"/>
    <n v="1.2"/>
    <n v="3.61"/>
    <n v="0.2"/>
    <s v="medium"/>
    <n v="2"/>
    <n v="3"/>
    <n v="5"/>
    <n v="0"/>
  </r>
  <r>
    <n v="13"/>
    <x v="0"/>
    <n v="2.2999999999999998"/>
    <s v="TikTok"/>
    <n v="6.6"/>
    <n v="1.4"/>
    <n v="3.74"/>
    <n v="1.5"/>
    <s v="medium"/>
    <n v="6"/>
    <n v="10"/>
    <n v="1"/>
    <n v="0"/>
  </r>
  <r>
    <n v="13"/>
    <x v="0"/>
    <n v="6.3"/>
    <s v="Instagram"/>
    <n v="8.4"/>
    <n v="1.6"/>
    <n v="2.0299999999999998"/>
    <n v="1.5"/>
    <s v="medium"/>
    <n v="5"/>
    <n v="3"/>
    <n v="9"/>
    <n v="0"/>
  </r>
  <r>
    <n v="13"/>
    <x v="0"/>
    <n v="3.1"/>
    <s v="Instagram"/>
    <n v="6.4"/>
    <n v="1.6"/>
    <n v="3.69"/>
    <n v="0.9"/>
    <s v="medium"/>
    <n v="1"/>
    <n v="2"/>
    <n v="1"/>
    <n v="0"/>
  </r>
  <r>
    <n v="13"/>
    <x v="0"/>
    <n v="5.8"/>
    <s v="Instagram"/>
    <n v="6.3"/>
    <n v="1.1000000000000001"/>
    <n v="3.09"/>
    <n v="0.9"/>
    <s v="medium"/>
    <n v="8"/>
    <n v="4"/>
    <n v="9"/>
    <n v="0"/>
  </r>
  <r>
    <n v="13"/>
    <x v="0"/>
    <n v="5.8"/>
    <s v="Instagram"/>
    <n v="6.1"/>
    <n v="1.2"/>
    <n v="3.81"/>
    <n v="1.8"/>
    <s v="medium"/>
    <n v="6"/>
    <n v="10"/>
    <n v="6"/>
    <n v="0"/>
  </r>
  <r>
    <n v="13"/>
    <x v="0"/>
    <n v="7.6"/>
    <s v="Instagram"/>
    <n v="7.9"/>
    <n v="3"/>
    <n v="2.54"/>
    <n v="1.2"/>
    <s v="high"/>
    <n v="8"/>
    <n v="8"/>
    <n v="1"/>
    <n v="0"/>
  </r>
  <r>
    <n v="13"/>
    <x v="0"/>
    <n v="3.8"/>
    <s v="Both"/>
    <n v="8.9"/>
    <n v="2.5"/>
    <n v="2.29"/>
    <n v="0.6"/>
    <s v="high"/>
    <n v="9"/>
    <n v="9"/>
    <n v="7"/>
    <n v="0"/>
  </r>
  <r>
    <n v="13"/>
    <x v="0"/>
    <n v="6"/>
    <s v="Instagram"/>
    <n v="7.2"/>
    <n v="0.6"/>
    <n v="2.11"/>
    <n v="1.1000000000000001"/>
    <s v="low"/>
    <n v="1"/>
    <n v="3"/>
    <n v="6"/>
    <n v="0"/>
  </r>
  <r>
    <n v="13"/>
    <x v="0"/>
    <n v="3.5"/>
    <s v="Instagram"/>
    <n v="5.3"/>
    <n v="2.7"/>
    <n v="3.7"/>
    <n v="0.5"/>
    <s v="low"/>
    <n v="3"/>
    <n v="7"/>
    <n v="2"/>
    <n v="0"/>
  </r>
  <r>
    <n v="13"/>
    <x v="0"/>
    <n v="4.3"/>
    <s v="TikTok"/>
    <n v="4.4000000000000004"/>
    <n v="0.9"/>
    <n v="2.35"/>
    <n v="1.5"/>
    <s v="high"/>
    <n v="3"/>
    <n v="1"/>
    <n v="7"/>
    <n v="0"/>
  </r>
  <r>
    <n v="13"/>
    <x v="0"/>
    <n v="5.3"/>
    <s v="TikTok"/>
    <n v="6.4"/>
    <n v="1.1000000000000001"/>
    <n v="3.32"/>
    <n v="1.9"/>
    <s v="medium"/>
    <n v="8"/>
    <n v="5"/>
    <n v="10"/>
    <n v="0"/>
  </r>
  <r>
    <n v="13"/>
    <x v="0"/>
    <n v="2.5"/>
    <s v="TikTok"/>
    <n v="6.8"/>
    <n v="2.8"/>
    <n v="2.77"/>
    <n v="0.5"/>
    <s v="low"/>
    <n v="2"/>
    <n v="6"/>
    <n v="10"/>
    <n v="0"/>
  </r>
  <r>
    <n v="13"/>
    <x v="0"/>
    <n v="7.4"/>
    <s v="Both"/>
    <n v="6.7"/>
    <n v="2"/>
    <n v="2.42"/>
    <n v="1.5"/>
    <s v="low"/>
    <n v="10"/>
    <n v="1"/>
    <n v="1"/>
    <n v="0"/>
  </r>
  <r>
    <n v="13"/>
    <x v="0"/>
    <n v="5.2"/>
    <s v="Both"/>
    <n v="7.7"/>
    <n v="2.7"/>
    <n v="2.84"/>
    <n v="0.8"/>
    <s v="high"/>
    <n v="2"/>
    <n v="5"/>
    <n v="5"/>
    <n v="0"/>
  </r>
  <r>
    <n v="13"/>
    <x v="0"/>
    <n v="3.3"/>
    <s v="Both"/>
    <n v="7.4"/>
    <n v="0.9"/>
    <n v="2.5299999999999998"/>
    <n v="0.2"/>
    <s v="medium"/>
    <n v="4"/>
    <n v="10"/>
    <n v="6"/>
    <n v="0"/>
  </r>
  <r>
    <n v="13"/>
    <x v="0"/>
    <n v="4.7"/>
    <s v="TikTok"/>
    <n v="8"/>
    <n v="1.1000000000000001"/>
    <n v="2.37"/>
    <n v="0.2"/>
    <s v="low"/>
    <n v="5"/>
    <n v="10"/>
    <n v="6"/>
    <n v="0"/>
  </r>
  <r>
    <n v="13"/>
    <x v="0"/>
    <n v="2.2000000000000002"/>
    <s v="Both"/>
    <n v="7.7"/>
    <n v="2.1"/>
    <n v="2.33"/>
    <n v="1.7"/>
    <s v="low"/>
    <n v="2"/>
    <n v="8"/>
    <n v="7"/>
    <n v="0"/>
  </r>
  <r>
    <n v="13"/>
    <x v="0"/>
    <n v="7.1"/>
    <s v="Instagram"/>
    <n v="5.7"/>
    <n v="1.2"/>
    <n v="3.83"/>
    <n v="2"/>
    <s v="medium"/>
    <n v="2"/>
    <n v="8"/>
    <n v="7"/>
    <n v="0"/>
  </r>
  <r>
    <n v="13"/>
    <x v="0"/>
    <n v="1.3"/>
    <s v="TikTok"/>
    <n v="8.6999999999999993"/>
    <n v="0.9"/>
    <n v="4"/>
    <n v="0.1"/>
    <s v="low"/>
    <n v="10"/>
    <n v="9"/>
    <n v="9"/>
    <n v="0"/>
  </r>
  <r>
    <n v="13"/>
    <x v="0"/>
    <n v="1.1000000000000001"/>
    <s v="Both"/>
    <n v="6.7"/>
    <n v="2"/>
    <n v="3.63"/>
    <n v="0.2"/>
    <s v="medium"/>
    <n v="3"/>
    <n v="10"/>
    <n v="5"/>
    <n v="0"/>
  </r>
  <r>
    <n v="13"/>
    <x v="0"/>
    <n v="3.3"/>
    <s v="TikTok"/>
    <n v="9"/>
    <n v="0.7"/>
    <n v="2.4900000000000002"/>
    <n v="0.6"/>
    <s v="medium"/>
    <n v="3"/>
    <n v="6"/>
    <n v="4"/>
    <n v="0"/>
  </r>
  <r>
    <n v="13"/>
    <x v="0"/>
    <n v="2.9"/>
    <s v="Instagram"/>
    <n v="5.3"/>
    <n v="1"/>
    <n v="3.89"/>
    <n v="1.7"/>
    <s v="high"/>
    <n v="9"/>
    <n v="2"/>
    <n v="4"/>
    <n v="0"/>
  </r>
  <r>
    <n v="13"/>
    <x v="0"/>
    <n v="5.8"/>
    <s v="Instagram"/>
    <n v="4.4000000000000004"/>
    <n v="1.8"/>
    <n v="3.8"/>
    <n v="1"/>
    <s v="high"/>
    <n v="2"/>
    <n v="2"/>
    <n v="1"/>
    <n v="0"/>
  </r>
  <r>
    <n v="13"/>
    <x v="0"/>
    <n v="2.9"/>
    <s v="Both"/>
    <n v="8.1999999999999993"/>
    <n v="2.2999999999999998"/>
    <n v="2.48"/>
    <n v="0.9"/>
    <s v="low"/>
    <n v="5"/>
    <n v="8"/>
    <n v="9"/>
    <n v="0"/>
  </r>
  <r>
    <n v="13"/>
    <x v="0"/>
    <n v="3.5"/>
    <s v="Instagram"/>
    <n v="6.9"/>
    <n v="1.6"/>
    <n v="2.08"/>
    <n v="0.7"/>
    <s v="low"/>
    <n v="9"/>
    <n v="9"/>
    <n v="9"/>
    <n v="0"/>
  </r>
  <r>
    <n v="13"/>
    <x v="0"/>
    <n v="3.2"/>
    <s v="Both"/>
    <n v="5.9"/>
    <n v="0.7"/>
    <n v="3.98"/>
    <n v="0.8"/>
    <s v="low"/>
    <n v="6"/>
    <n v="8"/>
    <n v="1"/>
    <n v="0"/>
  </r>
  <r>
    <n v="13"/>
    <x v="0"/>
    <n v="3.3"/>
    <s v="TikTok"/>
    <n v="6.4"/>
    <n v="1"/>
    <n v="2.4900000000000002"/>
    <n v="1"/>
    <s v="low"/>
    <n v="9"/>
    <n v="2"/>
    <n v="4"/>
    <n v="0"/>
  </r>
  <r>
    <n v="13"/>
    <x v="0"/>
    <n v="2.5"/>
    <s v="Both"/>
    <n v="7.8"/>
    <n v="1.4"/>
    <n v="3.43"/>
    <n v="0.9"/>
    <s v="medium"/>
    <n v="1"/>
    <n v="4"/>
    <n v="6"/>
    <n v="0"/>
  </r>
  <r>
    <n v="13"/>
    <x v="0"/>
    <n v="4.7"/>
    <s v="Both"/>
    <n v="6.8"/>
    <n v="1.4"/>
    <n v="3.91"/>
    <n v="0.8"/>
    <s v="high"/>
    <n v="10"/>
    <n v="6"/>
    <n v="9"/>
    <n v="0"/>
  </r>
  <r>
    <n v="13"/>
    <x v="0"/>
    <n v="2.6"/>
    <s v="TikTok"/>
    <n v="8.5"/>
    <n v="1.9"/>
    <n v="3.06"/>
    <n v="1.9"/>
    <s v="high"/>
    <n v="5"/>
    <n v="7"/>
    <n v="6"/>
    <n v="0"/>
  </r>
  <r>
    <n v="13"/>
    <x v="0"/>
    <n v="5.2"/>
    <s v="Both"/>
    <n v="7.4"/>
    <n v="2.5"/>
    <n v="3.93"/>
    <n v="0.8"/>
    <s v="low"/>
    <n v="4"/>
    <n v="4"/>
    <n v="8"/>
    <n v="0"/>
  </r>
  <r>
    <n v="13"/>
    <x v="0"/>
    <n v="7.1"/>
    <s v="Both"/>
    <n v="7.2"/>
    <n v="1.1000000000000001"/>
    <n v="3.69"/>
    <n v="1"/>
    <s v="low"/>
    <n v="4"/>
    <n v="6"/>
    <n v="3"/>
    <n v="0"/>
  </r>
  <r>
    <n v="13"/>
    <x v="0"/>
    <n v="3.6"/>
    <s v="TikTok"/>
    <n v="8.6999999999999993"/>
    <n v="0.8"/>
    <n v="2.41"/>
    <n v="1.3"/>
    <s v="low"/>
    <n v="4"/>
    <n v="6"/>
    <n v="8"/>
    <n v="0"/>
  </r>
  <r>
    <n v="13"/>
    <x v="0"/>
    <n v="7.7"/>
    <s v="Both"/>
    <n v="7.5"/>
    <n v="1.4"/>
    <n v="2.2400000000000002"/>
    <n v="0.1"/>
    <s v="low"/>
    <n v="5"/>
    <n v="3"/>
    <n v="3"/>
    <n v="0"/>
  </r>
  <r>
    <n v="13"/>
    <x v="0"/>
    <n v="7.9"/>
    <s v="TikTok"/>
    <n v="4.0999999999999996"/>
    <n v="1.6"/>
    <n v="2.74"/>
    <n v="0.9"/>
    <s v="medium"/>
    <n v="9"/>
    <n v="3"/>
    <n v="5"/>
    <n v="0"/>
  </r>
  <r>
    <n v="13"/>
    <x v="0"/>
    <n v="4.0999999999999996"/>
    <s v="Instagram"/>
    <n v="7.5"/>
    <n v="1.7"/>
    <n v="3.12"/>
    <n v="2"/>
    <s v="medium"/>
    <n v="1"/>
    <n v="4"/>
    <n v="9"/>
    <n v="0"/>
  </r>
  <r>
    <n v="13"/>
    <x v="0"/>
    <n v="7.2"/>
    <s v="Instagram"/>
    <n v="8.1"/>
    <n v="2.1"/>
    <n v="2.52"/>
    <n v="0.4"/>
    <s v="medium"/>
    <n v="3"/>
    <n v="3"/>
    <n v="7"/>
    <n v="0"/>
  </r>
  <r>
    <n v="14"/>
    <x v="0"/>
    <n v="3.6"/>
    <s v="Both"/>
    <n v="5.3"/>
    <n v="0.6"/>
    <n v="2.99"/>
    <n v="0.3"/>
    <s v="high"/>
    <n v="4"/>
    <n v="10"/>
    <n v="2"/>
    <n v="0"/>
  </r>
  <r>
    <n v="14"/>
    <x v="0"/>
    <n v="1.2"/>
    <s v="Instagram"/>
    <n v="7.6"/>
    <n v="1"/>
    <n v="3.85"/>
    <n v="0.8"/>
    <s v="high"/>
    <n v="8"/>
    <n v="4"/>
    <n v="6"/>
    <n v="0"/>
  </r>
  <r>
    <n v="14"/>
    <x v="0"/>
    <n v="5.7"/>
    <s v="Both"/>
    <n v="8.6999999999999993"/>
    <n v="0.6"/>
    <n v="2.64"/>
    <n v="0.1"/>
    <s v="low"/>
    <n v="8"/>
    <n v="9"/>
    <n v="4"/>
    <n v="0"/>
  </r>
  <r>
    <n v="14"/>
    <x v="0"/>
    <n v="7.3"/>
    <s v="Instagram"/>
    <n v="7.7"/>
    <n v="1.4"/>
    <n v="3.42"/>
    <n v="0.3"/>
    <s v="medium"/>
    <n v="6"/>
    <n v="1"/>
    <n v="8"/>
    <n v="0"/>
  </r>
  <r>
    <n v="14"/>
    <x v="0"/>
    <n v="4.5"/>
    <s v="TikTok"/>
    <n v="4.8"/>
    <n v="0.9"/>
    <n v="2.2200000000000002"/>
    <n v="0.8"/>
    <s v="low"/>
    <n v="1"/>
    <n v="4"/>
    <n v="10"/>
    <n v="0"/>
  </r>
  <r>
    <n v="14"/>
    <x v="0"/>
    <n v="3.9"/>
    <s v="Both"/>
    <n v="7"/>
    <n v="2.8"/>
    <n v="2.8"/>
    <n v="0.1"/>
    <s v="low"/>
    <n v="8"/>
    <n v="2"/>
    <n v="8"/>
    <n v="0"/>
  </r>
  <r>
    <n v="14"/>
    <x v="0"/>
    <n v="6.4"/>
    <s v="Instagram"/>
    <n v="6"/>
    <n v="1.1000000000000001"/>
    <n v="3.81"/>
    <n v="0.9"/>
    <s v="medium"/>
    <n v="8"/>
    <n v="2"/>
    <n v="3"/>
    <n v="0"/>
  </r>
  <r>
    <n v="14"/>
    <x v="0"/>
    <n v="1.1000000000000001"/>
    <s v="Both"/>
    <n v="6.1"/>
    <n v="2.5"/>
    <n v="2.8"/>
    <n v="1.8"/>
    <s v="high"/>
    <n v="4"/>
    <n v="10"/>
    <n v="3"/>
    <n v="0"/>
  </r>
  <r>
    <n v="14"/>
    <x v="0"/>
    <n v="7.7"/>
    <s v="Instagram"/>
    <n v="6.1"/>
    <n v="0.8"/>
    <n v="3.47"/>
    <n v="1.5"/>
    <s v="medium"/>
    <n v="9"/>
    <n v="10"/>
    <n v="9"/>
    <n v="0"/>
  </r>
  <r>
    <n v="14"/>
    <x v="0"/>
    <n v="1.7"/>
    <s v="TikTok"/>
    <n v="4.9000000000000004"/>
    <n v="1.6"/>
    <n v="2.36"/>
    <n v="1.7"/>
    <s v="high"/>
    <n v="3"/>
    <n v="1"/>
    <n v="6"/>
    <n v="0"/>
  </r>
  <r>
    <n v="14"/>
    <x v="0"/>
    <n v="2.7"/>
    <s v="Instagram"/>
    <n v="5.0999999999999996"/>
    <n v="2.4"/>
    <n v="2.17"/>
    <n v="1.8"/>
    <s v="high"/>
    <n v="3"/>
    <n v="10"/>
    <n v="8"/>
    <n v="0"/>
  </r>
  <r>
    <n v="14"/>
    <x v="0"/>
    <n v="4.7"/>
    <s v="Instagram"/>
    <n v="5.0999999999999996"/>
    <n v="2.2000000000000002"/>
    <n v="2.0299999999999998"/>
    <n v="1.1000000000000001"/>
    <s v="medium"/>
    <n v="2"/>
    <n v="10"/>
    <n v="7"/>
    <n v="0"/>
  </r>
  <r>
    <n v="14"/>
    <x v="0"/>
    <n v="4.4000000000000004"/>
    <s v="Both"/>
    <n v="4.2"/>
    <n v="2.6"/>
    <n v="2.2799999999999998"/>
    <n v="1.3"/>
    <s v="medium"/>
    <n v="8"/>
    <n v="10"/>
    <n v="4"/>
    <n v="0"/>
  </r>
  <r>
    <n v="14"/>
    <x v="0"/>
    <n v="7.1"/>
    <s v="TikTok"/>
    <n v="4.5"/>
    <n v="2.4"/>
    <n v="3.53"/>
    <n v="0.4"/>
    <s v="high"/>
    <n v="3"/>
    <n v="4"/>
    <n v="4"/>
    <n v="0"/>
  </r>
  <r>
    <n v="14"/>
    <x v="0"/>
    <n v="6.5"/>
    <s v="Both"/>
    <n v="7.8"/>
    <n v="1.5"/>
    <n v="3.26"/>
    <n v="0.8"/>
    <s v="medium"/>
    <n v="9"/>
    <n v="2"/>
    <n v="3"/>
    <n v="0"/>
  </r>
  <r>
    <n v="14"/>
    <x v="0"/>
    <n v="7"/>
    <s v="TikTok"/>
    <n v="7.8"/>
    <n v="1.1000000000000001"/>
    <n v="3.81"/>
    <n v="1.4"/>
    <s v="medium"/>
    <n v="10"/>
    <n v="4"/>
    <n v="2"/>
    <n v="0"/>
  </r>
  <r>
    <n v="14"/>
    <x v="0"/>
    <n v="4.4000000000000004"/>
    <s v="Both"/>
    <n v="7.3"/>
    <n v="2.7"/>
    <n v="3.3"/>
    <n v="1.1000000000000001"/>
    <s v="low"/>
    <n v="2"/>
    <n v="1"/>
    <n v="9"/>
    <n v="0"/>
  </r>
  <r>
    <n v="14"/>
    <x v="0"/>
    <n v="1.8"/>
    <s v="Both"/>
    <n v="8.1999999999999993"/>
    <n v="2.2000000000000002"/>
    <n v="3.36"/>
    <n v="1.7"/>
    <s v="high"/>
    <n v="9"/>
    <n v="5"/>
    <n v="10"/>
    <n v="0"/>
  </r>
  <r>
    <n v="14"/>
    <x v="0"/>
    <n v="4.4000000000000004"/>
    <s v="TikTok"/>
    <n v="5.7"/>
    <n v="1"/>
    <n v="3.2"/>
    <n v="1.9"/>
    <s v="high"/>
    <n v="4"/>
    <n v="2"/>
    <n v="2"/>
    <n v="0"/>
  </r>
  <r>
    <n v="14"/>
    <x v="0"/>
    <n v="6.9"/>
    <s v="TikTok"/>
    <n v="6.4"/>
    <n v="0.9"/>
    <n v="2.04"/>
    <n v="1.3"/>
    <s v="medium"/>
    <n v="5"/>
    <n v="5"/>
    <n v="9"/>
    <n v="0"/>
  </r>
  <r>
    <n v="14"/>
    <x v="0"/>
    <n v="4.8"/>
    <s v="Instagram"/>
    <n v="6.8"/>
    <n v="0.8"/>
    <n v="3"/>
    <n v="0.9"/>
    <s v="low"/>
    <n v="4"/>
    <n v="3"/>
    <n v="4"/>
    <n v="0"/>
  </r>
  <r>
    <n v="14"/>
    <x v="0"/>
    <n v="7.8"/>
    <s v="Instagram"/>
    <n v="4.3"/>
    <n v="2.6"/>
    <n v="3.33"/>
    <n v="2"/>
    <s v="high"/>
    <n v="3"/>
    <n v="7"/>
    <n v="3"/>
    <n v="0"/>
  </r>
  <r>
    <n v="14"/>
    <x v="0"/>
    <n v="2"/>
    <s v="Instagram"/>
    <n v="8.8000000000000007"/>
    <n v="0.9"/>
    <n v="3.61"/>
    <n v="0.7"/>
    <s v="high"/>
    <n v="10"/>
    <n v="2"/>
    <n v="3"/>
    <n v="0"/>
  </r>
  <r>
    <n v="14"/>
    <x v="0"/>
    <n v="3.6"/>
    <s v="Instagram"/>
    <n v="4.0999999999999996"/>
    <n v="2.9"/>
    <n v="2.83"/>
    <n v="0.5"/>
    <s v="medium"/>
    <n v="10"/>
    <n v="6"/>
    <n v="7"/>
    <n v="0"/>
  </r>
  <r>
    <n v="14"/>
    <x v="0"/>
    <n v="4.0999999999999996"/>
    <s v="Both"/>
    <n v="6.4"/>
    <n v="2"/>
    <n v="3.69"/>
    <n v="1.5"/>
    <s v="medium"/>
    <n v="7"/>
    <n v="7"/>
    <n v="9"/>
    <n v="0"/>
  </r>
  <r>
    <n v="14"/>
    <x v="0"/>
    <n v="1"/>
    <s v="Both"/>
    <n v="6.6"/>
    <n v="1.4"/>
    <n v="2.02"/>
    <n v="1.9"/>
    <s v="low"/>
    <n v="6"/>
    <n v="5"/>
    <n v="5"/>
    <n v="0"/>
  </r>
  <r>
    <n v="14"/>
    <x v="0"/>
    <n v="2"/>
    <s v="Both"/>
    <n v="5"/>
    <n v="2.6"/>
    <n v="2.71"/>
    <n v="2"/>
    <s v="low"/>
    <n v="5"/>
    <n v="4"/>
    <n v="3"/>
    <n v="0"/>
  </r>
  <r>
    <n v="14"/>
    <x v="0"/>
    <n v="5"/>
    <s v="TikTok"/>
    <n v="4.9000000000000004"/>
    <n v="2.6"/>
    <n v="3.82"/>
    <n v="1.9"/>
    <s v="medium"/>
    <n v="3"/>
    <n v="10"/>
    <n v="10"/>
    <n v="0"/>
  </r>
  <r>
    <n v="14"/>
    <x v="0"/>
    <n v="3"/>
    <s v="TikTok"/>
    <n v="8.3000000000000007"/>
    <n v="2.7"/>
    <n v="3.9"/>
    <n v="0.7"/>
    <s v="high"/>
    <n v="3"/>
    <n v="1"/>
    <n v="5"/>
    <n v="0"/>
  </r>
  <r>
    <n v="14"/>
    <x v="0"/>
    <n v="6.1"/>
    <s v="Instagram"/>
    <n v="5.7"/>
    <n v="2"/>
    <n v="3.9"/>
    <n v="1"/>
    <s v="low"/>
    <n v="8"/>
    <n v="4"/>
    <n v="6"/>
    <n v="0"/>
  </r>
  <r>
    <n v="14"/>
    <x v="0"/>
    <n v="6.2"/>
    <s v="TikTok"/>
    <n v="5.0999999999999996"/>
    <n v="1.5"/>
    <n v="3.85"/>
    <n v="0.2"/>
    <s v="high"/>
    <n v="3"/>
    <n v="4"/>
    <n v="10"/>
    <n v="0"/>
  </r>
  <r>
    <n v="14"/>
    <x v="0"/>
    <n v="2.2999999999999998"/>
    <s v="TikTok"/>
    <n v="7.3"/>
    <n v="2.2999999999999998"/>
    <n v="2.8"/>
    <n v="1.5"/>
    <s v="medium"/>
    <n v="4"/>
    <n v="6"/>
    <n v="5"/>
    <n v="0"/>
  </r>
  <r>
    <n v="14"/>
    <x v="0"/>
    <n v="3.1"/>
    <s v="Instagram"/>
    <n v="6.9"/>
    <n v="1.9"/>
    <n v="2.2000000000000002"/>
    <n v="1.2"/>
    <s v="medium"/>
    <n v="3"/>
    <n v="4"/>
    <n v="2"/>
    <n v="0"/>
  </r>
  <r>
    <n v="14"/>
    <x v="0"/>
    <n v="5.7"/>
    <s v="Instagram"/>
    <n v="8.9"/>
    <n v="0.7"/>
    <n v="2.17"/>
    <n v="1.3"/>
    <s v="high"/>
    <n v="10"/>
    <n v="4"/>
    <n v="3"/>
    <n v="0"/>
  </r>
  <r>
    <n v="14"/>
    <x v="0"/>
    <n v="5.3"/>
    <s v="Both"/>
    <n v="4.7"/>
    <n v="1.1000000000000001"/>
    <n v="3.68"/>
    <n v="1.8"/>
    <s v="high"/>
    <n v="10"/>
    <n v="8"/>
    <n v="10"/>
    <n v="1"/>
  </r>
  <r>
    <n v="14"/>
    <x v="0"/>
    <n v="3.4"/>
    <s v="Instagram"/>
    <n v="5.6"/>
    <n v="1.7"/>
    <n v="3.38"/>
    <n v="0.3"/>
    <s v="high"/>
    <n v="9"/>
    <n v="3"/>
    <n v="1"/>
    <n v="0"/>
  </r>
  <r>
    <n v="14"/>
    <x v="0"/>
    <n v="4"/>
    <s v="TikTok"/>
    <n v="5.0999999999999996"/>
    <n v="1.1000000000000001"/>
    <n v="3.98"/>
    <n v="1.3"/>
    <s v="medium"/>
    <n v="5"/>
    <n v="4"/>
    <n v="9"/>
    <n v="0"/>
  </r>
  <r>
    <n v="14"/>
    <x v="0"/>
    <n v="4.0999999999999996"/>
    <s v="TikTok"/>
    <n v="5.4"/>
    <n v="2.4"/>
    <n v="2.71"/>
    <n v="1.3"/>
    <s v="low"/>
    <n v="9"/>
    <n v="5"/>
    <n v="10"/>
    <n v="0"/>
  </r>
  <r>
    <n v="14"/>
    <x v="0"/>
    <n v="1.2"/>
    <s v="Both"/>
    <n v="7"/>
    <n v="2.2000000000000002"/>
    <n v="3.83"/>
    <n v="0.8"/>
    <s v="low"/>
    <n v="6"/>
    <n v="10"/>
    <n v="5"/>
    <n v="0"/>
  </r>
  <r>
    <n v="14"/>
    <x v="0"/>
    <n v="7"/>
    <s v="Instagram"/>
    <n v="4.5"/>
    <n v="1.6"/>
    <n v="2.83"/>
    <n v="0.4"/>
    <s v="medium"/>
    <n v="8"/>
    <n v="1"/>
    <n v="7"/>
    <n v="0"/>
  </r>
  <r>
    <n v="14"/>
    <x v="0"/>
    <n v="5.8"/>
    <s v="Both"/>
    <n v="4.8"/>
    <n v="2.6"/>
    <n v="2.08"/>
    <n v="0.8"/>
    <s v="medium"/>
    <n v="6"/>
    <n v="4"/>
    <n v="9"/>
    <n v="0"/>
  </r>
  <r>
    <n v="14"/>
    <x v="0"/>
    <n v="1.3"/>
    <s v="TikTok"/>
    <n v="7.7"/>
    <n v="1.9"/>
    <n v="2.27"/>
    <n v="1.5"/>
    <s v="low"/>
    <n v="7"/>
    <n v="2"/>
    <n v="2"/>
    <n v="0"/>
  </r>
  <r>
    <n v="14"/>
    <x v="0"/>
    <n v="6.9"/>
    <s v="TikTok"/>
    <n v="8"/>
    <n v="1.6"/>
    <n v="2.64"/>
    <n v="0.1"/>
    <s v="medium"/>
    <n v="3"/>
    <n v="3"/>
    <n v="3"/>
    <n v="0"/>
  </r>
  <r>
    <n v="14"/>
    <x v="0"/>
    <n v="3.7"/>
    <s v="TikTok"/>
    <n v="5.7"/>
    <n v="1.7"/>
    <n v="2.88"/>
    <n v="0.2"/>
    <s v="low"/>
    <n v="9"/>
    <n v="10"/>
    <n v="3"/>
    <n v="0"/>
  </r>
  <r>
    <n v="14"/>
    <x v="0"/>
    <n v="6.6"/>
    <s v="TikTok"/>
    <n v="6.2"/>
    <n v="1.8"/>
    <n v="2.36"/>
    <n v="1.7"/>
    <s v="high"/>
    <n v="4"/>
    <n v="1"/>
    <n v="8"/>
    <n v="0"/>
  </r>
  <r>
    <n v="14"/>
    <x v="0"/>
    <n v="4.7"/>
    <s v="TikTok"/>
    <n v="4.4000000000000004"/>
    <n v="2.1"/>
    <n v="3.92"/>
    <n v="0.9"/>
    <s v="low"/>
    <n v="10"/>
    <n v="1"/>
    <n v="4"/>
    <n v="0"/>
  </r>
  <r>
    <n v="14"/>
    <x v="0"/>
    <n v="3.7"/>
    <s v="Both"/>
    <n v="7.1"/>
    <n v="1.7"/>
    <n v="2.5"/>
    <n v="1.8"/>
    <s v="medium"/>
    <n v="10"/>
    <n v="4"/>
    <n v="5"/>
    <n v="0"/>
  </r>
  <r>
    <n v="14"/>
    <x v="0"/>
    <n v="6.1"/>
    <s v="Instagram"/>
    <n v="7"/>
    <n v="2.7"/>
    <n v="3.97"/>
    <n v="1"/>
    <s v="medium"/>
    <n v="1"/>
    <n v="8"/>
    <n v="8"/>
    <n v="0"/>
  </r>
  <r>
    <n v="14"/>
    <x v="0"/>
    <n v="1.3"/>
    <s v="TikTok"/>
    <n v="7.5"/>
    <n v="1.4"/>
    <n v="3.85"/>
    <n v="1.6"/>
    <s v="medium"/>
    <n v="10"/>
    <n v="8"/>
    <n v="7"/>
    <n v="0"/>
  </r>
  <r>
    <n v="14"/>
    <x v="0"/>
    <n v="7.3"/>
    <s v="TikTok"/>
    <n v="8.8000000000000007"/>
    <n v="2.5"/>
    <n v="2.12"/>
    <n v="0.5"/>
    <s v="high"/>
    <n v="10"/>
    <n v="10"/>
    <n v="1"/>
    <n v="0"/>
  </r>
  <r>
    <n v="14"/>
    <x v="0"/>
    <n v="3.5"/>
    <s v="Instagram"/>
    <n v="4.5999999999999996"/>
    <n v="0.7"/>
    <n v="2.74"/>
    <n v="1"/>
    <s v="low"/>
    <n v="2"/>
    <n v="7"/>
    <n v="8"/>
    <n v="0"/>
  </r>
  <r>
    <n v="14"/>
    <x v="0"/>
    <n v="1.2"/>
    <s v="TikTok"/>
    <n v="8.5"/>
    <n v="2.2999999999999998"/>
    <n v="3.91"/>
    <n v="1.8"/>
    <s v="high"/>
    <n v="1"/>
    <n v="8"/>
    <n v="1"/>
    <n v="0"/>
  </r>
  <r>
    <n v="14"/>
    <x v="0"/>
    <n v="1.7"/>
    <s v="TikTok"/>
    <n v="6.5"/>
    <n v="2.7"/>
    <n v="2.06"/>
    <n v="0.1"/>
    <s v="medium"/>
    <n v="9"/>
    <n v="5"/>
    <n v="9"/>
    <n v="0"/>
  </r>
  <r>
    <n v="14"/>
    <x v="0"/>
    <n v="3.5"/>
    <s v="Both"/>
    <n v="5.7"/>
    <n v="2.4"/>
    <n v="3.46"/>
    <n v="0.9"/>
    <s v="low"/>
    <n v="8"/>
    <n v="4"/>
    <n v="10"/>
    <n v="0"/>
  </r>
  <r>
    <n v="14"/>
    <x v="0"/>
    <n v="2.4"/>
    <s v="TikTok"/>
    <n v="6.3"/>
    <n v="2.8"/>
    <n v="2.41"/>
    <n v="0.7"/>
    <s v="low"/>
    <n v="9"/>
    <n v="5"/>
    <n v="2"/>
    <n v="0"/>
  </r>
  <r>
    <n v="14"/>
    <x v="0"/>
    <n v="1.8"/>
    <s v="Instagram"/>
    <n v="7.6"/>
    <n v="1.2"/>
    <n v="2.84"/>
    <n v="1.1000000000000001"/>
    <s v="high"/>
    <n v="10"/>
    <n v="1"/>
    <n v="3"/>
    <n v="0"/>
  </r>
  <r>
    <n v="14"/>
    <x v="0"/>
    <n v="7"/>
    <s v="Instagram"/>
    <n v="6.9"/>
    <n v="2.1"/>
    <n v="3.42"/>
    <n v="1.1000000000000001"/>
    <s v="high"/>
    <n v="10"/>
    <n v="3"/>
    <n v="6"/>
    <n v="0"/>
  </r>
  <r>
    <n v="14"/>
    <x v="0"/>
    <n v="2"/>
    <s v="Instagram"/>
    <n v="4.7"/>
    <n v="1.1000000000000001"/>
    <n v="2.5099999999999998"/>
    <n v="0"/>
    <s v="high"/>
    <n v="2"/>
    <n v="9"/>
    <n v="4"/>
    <n v="0"/>
  </r>
  <r>
    <n v="14"/>
    <x v="0"/>
    <n v="4.4000000000000004"/>
    <s v="TikTok"/>
    <n v="5.0999999999999996"/>
    <n v="2.8"/>
    <n v="2.2200000000000002"/>
    <n v="0.5"/>
    <s v="high"/>
    <n v="5"/>
    <n v="4"/>
    <n v="1"/>
    <n v="0"/>
  </r>
  <r>
    <n v="14"/>
    <x v="0"/>
    <n v="5.5"/>
    <s v="Both"/>
    <n v="5.7"/>
    <n v="2.2999999999999998"/>
    <n v="3.05"/>
    <n v="1.3"/>
    <s v="medium"/>
    <n v="7"/>
    <n v="8"/>
    <n v="5"/>
    <n v="1"/>
  </r>
  <r>
    <n v="14"/>
    <x v="0"/>
    <n v="7.2"/>
    <s v="Both"/>
    <n v="7"/>
    <n v="2.2999999999999998"/>
    <n v="3.74"/>
    <n v="0.7"/>
    <s v="low"/>
    <n v="8"/>
    <n v="4"/>
    <n v="7"/>
    <n v="0"/>
  </r>
  <r>
    <n v="14"/>
    <x v="0"/>
    <n v="4.5999999999999996"/>
    <s v="Instagram"/>
    <n v="5.9"/>
    <n v="1.4"/>
    <n v="2.15"/>
    <n v="0.3"/>
    <s v="high"/>
    <n v="3"/>
    <n v="10"/>
    <n v="2"/>
    <n v="0"/>
  </r>
  <r>
    <n v="14"/>
    <x v="0"/>
    <n v="7.2"/>
    <s v="Both"/>
    <n v="5"/>
    <n v="2.9"/>
    <n v="3.76"/>
    <n v="0.4"/>
    <s v="medium"/>
    <n v="7"/>
    <n v="4"/>
    <n v="2"/>
    <n v="0"/>
  </r>
  <r>
    <n v="14"/>
    <x v="0"/>
    <n v="2.9"/>
    <s v="TikTok"/>
    <n v="5.8"/>
    <n v="1.6"/>
    <n v="3.34"/>
    <n v="1.1000000000000001"/>
    <s v="medium"/>
    <n v="6"/>
    <n v="10"/>
    <n v="3"/>
    <n v="0"/>
  </r>
  <r>
    <n v="14"/>
    <x v="0"/>
    <n v="5.0999999999999996"/>
    <s v="Instagram"/>
    <n v="5.3"/>
    <n v="2.2999999999999998"/>
    <n v="2.31"/>
    <n v="0.2"/>
    <s v="high"/>
    <n v="3"/>
    <n v="3"/>
    <n v="6"/>
    <n v="0"/>
  </r>
  <r>
    <n v="14"/>
    <x v="0"/>
    <n v="5"/>
    <s v="Instagram"/>
    <n v="6.2"/>
    <n v="1"/>
    <n v="2"/>
    <n v="1.5"/>
    <s v="low"/>
    <n v="5"/>
    <n v="6"/>
    <n v="1"/>
    <n v="0"/>
  </r>
  <r>
    <n v="14"/>
    <x v="0"/>
    <n v="5.6"/>
    <s v="TikTok"/>
    <n v="6.8"/>
    <n v="2.2999999999999998"/>
    <n v="2.66"/>
    <n v="1.1000000000000001"/>
    <s v="high"/>
    <n v="7"/>
    <n v="6"/>
    <n v="2"/>
    <n v="0"/>
  </r>
  <r>
    <n v="14"/>
    <x v="0"/>
    <n v="3.8"/>
    <s v="Instagram"/>
    <n v="7.9"/>
    <n v="1.2"/>
    <n v="3.24"/>
    <n v="1.6"/>
    <s v="high"/>
    <n v="6"/>
    <n v="10"/>
    <n v="5"/>
    <n v="0"/>
  </r>
  <r>
    <n v="14"/>
    <x v="0"/>
    <n v="4.3"/>
    <s v="Both"/>
    <n v="7.8"/>
    <n v="0.5"/>
    <n v="3.92"/>
    <n v="0.7"/>
    <s v="high"/>
    <n v="3"/>
    <n v="4"/>
    <n v="8"/>
    <n v="0"/>
  </r>
  <r>
    <n v="14"/>
    <x v="0"/>
    <n v="4.5999999999999996"/>
    <s v="TikTok"/>
    <n v="7"/>
    <n v="1.6"/>
    <n v="2.74"/>
    <n v="0.9"/>
    <s v="low"/>
    <n v="3"/>
    <n v="2"/>
    <n v="9"/>
    <n v="0"/>
  </r>
  <r>
    <n v="14"/>
    <x v="0"/>
    <n v="5.7"/>
    <s v="Instagram"/>
    <n v="6.7"/>
    <n v="2.6"/>
    <n v="2.35"/>
    <n v="1.8"/>
    <s v="high"/>
    <n v="10"/>
    <n v="10"/>
    <n v="7"/>
    <n v="0"/>
  </r>
  <r>
    <n v="14"/>
    <x v="0"/>
    <n v="3.5"/>
    <s v="Both"/>
    <n v="5.3"/>
    <n v="2.5"/>
    <n v="2.29"/>
    <n v="0.7"/>
    <s v="low"/>
    <n v="1"/>
    <n v="10"/>
    <n v="3"/>
    <n v="0"/>
  </r>
  <r>
    <n v="14"/>
    <x v="0"/>
    <n v="4"/>
    <s v="TikTok"/>
    <n v="4.0999999999999996"/>
    <n v="0.9"/>
    <n v="2.99"/>
    <n v="1.9"/>
    <s v="low"/>
    <n v="2"/>
    <n v="9"/>
    <n v="10"/>
    <n v="0"/>
  </r>
  <r>
    <n v="14"/>
    <x v="0"/>
    <n v="7.8"/>
    <s v="TikTok"/>
    <n v="4.7"/>
    <n v="2.2000000000000002"/>
    <n v="3.53"/>
    <n v="0.6"/>
    <s v="low"/>
    <n v="5"/>
    <n v="8"/>
    <n v="2"/>
    <n v="0"/>
  </r>
  <r>
    <n v="14"/>
    <x v="0"/>
    <n v="1.1000000000000001"/>
    <s v="Both"/>
    <n v="5.4"/>
    <n v="1.6"/>
    <n v="3.34"/>
    <n v="1.5"/>
    <s v="medium"/>
    <n v="4"/>
    <n v="5"/>
    <n v="8"/>
    <n v="0"/>
  </r>
  <r>
    <n v="14"/>
    <x v="0"/>
    <n v="5.7"/>
    <s v="TikTok"/>
    <n v="6.4"/>
    <n v="1.9"/>
    <n v="3.3"/>
    <n v="1.3"/>
    <s v="high"/>
    <n v="6"/>
    <n v="8"/>
    <n v="5"/>
    <n v="0"/>
  </r>
  <r>
    <n v="14"/>
    <x v="0"/>
    <n v="1.6"/>
    <s v="TikTok"/>
    <n v="4.8"/>
    <n v="2.4"/>
    <n v="2.97"/>
    <n v="1.9"/>
    <s v="low"/>
    <n v="9"/>
    <n v="9"/>
    <n v="10"/>
    <n v="0"/>
  </r>
  <r>
    <n v="14"/>
    <x v="0"/>
    <n v="1.7"/>
    <s v="Both"/>
    <n v="8.6999999999999993"/>
    <n v="0.7"/>
    <n v="3.98"/>
    <n v="0.8"/>
    <s v="high"/>
    <n v="1"/>
    <n v="1"/>
    <n v="1"/>
    <n v="0"/>
  </r>
  <r>
    <n v="15"/>
    <x v="0"/>
    <n v="4.7"/>
    <s v="Both"/>
    <n v="4.9000000000000004"/>
    <n v="3"/>
    <n v="2.37"/>
    <n v="1.4"/>
    <s v="medium"/>
    <n v="3"/>
    <n v="5"/>
    <n v="2"/>
    <n v="0"/>
  </r>
  <r>
    <n v="15"/>
    <x v="0"/>
    <n v="7.4"/>
    <s v="Instagram"/>
    <n v="8.6"/>
    <n v="0.9"/>
    <n v="2.2999999999999998"/>
    <n v="0"/>
    <s v="low"/>
    <n v="1"/>
    <n v="5"/>
    <n v="3"/>
    <n v="0"/>
  </r>
  <r>
    <n v="15"/>
    <x v="0"/>
    <n v="1.5"/>
    <s v="Instagram"/>
    <n v="4.7"/>
    <n v="1"/>
    <n v="3.82"/>
    <n v="0.6"/>
    <s v="medium"/>
    <n v="6"/>
    <n v="1"/>
    <n v="4"/>
    <n v="0"/>
  </r>
  <r>
    <n v="15"/>
    <x v="0"/>
    <n v="1.8"/>
    <s v="Instagram"/>
    <n v="6.4"/>
    <n v="2.4"/>
    <n v="2.16"/>
    <n v="1.9"/>
    <s v="medium"/>
    <n v="3"/>
    <n v="6"/>
    <n v="9"/>
    <n v="0"/>
  </r>
  <r>
    <n v="15"/>
    <x v="0"/>
    <n v="4"/>
    <s v="Instagram"/>
    <n v="8.1"/>
    <n v="2.1"/>
    <n v="2.0099999999999998"/>
    <n v="0.4"/>
    <s v="medium"/>
    <n v="4"/>
    <n v="8"/>
    <n v="8"/>
    <n v="0"/>
  </r>
  <r>
    <n v="15"/>
    <x v="0"/>
    <n v="2.2999999999999998"/>
    <s v="TikTok"/>
    <n v="6.5"/>
    <n v="2.6"/>
    <n v="3.18"/>
    <n v="0.1"/>
    <s v="low"/>
    <n v="1"/>
    <n v="8"/>
    <n v="4"/>
    <n v="0"/>
  </r>
  <r>
    <n v="15"/>
    <x v="0"/>
    <n v="1.1000000000000001"/>
    <s v="TikTok"/>
    <n v="8.1999999999999993"/>
    <n v="0.7"/>
    <n v="2.94"/>
    <n v="0.7"/>
    <s v="high"/>
    <n v="10"/>
    <n v="7"/>
    <n v="9"/>
    <n v="0"/>
  </r>
  <r>
    <n v="15"/>
    <x v="0"/>
    <n v="2.7"/>
    <s v="Both"/>
    <n v="8.8000000000000007"/>
    <n v="1.9"/>
    <n v="2.14"/>
    <n v="0.4"/>
    <s v="high"/>
    <n v="8"/>
    <n v="10"/>
    <n v="3"/>
    <n v="0"/>
  </r>
  <r>
    <n v="15"/>
    <x v="0"/>
    <n v="7.8"/>
    <s v="TikTok"/>
    <n v="5.3"/>
    <n v="0.5"/>
    <n v="2.3199999999999998"/>
    <n v="0.8"/>
    <s v="low"/>
    <n v="8"/>
    <n v="9"/>
    <n v="3"/>
    <n v="1"/>
  </r>
  <r>
    <n v="15"/>
    <x v="0"/>
    <n v="1.5"/>
    <s v="Both"/>
    <n v="8.6999999999999993"/>
    <n v="1.2"/>
    <n v="2.52"/>
    <n v="0.1"/>
    <s v="low"/>
    <n v="9"/>
    <n v="7"/>
    <n v="2"/>
    <n v="0"/>
  </r>
  <r>
    <n v="15"/>
    <x v="0"/>
    <n v="3.4"/>
    <s v="Instagram"/>
    <n v="5"/>
    <n v="1.8"/>
    <n v="3.2"/>
    <n v="1.5"/>
    <s v="medium"/>
    <n v="4"/>
    <n v="5"/>
    <n v="1"/>
    <n v="0"/>
  </r>
  <r>
    <n v="15"/>
    <x v="0"/>
    <n v="7.2"/>
    <s v="TikTok"/>
    <n v="8"/>
    <n v="1.4"/>
    <n v="3.64"/>
    <n v="0.4"/>
    <s v="medium"/>
    <n v="10"/>
    <n v="5"/>
    <n v="7"/>
    <n v="0"/>
  </r>
  <r>
    <n v="15"/>
    <x v="0"/>
    <n v="3.5"/>
    <s v="Instagram"/>
    <n v="6.3"/>
    <n v="0.8"/>
    <n v="2.71"/>
    <n v="1.8"/>
    <s v="high"/>
    <n v="7"/>
    <n v="4"/>
    <n v="2"/>
    <n v="0"/>
  </r>
  <r>
    <n v="15"/>
    <x v="0"/>
    <n v="6.6"/>
    <s v="Both"/>
    <n v="4.9000000000000004"/>
    <n v="3"/>
    <n v="2.99"/>
    <n v="0.9"/>
    <s v="medium"/>
    <n v="4"/>
    <n v="8"/>
    <n v="3"/>
    <n v="0"/>
  </r>
  <r>
    <n v="15"/>
    <x v="0"/>
    <n v="1.2"/>
    <s v="TikTok"/>
    <n v="8.1"/>
    <n v="2"/>
    <n v="3.33"/>
    <n v="1.5"/>
    <s v="medium"/>
    <n v="7"/>
    <n v="3"/>
    <n v="8"/>
    <n v="0"/>
  </r>
  <r>
    <n v="15"/>
    <x v="0"/>
    <n v="1.8"/>
    <s v="Instagram"/>
    <n v="8"/>
    <n v="2.8"/>
    <n v="3.49"/>
    <n v="0.6"/>
    <s v="low"/>
    <n v="9"/>
    <n v="8"/>
    <n v="8"/>
    <n v="0"/>
  </r>
  <r>
    <n v="15"/>
    <x v="0"/>
    <n v="6.7"/>
    <s v="Instagram"/>
    <n v="7"/>
    <n v="2.2000000000000002"/>
    <n v="2.61"/>
    <n v="0.7"/>
    <s v="high"/>
    <n v="2"/>
    <n v="7"/>
    <n v="8"/>
    <n v="0"/>
  </r>
  <r>
    <n v="15"/>
    <x v="0"/>
    <n v="6.6"/>
    <s v="TikTok"/>
    <n v="9"/>
    <n v="1.5"/>
    <n v="3.04"/>
    <n v="1.5"/>
    <s v="low"/>
    <n v="4"/>
    <n v="2"/>
    <n v="7"/>
    <n v="0"/>
  </r>
  <r>
    <n v="15"/>
    <x v="0"/>
    <n v="5.9"/>
    <s v="Both"/>
    <n v="6.9"/>
    <n v="1.4"/>
    <n v="3.62"/>
    <n v="1.5"/>
    <s v="medium"/>
    <n v="3"/>
    <n v="9"/>
    <n v="1"/>
    <n v="0"/>
  </r>
  <r>
    <n v="15"/>
    <x v="0"/>
    <n v="7"/>
    <s v="Instagram"/>
    <n v="5.9"/>
    <n v="1.3"/>
    <n v="2.91"/>
    <n v="1.2"/>
    <s v="low"/>
    <n v="10"/>
    <n v="2"/>
    <n v="6"/>
    <n v="0"/>
  </r>
  <r>
    <n v="15"/>
    <x v="0"/>
    <n v="4.2"/>
    <s v="Instagram"/>
    <n v="8.4"/>
    <n v="1.2"/>
    <n v="2.61"/>
    <n v="0"/>
    <s v="medium"/>
    <n v="3"/>
    <n v="10"/>
    <n v="2"/>
    <n v="0"/>
  </r>
  <r>
    <n v="15"/>
    <x v="0"/>
    <n v="1.2"/>
    <s v="Instagram"/>
    <n v="5.2"/>
    <n v="1"/>
    <n v="2.78"/>
    <n v="1.3"/>
    <s v="high"/>
    <n v="5"/>
    <n v="8"/>
    <n v="10"/>
    <n v="0"/>
  </r>
  <r>
    <n v="15"/>
    <x v="0"/>
    <n v="3.8"/>
    <s v="Instagram"/>
    <n v="4.4000000000000004"/>
    <n v="1.9"/>
    <n v="2.04"/>
    <n v="0.5"/>
    <s v="medium"/>
    <n v="4"/>
    <n v="9"/>
    <n v="7"/>
    <n v="0"/>
  </r>
  <r>
    <n v="15"/>
    <x v="0"/>
    <n v="4.2"/>
    <s v="TikTok"/>
    <n v="6.8"/>
    <n v="1.1000000000000001"/>
    <n v="3.37"/>
    <n v="0.7"/>
    <s v="high"/>
    <n v="3"/>
    <n v="6"/>
    <n v="8"/>
    <n v="0"/>
  </r>
  <r>
    <n v="15"/>
    <x v="0"/>
    <n v="6.7"/>
    <s v="Both"/>
    <n v="5"/>
    <n v="0.6"/>
    <n v="2.75"/>
    <n v="1.5"/>
    <s v="medium"/>
    <n v="7"/>
    <n v="4"/>
    <n v="8"/>
    <n v="0"/>
  </r>
  <r>
    <n v="15"/>
    <x v="0"/>
    <n v="2.2999999999999998"/>
    <s v="Instagram"/>
    <n v="5.6"/>
    <n v="2.9"/>
    <n v="2.72"/>
    <n v="1"/>
    <s v="high"/>
    <n v="6"/>
    <n v="6"/>
    <n v="2"/>
    <n v="0"/>
  </r>
  <r>
    <n v="15"/>
    <x v="0"/>
    <n v="4.2"/>
    <s v="Both"/>
    <n v="7.1"/>
    <n v="2.1"/>
    <n v="2.21"/>
    <n v="1.8"/>
    <s v="medium"/>
    <n v="4"/>
    <n v="1"/>
    <n v="3"/>
    <n v="0"/>
  </r>
  <r>
    <n v="15"/>
    <x v="0"/>
    <n v="5.5"/>
    <s v="TikTok"/>
    <n v="7.8"/>
    <n v="1.5"/>
    <n v="2.79"/>
    <n v="0.7"/>
    <s v="high"/>
    <n v="9"/>
    <n v="10"/>
    <n v="7"/>
    <n v="0"/>
  </r>
  <r>
    <n v="15"/>
    <x v="0"/>
    <n v="5.7"/>
    <s v="Instagram"/>
    <n v="7.5"/>
    <n v="2.4"/>
    <n v="2.84"/>
    <n v="1.3"/>
    <s v="medium"/>
    <n v="10"/>
    <n v="10"/>
    <n v="2"/>
    <n v="0"/>
  </r>
  <r>
    <n v="15"/>
    <x v="0"/>
    <n v="2.7"/>
    <s v="Both"/>
    <n v="6.5"/>
    <n v="1.6"/>
    <n v="2.14"/>
    <n v="0.4"/>
    <s v="high"/>
    <n v="6"/>
    <n v="6"/>
    <n v="6"/>
    <n v="0"/>
  </r>
  <r>
    <n v="15"/>
    <x v="0"/>
    <n v="5.4"/>
    <s v="TikTok"/>
    <n v="7"/>
    <n v="1.8"/>
    <n v="2.54"/>
    <n v="0.1"/>
    <s v="low"/>
    <n v="1"/>
    <n v="4"/>
    <n v="4"/>
    <n v="0"/>
  </r>
  <r>
    <n v="15"/>
    <x v="0"/>
    <n v="3.9"/>
    <s v="Instagram"/>
    <n v="6.4"/>
    <n v="1.7"/>
    <n v="2.87"/>
    <n v="1.8"/>
    <s v="high"/>
    <n v="6"/>
    <n v="6"/>
    <n v="6"/>
    <n v="0"/>
  </r>
  <r>
    <n v="15"/>
    <x v="0"/>
    <n v="4.5999999999999996"/>
    <s v="Both"/>
    <n v="8.6"/>
    <n v="2"/>
    <n v="3.01"/>
    <n v="0"/>
    <s v="low"/>
    <n v="1"/>
    <n v="8"/>
    <n v="3"/>
    <n v="0"/>
  </r>
  <r>
    <n v="15"/>
    <x v="0"/>
    <n v="5.8"/>
    <s v="Instagram"/>
    <n v="7.1"/>
    <n v="1.1000000000000001"/>
    <n v="3.72"/>
    <n v="1.5"/>
    <s v="low"/>
    <n v="9"/>
    <n v="6"/>
    <n v="6"/>
    <n v="0"/>
  </r>
  <r>
    <n v="15"/>
    <x v="0"/>
    <n v="2"/>
    <s v="Instagram"/>
    <n v="4.7"/>
    <n v="1.3"/>
    <n v="3.55"/>
    <n v="1.3"/>
    <s v="low"/>
    <n v="2"/>
    <n v="6"/>
    <n v="5"/>
    <n v="0"/>
  </r>
  <r>
    <n v="15"/>
    <x v="0"/>
    <n v="3.2"/>
    <s v="Instagram"/>
    <n v="4"/>
    <n v="2"/>
    <n v="3.25"/>
    <n v="0.7"/>
    <s v="low"/>
    <n v="8"/>
    <n v="4"/>
    <n v="8"/>
    <n v="0"/>
  </r>
  <r>
    <n v="15"/>
    <x v="0"/>
    <n v="4.5"/>
    <s v="Instagram"/>
    <n v="7.7"/>
    <n v="0.9"/>
    <n v="2.61"/>
    <n v="1.1000000000000001"/>
    <s v="medium"/>
    <n v="9"/>
    <n v="10"/>
    <n v="4"/>
    <n v="0"/>
  </r>
  <r>
    <n v="15"/>
    <x v="0"/>
    <n v="5.7"/>
    <s v="Instagram"/>
    <n v="6.1"/>
    <n v="0.7"/>
    <n v="3.08"/>
    <n v="0.6"/>
    <s v="medium"/>
    <n v="5"/>
    <n v="9"/>
    <n v="7"/>
    <n v="0"/>
  </r>
  <r>
    <n v="15"/>
    <x v="0"/>
    <n v="6.9"/>
    <s v="TikTok"/>
    <n v="8.3000000000000007"/>
    <n v="2.4"/>
    <n v="3.34"/>
    <n v="1.2"/>
    <s v="high"/>
    <n v="2"/>
    <n v="4"/>
    <n v="9"/>
    <n v="0"/>
  </r>
  <r>
    <n v="15"/>
    <x v="0"/>
    <n v="2.7"/>
    <s v="Both"/>
    <n v="8.5"/>
    <n v="0.8"/>
    <n v="2.91"/>
    <n v="1.3"/>
    <s v="low"/>
    <n v="6"/>
    <n v="3"/>
    <n v="1"/>
    <n v="0"/>
  </r>
  <r>
    <n v="15"/>
    <x v="0"/>
    <n v="4.5"/>
    <s v="Both"/>
    <n v="5.4"/>
    <n v="1.2"/>
    <n v="3.76"/>
    <n v="1.7"/>
    <s v="high"/>
    <n v="1"/>
    <n v="8"/>
    <n v="7"/>
    <n v="0"/>
  </r>
  <r>
    <n v="15"/>
    <x v="0"/>
    <n v="5"/>
    <s v="Instagram"/>
    <n v="7.6"/>
    <n v="1.8"/>
    <n v="2.52"/>
    <n v="1.4"/>
    <s v="high"/>
    <n v="1"/>
    <n v="4"/>
    <n v="3"/>
    <n v="0"/>
  </r>
  <r>
    <n v="15"/>
    <x v="0"/>
    <n v="5.2"/>
    <s v="TikTok"/>
    <n v="5.6"/>
    <n v="1.5"/>
    <n v="3.13"/>
    <n v="0.1"/>
    <s v="low"/>
    <n v="7"/>
    <n v="9"/>
    <n v="4"/>
    <n v="1"/>
  </r>
  <r>
    <n v="15"/>
    <x v="0"/>
    <n v="6.2"/>
    <s v="Both"/>
    <n v="5.2"/>
    <n v="1"/>
    <n v="3.94"/>
    <n v="1.4"/>
    <s v="low"/>
    <n v="5"/>
    <n v="2"/>
    <n v="7"/>
    <n v="0"/>
  </r>
  <r>
    <n v="15"/>
    <x v="0"/>
    <n v="5.5"/>
    <s v="Both"/>
    <n v="7.3"/>
    <n v="2.5"/>
    <n v="3.67"/>
    <n v="0.5"/>
    <s v="low"/>
    <n v="4"/>
    <n v="3"/>
    <n v="6"/>
    <n v="0"/>
  </r>
  <r>
    <n v="15"/>
    <x v="0"/>
    <n v="8"/>
    <s v="Both"/>
    <n v="5.7"/>
    <n v="1.3"/>
    <n v="3.54"/>
    <n v="0.1"/>
    <s v="high"/>
    <n v="9"/>
    <n v="7"/>
    <n v="5"/>
    <n v="1"/>
  </r>
  <r>
    <n v="15"/>
    <x v="0"/>
    <n v="5.7"/>
    <s v="Instagram"/>
    <n v="8.4"/>
    <n v="1.3"/>
    <n v="2.48"/>
    <n v="0.9"/>
    <s v="high"/>
    <n v="5"/>
    <n v="2"/>
    <n v="4"/>
    <n v="0"/>
  </r>
  <r>
    <n v="15"/>
    <x v="0"/>
    <n v="4.2"/>
    <s v="TikTok"/>
    <n v="5.5"/>
    <n v="1.3"/>
    <n v="3.49"/>
    <n v="0.5"/>
    <s v="low"/>
    <n v="2"/>
    <n v="5"/>
    <n v="2"/>
    <n v="0"/>
  </r>
  <r>
    <n v="15"/>
    <x v="0"/>
    <n v="7.3"/>
    <s v="TikTok"/>
    <n v="7.3"/>
    <n v="2.8"/>
    <n v="2.46"/>
    <n v="0.3"/>
    <s v="low"/>
    <n v="2"/>
    <n v="7"/>
    <n v="5"/>
    <n v="0"/>
  </r>
  <r>
    <n v="15"/>
    <x v="0"/>
    <n v="3.1"/>
    <s v="Both"/>
    <n v="4.2"/>
    <n v="2.1"/>
    <n v="3.21"/>
    <n v="1.1000000000000001"/>
    <s v="medium"/>
    <n v="8"/>
    <n v="2"/>
    <n v="10"/>
    <n v="0"/>
  </r>
  <r>
    <n v="15"/>
    <x v="0"/>
    <n v="8"/>
    <s v="Instagram"/>
    <n v="4.4000000000000004"/>
    <n v="0.7"/>
    <n v="2.62"/>
    <n v="1.6"/>
    <s v="high"/>
    <n v="6"/>
    <n v="7"/>
    <n v="2"/>
    <n v="0"/>
  </r>
  <r>
    <n v="15"/>
    <x v="0"/>
    <n v="1.1000000000000001"/>
    <s v="Instagram"/>
    <n v="4.5999999999999996"/>
    <n v="1.8"/>
    <n v="2.35"/>
    <n v="1.1000000000000001"/>
    <s v="medium"/>
    <n v="10"/>
    <n v="6"/>
    <n v="6"/>
    <n v="0"/>
  </r>
  <r>
    <n v="15"/>
    <x v="0"/>
    <n v="2.7"/>
    <s v="Both"/>
    <n v="7.8"/>
    <n v="1.8"/>
    <n v="3.9"/>
    <n v="1.4"/>
    <s v="low"/>
    <n v="5"/>
    <n v="8"/>
    <n v="9"/>
    <n v="0"/>
  </r>
  <r>
    <n v="15"/>
    <x v="0"/>
    <n v="2.9"/>
    <s v="TikTok"/>
    <n v="6.4"/>
    <n v="0.7"/>
    <n v="3.41"/>
    <n v="1.6"/>
    <s v="low"/>
    <n v="3"/>
    <n v="10"/>
    <n v="7"/>
    <n v="0"/>
  </r>
  <r>
    <n v="15"/>
    <x v="0"/>
    <n v="1.3"/>
    <s v="TikTok"/>
    <n v="7.6"/>
    <n v="0.6"/>
    <n v="3.46"/>
    <n v="1.9"/>
    <s v="low"/>
    <n v="1"/>
    <n v="1"/>
    <n v="4"/>
    <n v="0"/>
  </r>
  <r>
    <n v="15"/>
    <x v="0"/>
    <n v="6.4"/>
    <s v="Instagram"/>
    <n v="5.9"/>
    <n v="1.6"/>
    <n v="3.97"/>
    <n v="1"/>
    <s v="high"/>
    <n v="10"/>
    <n v="2"/>
    <n v="6"/>
    <n v="0"/>
  </r>
  <r>
    <n v="15"/>
    <x v="0"/>
    <n v="4.4000000000000004"/>
    <s v="TikTok"/>
    <n v="5.3"/>
    <n v="0.9"/>
    <n v="3.75"/>
    <n v="0.5"/>
    <s v="high"/>
    <n v="10"/>
    <n v="5"/>
    <n v="5"/>
    <n v="0"/>
  </r>
  <r>
    <n v="15"/>
    <x v="0"/>
    <n v="3.1"/>
    <s v="TikTok"/>
    <n v="4.2"/>
    <n v="2.4"/>
    <n v="3.41"/>
    <n v="0.2"/>
    <s v="low"/>
    <n v="3"/>
    <n v="7"/>
    <n v="5"/>
    <n v="0"/>
  </r>
  <r>
    <n v="15"/>
    <x v="0"/>
    <n v="2.8"/>
    <s v="Instagram"/>
    <n v="7.7"/>
    <n v="1"/>
    <n v="3.73"/>
    <n v="0.5"/>
    <s v="medium"/>
    <n v="6"/>
    <n v="10"/>
    <n v="1"/>
    <n v="0"/>
  </r>
  <r>
    <n v="15"/>
    <x v="0"/>
    <n v="4.8"/>
    <s v="TikTok"/>
    <n v="7.3"/>
    <n v="1.9"/>
    <n v="2.76"/>
    <n v="0.9"/>
    <s v="high"/>
    <n v="2"/>
    <n v="10"/>
    <n v="1"/>
    <n v="0"/>
  </r>
  <r>
    <n v="15"/>
    <x v="0"/>
    <n v="3.9"/>
    <s v="Both"/>
    <n v="8.6999999999999993"/>
    <n v="1.1000000000000001"/>
    <n v="2.82"/>
    <n v="0.3"/>
    <s v="high"/>
    <n v="5"/>
    <n v="10"/>
    <n v="6"/>
    <n v="0"/>
  </r>
  <r>
    <n v="15"/>
    <x v="0"/>
    <n v="4.2"/>
    <s v="TikTok"/>
    <n v="6.8"/>
    <n v="1.4"/>
    <n v="2.0099999999999998"/>
    <n v="1"/>
    <s v="low"/>
    <n v="6"/>
    <n v="6"/>
    <n v="4"/>
    <n v="0"/>
  </r>
  <r>
    <n v="15"/>
    <x v="0"/>
    <n v="2.7"/>
    <s v="TikTok"/>
    <n v="7.6"/>
    <n v="2.5"/>
    <n v="2.37"/>
    <n v="1.9"/>
    <s v="high"/>
    <n v="1"/>
    <n v="8"/>
    <n v="7"/>
    <n v="0"/>
  </r>
  <r>
    <n v="15"/>
    <x v="0"/>
    <n v="3.3"/>
    <s v="Instagram"/>
    <n v="6.5"/>
    <n v="1.3"/>
    <n v="2.44"/>
    <n v="0.3"/>
    <s v="medium"/>
    <n v="7"/>
    <n v="6"/>
    <n v="7"/>
    <n v="0"/>
  </r>
  <r>
    <n v="15"/>
    <x v="0"/>
    <n v="7.3"/>
    <s v="Both"/>
    <n v="7.6"/>
    <n v="1.9"/>
    <n v="2.31"/>
    <n v="0.8"/>
    <s v="medium"/>
    <n v="8"/>
    <n v="7"/>
    <n v="5"/>
    <n v="0"/>
  </r>
  <r>
    <n v="15"/>
    <x v="0"/>
    <n v="4.5999999999999996"/>
    <s v="TikTok"/>
    <n v="5.3"/>
    <n v="3"/>
    <n v="3.25"/>
    <n v="0.2"/>
    <s v="low"/>
    <n v="1"/>
    <n v="8"/>
    <n v="7"/>
    <n v="0"/>
  </r>
  <r>
    <n v="15"/>
    <x v="0"/>
    <n v="2.6"/>
    <s v="Both"/>
    <n v="7.9"/>
    <n v="1.8"/>
    <n v="3.91"/>
    <n v="0.5"/>
    <s v="medium"/>
    <n v="4"/>
    <n v="5"/>
    <n v="6"/>
    <n v="0"/>
  </r>
  <r>
    <n v="15"/>
    <x v="0"/>
    <n v="1.8"/>
    <s v="Instagram"/>
    <n v="5.5"/>
    <n v="1.6"/>
    <n v="3.29"/>
    <n v="1.3"/>
    <s v="medium"/>
    <n v="6"/>
    <n v="5"/>
    <n v="9"/>
    <n v="0"/>
  </r>
  <r>
    <n v="15"/>
    <x v="0"/>
    <n v="7.4"/>
    <s v="Both"/>
    <n v="8.4"/>
    <n v="1.9"/>
    <n v="3.73"/>
    <n v="0.8"/>
    <s v="high"/>
    <n v="9"/>
    <n v="9"/>
    <n v="4"/>
    <n v="0"/>
  </r>
  <r>
    <n v="15"/>
    <x v="0"/>
    <n v="3"/>
    <s v="TikTok"/>
    <n v="6.6"/>
    <n v="0.9"/>
    <n v="2.69"/>
    <n v="1.8"/>
    <s v="medium"/>
    <n v="1"/>
    <n v="2"/>
    <n v="2"/>
    <n v="0"/>
  </r>
  <r>
    <n v="15"/>
    <x v="0"/>
    <n v="5.6"/>
    <s v="Both"/>
    <n v="5.9"/>
    <n v="2"/>
    <n v="2.97"/>
    <n v="0.6"/>
    <s v="low"/>
    <n v="9"/>
    <n v="3"/>
    <n v="3"/>
    <n v="0"/>
  </r>
  <r>
    <n v="15"/>
    <x v="0"/>
    <n v="5.7"/>
    <s v="Instagram"/>
    <n v="7.2"/>
    <n v="2.4"/>
    <n v="2.1800000000000002"/>
    <n v="1.6"/>
    <s v="medium"/>
    <n v="5"/>
    <n v="1"/>
    <n v="7"/>
    <n v="0"/>
  </r>
  <r>
    <n v="15"/>
    <x v="0"/>
    <n v="5"/>
    <s v="TikTok"/>
    <n v="6.3"/>
    <n v="1.5"/>
    <n v="2.67"/>
    <n v="1.1000000000000001"/>
    <s v="high"/>
    <n v="6"/>
    <n v="2"/>
    <n v="5"/>
    <n v="0"/>
  </r>
  <r>
    <n v="15"/>
    <x v="0"/>
    <n v="7.3"/>
    <s v="Instagram"/>
    <n v="4.0999999999999996"/>
    <n v="2.1"/>
    <n v="2.87"/>
    <n v="0.4"/>
    <s v="low"/>
    <n v="10"/>
    <n v="10"/>
    <n v="1"/>
    <n v="1"/>
  </r>
  <r>
    <n v="15"/>
    <x v="0"/>
    <n v="2.2000000000000002"/>
    <s v="Instagram"/>
    <n v="7.5"/>
    <n v="1.4"/>
    <n v="3.19"/>
    <n v="1.8"/>
    <s v="low"/>
    <n v="6"/>
    <n v="1"/>
    <n v="7"/>
    <n v="0"/>
  </r>
  <r>
    <n v="15"/>
    <x v="0"/>
    <n v="5.5"/>
    <s v="Both"/>
    <n v="4"/>
    <n v="2.4"/>
    <n v="3.01"/>
    <n v="0.9"/>
    <s v="low"/>
    <n v="10"/>
    <n v="3"/>
    <n v="2"/>
    <n v="0"/>
  </r>
  <r>
    <n v="15"/>
    <x v="0"/>
    <n v="3.6"/>
    <s v="TikTok"/>
    <n v="7.1"/>
    <n v="0.9"/>
    <n v="2.84"/>
    <n v="0.3"/>
    <s v="low"/>
    <n v="1"/>
    <n v="9"/>
    <n v="4"/>
    <n v="0"/>
  </r>
  <r>
    <n v="15"/>
    <x v="0"/>
    <n v="7.3"/>
    <s v="Both"/>
    <n v="5.7"/>
    <n v="2.9"/>
    <n v="3.48"/>
    <n v="1.8"/>
    <s v="medium"/>
    <n v="2"/>
    <n v="7"/>
    <n v="8"/>
    <n v="0"/>
  </r>
  <r>
    <n v="15"/>
    <x v="0"/>
    <n v="6.4"/>
    <s v="Both"/>
    <n v="7.7"/>
    <n v="0.7"/>
    <n v="3.86"/>
    <n v="1.5"/>
    <s v="high"/>
    <n v="10"/>
    <n v="2"/>
    <n v="7"/>
    <n v="0"/>
  </r>
  <r>
    <n v="15"/>
    <x v="0"/>
    <n v="7.8"/>
    <s v="Instagram"/>
    <n v="4.5999999999999996"/>
    <n v="3"/>
    <n v="2.44"/>
    <n v="1.4"/>
    <s v="medium"/>
    <n v="8"/>
    <n v="10"/>
    <n v="6"/>
    <n v="1"/>
  </r>
  <r>
    <n v="15"/>
    <x v="0"/>
    <n v="5.2"/>
    <s v="TikTok"/>
    <n v="7.5"/>
    <n v="1.1000000000000001"/>
    <n v="3.61"/>
    <n v="0.1"/>
    <s v="low"/>
    <n v="4"/>
    <n v="6"/>
    <n v="7"/>
    <n v="0"/>
  </r>
  <r>
    <n v="15"/>
    <x v="0"/>
    <n v="3.5"/>
    <s v="Instagram"/>
    <n v="8"/>
    <n v="1.9"/>
    <n v="3.45"/>
    <n v="1.5"/>
    <s v="high"/>
    <n v="10"/>
    <n v="4"/>
    <n v="1"/>
    <n v="0"/>
  </r>
  <r>
    <n v="15"/>
    <x v="0"/>
    <n v="1.1000000000000001"/>
    <s v="Instagram"/>
    <n v="9"/>
    <n v="1.2"/>
    <n v="2.9"/>
    <n v="1.8"/>
    <s v="medium"/>
    <n v="5"/>
    <n v="10"/>
    <n v="2"/>
    <n v="0"/>
  </r>
  <r>
    <n v="15"/>
    <x v="0"/>
    <n v="1.7"/>
    <s v="Instagram"/>
    <n v="5.3"/>
    <n v="1.5"/>
    <n v="3.6"/>
    <n v="1.5"/>
    <s v="high"/>
    <n v="6"/>
    <n v="4"/>
    <n v="3"/>
    <n v="0"/>
  </r>
  <r>
    <n v="15"/>
    <x v="0"/>
    <n v="5.2"/>
    <s v="Instagram"/>
    <n v="6.7"/>
    <n v="3"/>
    <n v="3.18"/>
    <n v="0.6"/>
    <s v="low"/>
    <n v="9"/>
    <n v="7"/>
    <n v="9"/>
    <n v="0"/>
  </r>
  <r>
    <n v="15"/>
    <x v="0"/>
    <n v="7.4"/>
    <s v="TikTok"/>
    <n v="8.6"/>
    <n v="1.4"/>
    <n v="2.19"/>
    <n v="1.8"/>
    <s v="low"/>
    <n v="10"/>
    <n v="10"/>
    <n v="1"/>
    <n v="0"/>
  </r>
  <r>
    <n v="15"/>
    <x v="0"/>
    <n v="7.4"/>
    <s v="TikTok"/>
    <n v="8.9"/>
    <n v="2.9"/>
    <n v="3.39"/>
    <n v="1.1000000000000001"/>
    <s v="high"/>
    <n v="4"/>
    <n v="9"/>
    <n v="1"/>
    <n v="0"/>
  </r>
  <r>
    <n v="15"/>
    <x v="0"/>
    <n v="1.1000000000000001"/>
    <s v="TikTok"/>
    <n v="8.6"/>
    <n v="2.2999999999999998"/>
    <n v="3.68"/>
    <n v="0.5"/>
    <s v="low"/>
    <n v="1"/>
    <n v="2"/>
    <n v="7"/>
    <n v="0"/>
  </r>
  <r>
    <n v="15"/>
    <x v="0"/>
    <n v="7.9"/>
    <s v="TikTok"/>
    <n v="4.7"/>
    <n v="1.5"/>
    <n v="3.3"/>
    <n v="0"/>
    <s v="low"/>
    <n v="5"/>
    <n v="8"/>
    <n v="5"/>
    <n v="0"/>
  </r>
  <r>
    <n v="16"/>
    <x v="0"/>
    <n v="6.7"/>
    <s v="Both"/>
    <n v="6.8"/>
    <n v="1.9"/>
    <n v="3.08"/>
    <n v="1.4"/>
    <s v="high"/>
    <n v="10"/>
    <n v="9"/>
    <n v="1"/>
    <n v="0"/>
  </r>
  <r>
    <n v="16"/>
    <x v="0"/>
    <n v="3.4"/>
    <s v="TikTok"/>
    <n v="7.8"/>
    <n v="2.8"/>
    <n v="3.83"/>
    <n v="1.8"/>
    <s v="medium"/>
    <n v="6"/>
    <n v="6"/>
    <n v="4"/>
    <n v="0"/>
  </r>
  <r>
    <n v="16"/>
    <x v="0"/>
    <n v="3.1"/>
    <s v="TikTok"/>
    <n v="5"/>
    <n v="1.1000000000000001"/>
    <n v="2.73"/>
    <n v="1.6"/>
    <s v="low"/>
    <n v="2"/>
    <n v="8"/>
    <n v="1"/>
    <n v="0"/>
  </r>
  <r>
    <n v="16"/>
    <x v="0"/>
    <n v="2"/>
    <s v="Instagram"/>
    <n v="8.6999999999999993"/>
    <n v="1.2"/>
    <n v="3"/>
    <n v="0"/>
    <s v="low"/>
    <n v="8"/>
    <n v="8"/>
    <n v="4"/>
    <n v="0"/>
  </r>
  <r>
    <n v="16"/>
    <x v="0"/>
    <n v="2.6"/>
    <s v="Both"/>
    <n v="8.6"/>
    <n v="1.3"/>
    <n v="3.64"/>
    <n v="1.6"/>
    <s v="high"/>
    <n v="5"/>
    <n v="3"/>
    <n v="1"/>
    <n v="0"/>
  </r>
  <r>
    <n v="16"/>
    <x v="0"/>
    <n v="2.6"/>
    <s v="TikTok"/>
    <n v="8.8000000000000007"/>
    <n v="1.7"/>
    <n v="2.39"/>
    <n v="1"/>
    <s v="medium"/>
    <n v="5"/>
    <n v="2"/>
    <n v="6"/>
    <n v="0"/>
  </r>
  <r>
    <n v="16"/>
    <x v="0"/>
    <n v="6.1"/>
    <s v="Both"/>
    <n v="8.8000000000000007"/>
    <n v="1.7"/>
    <n v="3.55"/>
    <n v="1.3"/>
    <s v="medium"/>
    <n v="6"/>
    <n v="10"/>
    <n v="9"/>
    <n v="0"/>
  </r>
  <r>
    <n v="16"/>
    <x v="0"/>
    <n v="6.8"/>
    <s v="TikTok"/>
    <n v="7.2"/>
    <n v="2.5"/>
    <n v="3.61"/>
    <n v="0.5"/>
    <s v="medium"/>
    <n v="10"/>
    <n v="1"/>
    <n v="9"/>
    <n v="0"/>
  </r>
  <r>
    <n v="16"/>
    <x v="0"/>
    <n v="4.2"/>
    <s v="Both"/>
    <n v="7.3"/>
    <n v="1.1000000000000001"/>
    <n v="3.1"/>
    <n v="1.6"/>
    <s v="medium"/>
    <n v="1"/>
    <n v="6"/>
    <n v="2"/>
    <n v="0"/>
  </r>
  <r>
    <n v="16"/>
    <x v="0"/>
    <n v="3.8"/>
    <s v="TikTok"/>
    <n v="6"/>
    <n v="3"/>
    <n v="2.1"/>
    <n v="0.2"/>
    <s v="low"/>
    <n v="7"/>
    <n v="9"/>
    <n v="1"/>
    <n v="0"/>
  </r>
  <r>
    <n v="16"/>
    <x v="0"/>
    <n v="4"/>
    <s v="Instagram"/>
    <n v="7.9"/>
    <n v="1.9"/>
    <n v="2.56"/>
    <n v="0.1"/>
    <s v="high"/>
    <n v="4"/>
    <n v="9"/>
    <n v="9"/>
    <n v="0"/>
  </r>
  <r>
    <n v="16"/>
    <x v="0"/>
    <n v="2.5"/>
    <s v="TikTok"/>
    <n v="8.9"/>
    <n v="2.9"/>
    <n v="2.5299999999999998"/>
    <n v="0.1"/>
    <s v="high"/>
    <n v="8"/>
    <n v="7"/>
    <n v="3"/>
    <n v="0"/>
  </r>
  <r>
    <n v="16"/>
    <x v="0"/>
    <n v="2.4"/>
    <s v="Both"/>
    <n v="6.2"/>
    <n v="1.6"/>
    <n v="2.38"/>
    <n v="0"/>
    <s v="medium"/>
    <n v="8"/>
    <n v="4"/>
    <n v="10"/>
    <n v="0"/>
  </r>
  <r>
    <n v="16"/>
    <x v="0"/>
    <n v="7.8"/>
    <s v="TikTok"/>
    <n v="4.7"/>
    <n v="2.1"/>
    <n v="2.48"/>
    <n v="2"/>
    <s v="low"/>
    <n v="8"/>
    <n v="3"/>
    <n v="1"/>
    <n v="0"/>
  </r>
  <r>
    <n v="16"/>
    <x v="0"/>
    <n v="6.1"/>
    <s v="Instagram"/>
    <n v="8.1"/>
    <n v="1.4"/>
    <n v="3.27"/>
    <n v="1.6"/>
    <s v="low"/>
    <n v="10"/>
    <n v="1"/>
    <n v="4"/>
    <n v="0"/>
  </r>
  <r>
    <n v="16"/>
    <x v="0"/>
    <n v="1.4"/>
    <s v="Both"/>
    <n v="5.2"/>
    <n v="1.7"/>
    <n v="3.82"/>
    <n v="0.7"/>
    <s v="low"/>
    <n v="10"/>
    <n v="4"/>
    <n v="3"/>
    <n v="0"/>
  </r>
  <r>
    <n v="16"/>
    <x v="0"/>
    <n v="7.3"/>
    <s v="Both"/>
    <n v="7.2"/>
    <n v="0.5"/>
    <n v="2.78"/>
    <n v="1.9"/>
    <s v="low"/>
    <n v="7"/>
    <n v="3"/>
    <n v="9"/>
    <n v="0"/>
  </r>
  <r>
    <n v="16"/>
    <x v="0"/>
    <n v="5.7"/>
    <s v="Both"/>
    <n v="4.2"/>
    <n v="1.4"/>
    <n v="2.56"/>
    <n v="0.1"/>
    <s v="high"/>
    <n v="4"/>
    <n v="3"/>
    <n v="1"/>
    <n v="0"/>
  </r>
  <r>
    <n v="16"/>
    <x v="0"/>
    <n v="4.3"/>
    <s v="Instagram"/>
    <n v="6"/>
    <n v="1.4"/>
    <n v="2.98"/>
    <n v="1.7"/>
    <s v="low"/>
    <n v="8"/>
    <n v="7"/>
    <n v="4"/>
    <n v="0"/>
  </r>
  <r>
    <n v="16"/>
    <x v="0"/>
    <n v="2.9"/>
    <s v="TikTok"/>
    <n v="6.3"/>
    <n v="3"/>
    <n v="2.6"/>
    <n v="0.4"/>
    <s v="medium"/>
    <n v="9"/>
    <n v="7"/>
    <n v="3"/>
    <n v="0"/>
  </r>
  <r>
    <n v="16"/>
    <x v="0"/>
    <n v="6.5"/>
    <s v="TikTok"/>
    <n v="5.3"/>
    <n v="1.8"/>
    <n v="2.29"/>
    <n v="0.2"/>
    <s v="high"/>
    <n v="4"/>
    <n v="10"/>
    <n v="2"/>
    <n v="0"/>
  </r>
  <r>
    <n v="16"/>
    <x v="0"/>
    <n v="7.5"/>
    <s v="TikTok"/>
    <n v="7.8"/>
    <n v="1.3"/>
    <n v="2.73"/>
    <n v="1.5"/>
    <s v="medium"/>
    <n v="4"/>
    <n v="5"/>
    <n v="8"/>
    <n v="0"/>
  </r>
  <r>
    <n v="16"/>
    <x v="0"/>
    <n v="3.1"/>
    <s v="Instagram"/>
    <n v="7.9"/>
    <n v="1.2"/>
    <n v="2.85"/>
    <n v="0.7"/>
    <s v="high"/>
    <n v="2"/>
    <n v="2"/>
    <n v="5"/>
    <n v="0"/>
  </r>
  <r>
    <n v="16"/>
    <x v="0"/>
    <n v="7.8"/>
    <s v="Both"/>
    <n v="7.4"/>
    <n v="0.7"/>
    <n v="2.54"/>
    <n v="1.2"/>
    <s v="medium"/>
    <n v="10"/>
    <n v="4"/>
    <n v="9"/>
    <n v="0"/>
  </r>
  <r>
    <n v="16"/>
    <x v="0"/>
    <n v="1"/>
    <s v="Both"/>
    <n v="4.0999999999999996"/>
    <n v="1.3"/>
    <n v="2.2200000000000002"/>
    <n v="0.4"/>
    <s v="low"/>
    <n v="2"/>
    <n v="1"/>
    <n v="8"/>
    <n v="0"/>
  </r>
  <r>
    <n v="16"/>
    <x v="0"/>
    <n v="6.3"/>
    <s v="Instagram"/>
    <n v="6.9"/>
    <n v="1.3"/>
    <n v="2.15"/>
    <n v="1.4"/>
    <s v="low"/>
    <n v="9"/>
    <n v="2"/>
    <n v="10"/>
    <n v="0"/>
  </r>
  <r>
    <n v="16"/>
    <x v="0"/>
    <n v="1.3"/>
    <s v="Instagram"/>
    <n v="4.9000000000000004"/>
    <n v="2.6"/>
    <n v="2.89"/>
    <n v="0.2"/>
    <s v="low"/>
    <n v="2"/>
    <n v="5"/>
    <n v="2"/>
    <n v="0"/>
  </r>
  <r>
    <n v="16"/>
    <x v="0"/>
    <n v="4.8"/>
    <s v="Instagram"/>
    <n v="6.7"/>
    <n v="1.4"/>
    <n v="2.44"/>
    <n v="0.3"/>
    <s v="low"/>
    <n v="1"/>
    <n v="3"/>
    <n v="1"/>
    <n v="0"/>
  </r>
  <r>
    <n v="16"/>
    <x v="0"/>
    <n v="5.2"/>
    <s v="Both"/>
    <n v="4"/>
    <n v="2.4"/>
    <n v="2.35"/>
    <n v="1.6"/>
    <s v="low"/>
    <n v="10"/>
    <n v="5"/>
    <n v="2"/>
    <n v="0"/>
  </r>
  <r>
    <n v="16"/>
    <x v="0"/>
    <n v="2.1"/>
    <s v="TikTok"/>
    <n v="8.1999999999999993"/>
    <n v="2.4"/>
    <n v="3.25"/>
    <n v="0.1"/>
    <s v="high"/>
    <n v="1"/>
    <n v="1"/>
    <n v="8"/>
    <n v="0"/>
  </r>
  <r>
    <n v="16"/>
    <x v="0"/>
    <n v="6.4"/>
    <s v="TikTok"/>
    <n v="5.9"/>
    <n v="2.8"/>
    <n v="3.81"/>
    <n v="1.3"/>
    <s v="high"/>
    <n v="1"/>
    <n v="3"/>
    <n v="7"/>
    <n v="0"/>
  </r>
  <r>
    <n v="16"/>
    <x v="0"/>
    <n v="2.8"/>
    <s v="TikTok"/>
    <n v="7.1"/>
    <n v="1.4"/>
    <n v="3.85"/>
    <n v="0.4"/>
    <s v="high"/>
    <n v="7"/>
    <n v="9"/>
    <n v="8"/>
    <n v="0"/>
  </r>
  <r>
    <n v="16"/>
    <x v="0"/>
    <n v="1.5"/>
    <s v="Instagram"/>
    <n v="8"/>
    <n v="0.7"/>
    <n v="2.1800000000000002"/>
    <n v="0.6"/>
    <s v="medium"/>
    <n v="4"/>
    <n v="7"/>
    <n v="5"/>
    <n v="0"/>
  </r>
  <r>
    <n v="16"/>
    <x v="0"/>
    <n v="3.5"/>
    <s v="Both"/>
    <n v="4.2"/>
    <n v="1.5"/>
    <n v="3.98"/>
    <n v="0.4"/>
    <s v="medium"/>
    <n v="1"/>
    <n v="7"/>
    <n v="2"/>
    <n v="0"/>
  </r>
  <r>
    <n v="16"/>
    <x v="0"/>
    <n v="7.4"/>
    <s v="TikTok"/>
    <n v="5.5"/>
    <n v="1.8"/>
    <n v="2.13"/>
    <n v="0.3"/>
    <s v="high"/>
    <n v="7"/>
    <n v="9"/>
    <n v="9"/>
    <n v="1"/>
  </r>
  <r>
    <n v="16"/>
    <x v="0"/>
    <n v="5.6"/>
    <s v="TikTok"/>
    <n v="7.9"/>
    <n v="2"/>
    <n v="3.91"/>
    <n v="0.6"/>
    <s v="medium"/>
    <n v="7"/>
    <n v="3"/>
    <n v="10"/>
    <n v="0"/>
  </r>
  <r>
    <n v="16"/>
    <x v="0"/>
    <n v="5.2"/>
    <s v="TikTok"/>
    <n v="8.1"/>
    <n v="2.1"/>
    <n v="2.67"/>
    <n v="1.7"/>
    <s v="medium"/>
    <n v="9"/>
    <n v="10"/>
    <n v="10"/>
    <n v="0"/>
  </r>
  <r>
    <n v="16"/>
    <x v="0"/>
    <n v="7.1"/>
    <s v="TikTok"/>
    <n v="8.8000000000000007"/>
    <n v="1.8"/>
    <n v="3.99"/>
    <n v="0.8"/>
    <s v="low"/>
    <n v="6"/>
    <n v="10"/>
    <n v="8"/>
    <n v="0"/>
  </r>
  <r>
    <n v="16"/>
    <x v="0"/>
    <n v="3.8"/>
    <s v="TikTok"/>
    <n v="5.3"/>
    <n v="1.5"/>
    <n v="2.04"/>
    <n v="1.5"/>
    <s v="high"/>
    <n v="5"/>
    <n v="10"/>
    <n v="5"/>
    <n v="0"/>
  </r>
  <r>
    <n v="16"/>
    <x v="0"/>
    <n v="6"/>
    <s v="Both"/>
    <n v="8.6999999999999993"/>
    <n v="1.5"/>
    <n v="3.76"/>
    <n v="0.1"/>
    <s v="medium"/>
    <n v="2"/>
    <n v="5"/>
    <n v="4"/>
    <n v="0"/>
  </r>
  <r>
    <n v="16"/>
    <x v="0"/>
    <n v="3.6"/>
    <s v="Instagram"/>
    <n v="6.1"/>
    <n v="2.8"/>
    <n v="3.8"/>
    <n v="0.1"/>
    <s v="high"/>
    <n v="2"/>
    <n v="1"/>
    <n v="7"/>
    <n v="0"/>
  </r>
  <r>
    <n v="16"/>
    <x v="0"/>
    <n v="5.3"/>
    <s v="Both"/>
    <n v="5.6"/>
    <n v="2.5"/>
    <n v="2.73"/>
    <n v="1.3"/>
    <s v="medium"/>
    <n v="7"/>
    <n v="10"/>
    <n v="4"/>
    <n v="1"/>
  </r>
  <r>
    <n v="16"/>
    <x v="0"/>
    <n v="7.4"/>
    <s v="Instagram"/>
    <n v="7.4"/>
    <n v="0.9"/>
    <n v="3.7"/>
    <n v="1.3"/>
    <s v="medium"/>
    <n v="10"/>
    <n v="6"/>
    <n v="2"/>
    <n v="0"/>
  </r>
  <r>
    <n v="16"/>
    <x v="0"/>
    <n v="2.8"/>
    <s v="TikTok"/>
    <n v="7.4"/>
    <n v="2"/>
    <n v="3.4"/>
    <n v="1.6"/>
    <s v="low"/>
    <n v="4"/>
    <n v="1"/>
    <n v="1"/>
    <n v="0"/>
  </r>
  <r>
    <n v="16"/>
    <x v="0"/>
    <n v="3.4"/>
    <s v="Instagram"/>
    <n v="5.3"/>
    <n v="1.8"/>
    <n v="3.33"/>
    <n v="0.3"/>
    <s v="low"/>
    <n v="9"/>
    <n v="2"/>
    <n v="4"/>
    <n v="0"/>
  </r>
  <r>
    <n v="16"/>
    <x v="0"/>
    <n v="4"/>
    <s v="TikTok"/>
    <n v="5.4"/>
    <n v="2.7"/>
    <n v="2.88"/>
    <n v="1.2"/>
    <s v="medium"/>
    <n v="4"/>
    <n v="10"/>
    <n v="1"/>
    <n v="0"/>
  </r>
  <r>
    <n v="16"/>
    <x v="0"/>
    <n v="2.5"/>
    <s v="Instagram"/>
    <n v="5.4"/>
    <n v="2.2999999999999998"/>
    <n v="3.43"/>
    <n v="0.5"/>
    <s v="high"/>
    <n v="9"/>
    <n v="1"/>
    <n v="2"/>
    <n v="0"/>
  </r>
  <r>
    <n v="16"/>
    <x v="0"/>
    <n v="3.2"/>
    <s v="Both"/>
    <n v="4.5999999999999996"/>
    <n v="2.5"/>
    <n v="2.62"/>
    <n v="1.8"/>
    <s v="low"/>
    <n v="9"/>
    <n v="5"/>
    <n v="1"/>
    <n v="0"/>
  </r>
  <r>
    <n v="16"/>
    <x v="0"/>
    <n v="4.8"/>
    <s v="Both"/>
    <n v="5.0999999999999996"/>
    <n v="2.1"/>
    <n v="2.4900000000000002"/>
    <n v="1.6"/>
    <s v="low"/>
    <n v="4"/>
    <n v="9"/>
    <n v="1"/>
    <n v="0"/>
  </r>
  <r>
    <n v="16"/>
    <x v="0"/>
    <n v="7.6"/>
    <s v="TikTok"/>
    <n v="4.2"/>
    <n v="2.8"/>
    <n v="3.87"/>
    <n v="0.7"/>
    <s v="high"/>
    <n v="10"/>
    <n v="2"/>
    <n v="9"/>
    <n v="0"/>
  </r>
  <r>
    <n v="16"/>
    <x v="0"/>
    <n v="7.8"/>
    <s v="TikTok"/>
    <n v="4.7"/>
    <n v="1.1000000000000001"/>
    <n v="3.53"/>
    <n v="2"/>
    <s v="medium"/>
    <n v="9"/>
    <n v="3"/>
    <n v="8"/>
    <n v="0"/>
  </r>
  <r>
    <n v="16"/>
    <x v="0"/>
    <n v="7.4"/>
    <s v="TikTok"/>
    <n v="4.5999999999999996"/>
    <n v="1"/>
    <n v="2.23"/>
    <n v="1.1000000000000001"/>
    <s v="low"/>
    <n v="2"/>
    <n v="4"/>
    <n v="5"/>
    <n v="0"/>
  </r>
  <r>
    <n v="16"/>
    <x v="0"/>
    <n v="3.6"/>
    <s v="Both"/>
    <n v="4.4000000000000004"/>
    <n v="2.4"/>
    <n v="2.5299999999999998"/>
    <n v="0.7"/>
    <s v="medium"/>
    <n v="1"/>
    <n v="7"/>
    <n v="5"/>
    <n v="0"/>
  </r>
  <r>
    <n v="16"/>
    <x v="0"/>
    <n v="5.3"/>
    <s v="TikTok"/>
    <n v="4.3"/>
    <n v="1.5"/>
    <n v="2.54"/>
    <n v="0.3"/>
    <s v="high"/>
    <n v="7"/>
    <n v="7"/>
    <n v="10"/>
    <n v="1"/>
  </r>
  <r>
    <n v="16"/>
    <x v="0"/>
    <n v="4.2"/>
    <s v="TikTok"/>
    <n v="6.3"/>
    <n v="1.2"/>
    <n v="3.72"/>
    <n v="1.9"/>
    <s v="low"/>
    <n v="5"/>
    <n v="3"/>
    <n v="7"/>
    <n v="0"/>
  </r>
  <r>
    <n v="16"/>
    <x v="0"/>
    <n v="7.7"/>
    <s v="Instagram"/>
    <n v="4.7"/>
    <n v="2.9"/>
    <n v="2.17"/>
    <n v="1.2"/>
    <s v="medium"/>
    <n v="5"/>
    <n v="7"/>
    <n v="6"/>
    <n v="0"/>
  </r>
  <r>
    <n v="16"/>
    <x v="0"/>
    <n v="3.5"/>
    <s v="TikTok"/>
    <n v="6.1"/>
    <n v="2.7"/>
    <n v="3.83"/>
    <n v="0.1"/>
    <s v="medium"/>
    <n v="4"/>
    <n v="5"/>
    <n v="10"/>
    <n v="0"/>
  </r>
  <r>
    <n v="16"/>
    <x v="0"/>
    <n v="2.1"/>
    <s v="Instagram"/>
    <n v="4.8"/>
    <n v="1.3"/>
    <n v="2.29"/>
    <n v="1.8"/>
    <s v="high"/>
    <n v="6"/>
    <n v="9"/>
    <n v="2"/>
    <n v="0"/>
  </r>
  <r>
    <n v="16"/>
    <x v="0"/>
    <n v="1.4"/>
    <s v="Both"/>
    <n v="5.7"/>
    <n v="1.8"/>
    <n v="2"/>
    <n v="1.4"/>
    <s v="low"/>
    <n v="4"/>
    <n v="8"/>
    <n v="7"/>
    <n v="0"/>
  </r>
  <r>
    <n v="16"/>
    <x v="0"/>
    <n v="6.9"/>
    <s v="Instagram"/>
    <n v="5.8"/>
    <n v="0.6"/>
    <n v="3.65"/>
    <n v="0.5"/>
    <s v="high"/>
    <n v="10"/>
    <n v="8"/>
    <n v="10"/>
    <n v="1"/>
  </r>
  <r>
    <n v="16"/>
    <x v="0"/>
    <n v="2.5"/>
    <s v="TikTok"/>
    <n v="8.9"/>
    <n v="1.2"/>
    <n v="3.33"/>
    <n v="1.5"/>
    <s v="high"/>
    <n v="4"/>
    <n v="4"/>
    <n v="10"/>
    <n v="0"/>
  </r>
  <r>
    <n v="16"/>
    <x v="0"/>
    <n v="6.6"/>
    <s v="Instagram"/>
    <n v="6.1"/>
    <n v="1.7"/>
    <n v="2.67"/>
    <n v="1.8"/>
    <s v="low"/>
    <n v="10"/>
    <n v="8"/>
    <n v="2"/>
    <n v="0"/>
  </r>
  <r>
    <n v="16"/>
    <x v="0"/>
    <n v="6"/>
    <s v="Both"/>
    <n v="4.0999999999999996"/>
    <n v="2.4"/>
    <n v="2.61"/>
    <n v="1.1000000000000001"/>
    <s v="high"/>
    <n v="1"/>
    <n v="6"/>
    <n v="3"/>
    <n v="0"/>
  </r>
  <r>
    <n v="16"/>
    <x v="0"/>
    <n v="2.1"/>
    <s v="Both"/>
    <n v="4.5999999999999996"/>
    <n v="2"/>
    <n v="2.5499999999999998"/>
    <n v="1.8"/>
    <s v="high"/>
    <n v="5"/>
    <n v="4"/>
    <n v="4"/>
    <n v="0"/>
  </r>
  <r>
    <n v="16"/>
    <x v="0"/>
    <n v="3.6"/>
    <s v="TikTok"/>
    <n v="8.8000000000000007"/>
    <n v="1.2"/>
    <n v="2.3199999999999998"/>
    <n v="0.5"/>
    <s v="low"/>
    <n v="2"/>
    <n v="4"/>
    <n v="5"/>
    <n v="0"/>
  </r>
  <r>
    <n v="16"/>
    <x v="0"/>
    <n v="7.5"/>
    <s v="Both"/>
    <n v="4"/>
    <n v="0.5"/>
    <n v="3.72"/>
    <n v="1.1000000000000001"/>
    <s v="medium"/>
    <n v="4"/>
    <n v="5"/>
    <n v="7"/>
    <n v="0"/>
  </r>
  <r>
    <n v="16"/>
    <x v="0"/>
    <n v="6.8"/>
    <s v="TikTok"/>
    <n v="7.1"/>
    <n v="2.9"/>
    <n v="3.26"/>
    <n v="0.6"/>
    <s v="low"/>
    <n v="6"/>
    <n v="10"/>
    <n v="4"/>
    <n v="0"/>
  </r>
  <r>
    <n v="16"/>
    <x v="0"/>
    <n v="7.6"/>
    <s v="TikTok"/>
    <n v="7.6"/>
    <n v="2.4"/>
    <n v="2.2400000000000002"/>
    <n v="1.1000000000000001"/>
    <s v="medium"/>
    <n v="1"/>
    <n v="5"/>
    <n v="5"/>
    <n v="0"/>
  </r>
  <r>
    <n v="16"/>
    <x v="0"/>
    <n v="6.8"/>
    <s v="Instagram"/>
    <n v="7.2"/>
    <n v="1.1000000000000001"/>
    <n v="2.29"/>
    <n v="1.9"/>
    <s v="low"/>
    <n v="8"/>
    <n v="5"/>
    <n v="9"/>
    <n v="0"/>
  </r>
  <r>
    <n v="16"/>
    <x v="0"/>
    <n v="5.9"/>
    <s v="TikTok"/>
    <n v="7"/>
    <n v="0.8"/>
    <n v="2.29"/>
    <n v="1.6"/>
    <s v="low"/>
    <n v="6"/>
    <n v="8"/>
    <n v="1"/>
    <n v="0"/>
  </r>
  <r>
    <n v="16"/>
    <x v="0"/>
    <n v="3.7"/>
    <s v="TikTok"/>
    <n v="9"/>
    <n v="1.5"/>
    <n v="3.37"/>
    <n v="1.9"/>
    <s v="low"/>
    <n v="4"/>
    <n v="3"/>
    <n v="1"/>
    <n v="0"/>
  </r>
  <r>
    <n v="16"/>
    <x v="0"/>
    <n v="4.4000000000000004"/>
    <s v="Both"/>
    <n v="4.2"/>
    <n v="2"/>
    <n v="3.89"/>
    <n v="1.1000000000000001"/>
    <s v="medium"/>
    <n v="2"/>
    <n v="9"/>
    <n v="8"/>
    <n v="0"/>
  </r>
  <r>
    <n v="16"/>
    <x v="0"/>
    <n v="7.9"/>
    <s v="Instagram"/>
    <n v="6.3"/>
    <n v="2.7"/>
    <n v="2.88"/>
    <n v="0.2"/>
    <s v="high"/>
    <n v="2"/>
    <n v="7"/>
    <n v="5"/>
    <n v="0"/>
  </r>
  <r>
    <n v="16"/>
    <x v="0"/>
    <n v="6.1"/>
    <s v="Both"/>
    <n v="7.5"/>
    <n v="2.5"/>
    <n v="3.14"/>
    <n v="0.5"/>
    <s v="low"/>
    <n v="9"/>
    <n v="6"/>
    <n v="10"/>
    <n v="0"/>
  </r>
  <r>
    <n v="16"/>
    <x v="0"/>
    <n v="6.5"/>
    <s v="TikTok"/>
    <n v="4.5999999999999996"/>
    <n v="1.8"/>
    <n v="2.2000000000000002"/>
    <n v="1.2"/>
    <s v="low"/>
    <n v="7"/>
    <n v="4"/>
    <n v="4"/>
    <n v="0"/>
  </r>
  <r>
    <n v="16"/>
    <x v="0"/>
    <n v="5.5"/>
    <s v="Both"/>
    <n v="5.8"/>
    <n v="2.5"/>
    <n v="2.34"/>
    <n v="1"/>
    <s v="low"/>
    <n v="5"/>
    <n v="2"/>
    <n v="8"/>
    <n v="0"/>
  </r>
  <r>
    <n v="16"/>
    <x v="0"/>
    <n v="4.7"/>
    <s v="TikTok"/>
    <n v="6.5"/>
    <n v="1"/>
    <n v="2.91"/>
    <n v="0.9"/>
    <s v="medium"/>
    <n v="5"/>
    <n v="7"/>
    <n v="3"/>
    <n v="0"/>
  </r>
  <r>
    <n v="17"/>
    <x v="0"/>
    <n v="1.3"/>
    <s v="Instagram"/>
    <n v="7.6"/>
    <n v="0.5"/>
    <n v="3.92"/>
    <n v="0"/>
    <s v="high"/>
    <n v="2"/>
    <n v="4"/>
    <n v="2"/>
    <n v="0"/>
  </r>
  <r>
    <n v="17"/>
    <x v="0"/>
    <n v="6.8"/>
    <s v="TikTok"/>
    <n v="5.7"/>
    <n v="1.1000000000000001"/>
    <n v="3.29"/>
    <n v="1.3"/>
    <s v="medium"/>
    <n v="1"/>
    <n v="10"/>
    <n v="10"/>
    <n v="0"/>
  </r>
  <r>
    <n v="17"/>
    <x v="0"/>
    <n v="5"/>
    <s v="Both"/>
    <n v="4.9000000000000004"/>
    <n v="2.1"/>
    <n v="2.0099999999999998"/>
    <n v="1"/>
    <s v="low"/>
    <n v="9"/>
    <n v="4"/>
    <n v="9"/>
    <n v="0"/>
  </r>
  <r>
    <n v="17"/>
    <x v="0"/>
    <n v="4.8"/>
    <s v="Instagram"/>
    <n v="4.4000000000000004"/>
    <n v="1.3"/>
    <n v="2.02"/>
    <n v="0.5"/>
    <s v="low"/>
    <n v="5"/>
    <n v="10"/>
    <n v="6"/>
    <n v="0"/>
  </r>
  <r>
    <n v="17"/>
    <x v="0"/>
    <n v="1.3"/>
    <s v="TikTok"/>
    <n v="8"/>
    <n v="2"/>
    <n v="2.84"/>
    <n v="1.8"/>
    <s v="high"/>
    <n v="1"/>
    <n v="7"/>
    <n v="8"/>
    <n v="0"/>
  </r>
  <r>
    <n v="17"/>
    <x v="0"/>
    <n v="6.3"/>
    <s v="Instagram"/>
    <n v="4"/>
    <n v="1"/>
    <n v="2.4300000000000002"/>
    <n v="1.2"/>
    <s v="high"/>
    <n v="1"/>
    <n v="10"/>
    <n v="9"/>
    <n v="0"/>
  </r>
  <r>
    <n v="17"/>
    <x v="0"/>
    <n v="7.1"/>
    <s v="Instagram"/>
    <n v="5.6"/>
    <n v="0.6"/>
    <n v="3.07"/>
    <n v="1"/>
    <s v="medium"/>
    <n v="1"/>
    <n v="3"/>
    <n v="7"/>
    <n v="0"/>
  </r>
  <r>
    <n v="17"/>
    <x v="0"/>
    <n v="6.9"/>
    <s v="Instagram"/>
    <n v="8.1999999999999993"/>
    <n v="0.8"/>
    <n v="2.36"/>
    <n v="0"/>
    <s v="medium"/>
    <n v="10"/>
    <n v="10"/>
    <n v="7"/>
    <n v="0"/>
  </r>
  <r>
    <n v="17"/>
    <x v="0"/>
    <n v="5"/>
    <s v="Both"/>
    <n v="9"/>
    <n v="2.5"/>
    <n v="3.4"/>
    <n v="0.9"/>
    <s v="high"/>
    <n v="8"/>
    <n v="10"/>
    <n v="5"/>
    <n v="0"/>
  </r>
  <r>
    <n v="17"/>
    <x v="0"/>
    <n v="5.4"/>
    <s v="Both"/>
    <n v="5.7"/>
    <n v="2.5"/>
    <n v="3.13"/>
    <n v="1.9"/>
    <s v="medium"/>
    <n v="5"/>
    <n v="10"/>
    <n v="3"/>
    <n v="0"/>
  </r>
  <r>
    <n v="17"/>
    <x v="0"/>
    <n v="5.6"/>
    <s v="Instagram"/>
    <n v="5.3"/>
    <n v="1.7"/>
    <n v="2.77"/>
    <n v="0.9"/>
    <s v="medium"/>
    <n v="8"/>
    <n v="4"/>
    <n v="8"/>
    <n v="0"/>
  </r>
  <r>
    <n v="17"/>
    <x v="0"/>
    <n v="4.7"/>
    <s v="Instagram"/>
    <n v="4.7"/>
    <n v="2.4"/>
    <n v="3.94"/>
    <n v="0"/>
    <s v="medium"/>
    <n v="10"/>
    <n v="5"/>
    <n v="8"/>
    <n v="0"/>
  </r>
  <r>
    <n v="17"/>
    <x v="0"/>
    <n v="5.6"/>
    <s v="TikTok"/>
    <n v="6.8"/>
    <n v="2"/>
    <n v="2.2200000000000002"/>
    <n v="1"/>
    <s v="medium"/>
    <n v="6"/>
    <n v="9"/>
    <n v="8"/>
    <n v="0"/>
  </r>
  <r>
    <n v="17"/>
    <x v="0"/>
    <n v="5.2"/>
    <s v="Both"/>
    <n v="6"/>
    <n v="0.6"/>
    <n v="3.07"/>
    <n v="0.6"/>
    <s v="medium"/>
    <n v="6"/>
    <n v="2"/>
    <n v="9"/>
    <n v="0"/>
  </r>
  <r>
    <n v="17"/>
    <x v="0"/>
    <n v="4.0999999999999996"/>
    <s v="Instagram"/>
    <n v="8.6"/>
    <n v="3"/>
    <n v="2.77"/>
    <n v="0.1"/>
    <s v="medium"/>
    <n v="3"/>
    <n v="6"/>
    <n v="1"/>
    <n v="0"/>
  </r>
  <r>
    <n v="17"/>
    <x v="0"/>
    <n v="3.2"/>
    <s v="TikTok"/>
    <n v="4.2"/>
    <n v="0.6"/>
    <n v="2.21"/>
    <n v="1.4"/>
    <s v="medium"/>
    <n v="6"/>
    <n v="6"/>
    <n v="3"/>
    <n v="0"/>
  </r>
  <r>
    <n v="17"/>
    <x v="0"/>
    <n v="6"/>
    <s v="Both"/>
    <n v="8.8000000000000007"/>
    <n v="1.3"/>
    <n v="4"/>
    <n v="0.9"/>
    <s v="medium"/>
    <n v="8"/>
    <n v="10"/>
    <n v="7"/>
    <n v="0"/>
  </r>
  <r>
    <n v="17"/>
    <x v="0"/>
    <n v="2.1"/>
    <s v="Both"/>
    <n v="7.8"/>
    <n v="2.1"/>
    <n v="3.29"/>
    <n v="1.5"/>
    <s v="low"/>
    <n v="8"/>
    <n v="1"/>
    <n v="7"/>
    <n v="0"/>
  </r>
  <r>
    <n v="17"/>
    <x v="0"/>
    <n v="3.9"/>
    <s v="Instagram"/>
    <n v="8.1999999999999993"/>
    <n v="1.3"/>
    <n v="3.21"/>
    <n v="1.8"/>
    <s v="medium"/>
    <n v="3"/>
    <n v="7"/>
    <n v="7"/>
    <n v="0"/>
  </r>
  <r>
    <n v="17"/>
    <x v="0"/>
    <n v="1.4"/>
    <s v="Instagram"/>
    <n v="6.9"/>
    <n v="2.4"/>
    <n v="3.06"/>
    <n v="1.9"/>
    <s v="medium"/>
    <n v="4"/>
    <n v="10"/>
    <n v="8"/>
    <n v="0"/>
  </r>
  <r>
    <n v="17"/>
    <x v="0"/>
    <n v="6.6"/>
    <s v="Instagram"/>
    <n v="8"/>
    <n v="2.2000000000000002"/>
    <n v="2.21"/>
    <n v="1"/>
    <s v="high"/>
    <n v="10"/>
    <n v="8"/>
    <n v="10"/>
    <n v="0"/>
  </r>
  <r>
    <n v="17"/>
    <x v="0"/>
    <n v="5.4"/>
    <s v="Both"/>
    <n v="6.3"/>
    <n v="2.8"/>
    <n v="3.06"/>
    <n v="0.8"/>
    <s v="low"/>
    <n v="3"/>
    <n v="7"/>
    <n v="9"/>
    <n v="0"/>
  </r>
  <r>
    <n v="17"/>
    <x v="0"/>
    <n v="7.5"/>
    <s v="Instagram"/>
    <n v="5.9"/>
    <n v="2.9"/>
    <n v="3.71"/>
    <n v="1.7"/>
    <s v="low"/>
    <n v="3"/>
    <n v="1"/>
    <n v="10"/>
    <n v="0"/>
  </r>
  <r>
    <n v="17"/>
    <x v="0"/>
    <n v="1.7"/>
    <s v="Both"/>
    <n v="6.3"/>
    <n v="1.5"/>
    <n v="2.66"/>
    <n v="1.8"/>
    <s v="low"/>
    <n v="1"/>
    <n v="4"/>
    <n v="10"/>
    <n v="0"/>
  </r>
  <r>
    <n v="17"/>
    <x v="0"/>
    <n v="6.2"/>
    <s v="Both"/>
    <n v="5.0999999999999996"/>
    <n v="2"/>
    <n v="3.82"/>
    <n v="1.7"/>
    <s v="medium"/>
    <n v="7"/>
    <n v="3"/>
    <n v="5"/>
    <n v="0"/>
  </r>
  <r>
    <n v="17"/>
    <x v="0"/>
    <n v="6.5"/>
    <s v="TikTok"/>
    <n v="6.4"/>
    <n v="0.7"/>
    <n v="3.57"/>
    <n v="1.1000000000000001"/>
    <s v="low"/>
    <n v="2"/>
    <n v="9"/>
    <n v="6"/>
    <n v="0"/>
  </r>
  <r>
    <n v="17"/>
    <x v="0"/>
    <n v="7.3"/>
    <s v="Instagram"/>
    <n v="6.2"/>
    <n v="1"/>
    <n v="2.02"/>
    <n v="0.2"/>
    <s v="low"/>
    <n v="1"/>
    <n v="6"/>
    <n v="3"/>
    <n v="0"/>
  </r>
  <r>
    <n v="17"/>
    <x v="0"/>
    <n v="5.3"/>
    <s v="Instagram"/>
    <n v="7.4"/>
    <n v="1.2"/>
    <n v="3.41"/>
    <n v="1.1000000000000001"/>
    <s v="high"/>
    <n v="6"/>
    <n v="3"/>
    <n v="7"/>
    <n v="0"/>
  </r>
  <r>
    <n v="17"/>
    <x v="0"/>
    <n v="3"/>
    <s v="Instagram"/>
    <n v="6.9"/>
    <n v="2.2999999999999998"/>
    <n v="3.34"/>
    <n v="0.6"/>
    <s v="low"/>
    <n v="5"/>
    <n v="2"/>
    <n v="9"/>
    <n v="0"/>
  </r>
  <r>
    <n v="17"/>
    <x v="0"/>
    <n v="3.7"/>
    <s v="TikTok"/>
    <n v="5.3"/>
    <n v="0.7"/>
    <n v="2.09"/>
    <n v="0.8"/>
    <s v="high"/>
    <n v="8"/>
    <n v="8"/>
    <n v="10"/>
    <n v="0"/>
  </r>
  <r>
    <n v="17"/>
    <x v="0"/>
    <n v="1.1000000000000001"/>
    <s v="Instagram"/>
    <n v="9"/>
    <n v="2.9"/>
    <n v="2.74"/>
    <n v="1"/>
    <s v="medium"/>
    <n v="2"/>
    <n v="8"/>
    <n v="2"/>
    <n v="0"/>
  </r>
  <r>
    <n v="17"/>
    <x v="0"/>
    <n v="4.4000000000000004"/>
    <s v="Instagram"/>
    <n v="6"/>
    <n v="1.2"/>
    <n v="2.48"/>
    <n v="0.9"/>
    <s v="medium"/>
    <n v="6"/>
    <n v="2"/>
    <n v="6"/>
    <n v="0"/>
  </r>
  <r>
    <n v="17"/>
    <x v="0"/>
    <n v="7.5"/>
    <s v="TikTok"/>
    <n v="6.7"/>
    <n v="1.1000000000000001"/>
    <n v="3.77"/>
    <n v="0.6"/>
    <s v="high"/>
    <n v="3"/>
    <n v="8"/>
    <n v="6"/>
    <n v="0"/>
  </r>
  <r>
    <n v="17"/>
    <x v="0"/>
    <n v="2.7"/>
    <s v="Instagram"/>
    <n v="5.4"/>
    <n v="2.6"/>
    <n v="2.0699999999999998"/>
    <n v="0"/>
    <s v="medium"/>
    <n v="6"/>
    <n v="5"/>
    <n v="6"/>
    <n v="0"/>
  </r>
  <r>
    <n v="17"/>
    <x v="0"/>
    <n v="4.5"/>
    <s v="Both"/>
    <n v="7.3"/>
    <n v="0.9"/>
    <n v="2.34"/>
    <n v="0.9"/>
    <s v="medium"/>
    <n v="7"/>
    <n v="3"/>
    <n v="8"/>
    <n v="0"/>
  </r>
  <r>
    <n v="17"/>
    <x v="0"/>
    <n v="3.2"/>
    <s v="Instagram"/>
    <n v="6.2"/>
    <n v="2.2000000000000002"/>
    <n v="2.96"/>
    <n v="1.6"/>
    <s v="low"/>
    <n v="8"/>
    <n v="10"/>
    <n v="9"/>
    <n v="0"/>
  </r>
  <r>
    <n v="17"/>
    <x v="0"/>
    <n v="3.3"/>
    <s v="Instagram"/>
    <n v="8.6"/>
    <n v="1.1000000000000001"/>
    <n v="2.62"/>
    <n v="0.4"/>
    <s v="low"/>
    <n v="4"/>
    <n v="7"/>
    <n v="9"/>
    <n v="0"/>
  </r>
  <r>
    <n v="17"/>
    <x v="0"/>
    <n v="7.6"/>
    <s v="Instagram"/>
    <n v="5.9"/>
    <n v="2"/>
    <n v="2.52"/>
    <n v="1.5"/>
    <s v="medium"/>
    <n v="1"/>
    <n v="5"/>
    <n v="1"/>
    <n v="0"/>
  </r>
  <r>
    <n v="17"/>
    <x v="0"/>
    <n v="2.2999999999999998"/>
    <s v="TikTok"/>
    <n v="6.4"/>
    <n v="2.4"/>
    <n v="3.61"/>
    <n v="0.6"/>
    <s v="medium"/>
    <n v="2"/>
    <n v="1"/>
    <n v="1"/>
    <n v="0"/>
  </r>
  <r>
    <n v="17"/>
    <x v="0"/>
    <n v="3.3"/>
    <s v="TikTok"/>
    <n v="8.4"/>
    <n v="2.1"/>
    <n v="3.4"/>
    <n v="0.2"/>
    <s v="high"/>
    <n v="1"/>
    <n v="3"/>
    <n v="10"/>
    <n v="0"/>
  </r>
  <r>
    <n v="17"/>
    <x v="0"/>
    <n v="8"/>
    <s v="Instagram"/>
    <n v="8.1"/>
    <n v="1.2"/>
    <n v="2.13"/>
    <n v="1"/>
    <s v="low"/>
    <n v="1"/>
    <n v="8"/>
    <n v="7"/>
    <n v="0"/>
  </r>
  <r>
    <n v="17"/>
    <x v="0"/>
    <n v="2.8"/>
    <s v="Both"/>
    <n v="6.2"/>
    <n v="2.4"/>
    <n v="2.58"/>
    <n v="0.4"/>
    <s v="high"/>
    <n v="4"/>
    <n v="10"/>
    <n v="9"/>
    <n v="0"/>
  </r>
  <r>
    <n v="17"/>
    <x v="0"/>
    <n v="7.2"/>
    <s v="TikTok"/>
    <n v="7"/>
    <n v="1.3"/>
    <n v="3.86"/>
    <n v="0.9"/>
    <s v="low"/>
    <n v="7"/>
    <n v="8"/>
    <n v="4"/>
    <n v="0"/>
  </r>
  <r>
    <n v="17"/>
    <x v="0"/>
    <n v="5.8"/>
    <s v="Instagram"/>
    <n v="4.0999999999999996"/>
    <n v="2.9"/>
    <n v="2.33"/>
    <n v="0.4"/>
    <s v="high"/>
    <n v="9"/>
    <n v="6"/>
    <n v="8"/>
    <n v="0"/>
  </r>
  <r>
    <n v="17"/>
    <x v="0"/>
    <n v="5.5"/>
    <s v="Instagram"/>
    <n v="4.9000000000000004"/>
    <n v="2.6"/>
    <n v="3.64"/>
    <n v="0.8"/>
    <s v="medium"/>
    <n v="6"/>
    <n v="8"/>
    <n v="3"/>
    <n v="0"/>
  </r>
  <r>
    <n v="17"/>
    <x v="0"/>
    <n v="2.2000000000000002"/>
    <s v="Both"/>
    <n v="7.5"/>
    <n v="2.2000000000000002"/>
    <n v="2.95"/>
    <n v="1.6"/>
    <s v="low"/>
    <n v="9"/>
    <n v="7"/>
    <n v="4"/>
    <n v="0"/>
  </r>
  <r>
    <n v="17"/>
    <x v="0"/>
    <n v="1.8"/>
    <s v="TikTok"/>
    <n v="5.9"/>
    <n v="1.9"/>
    <n v="2.89"/>
    <n v="0.6"/>
    <s v="low"/>
    <n v="8"/>
    <n v="8"/>
    <n v="5"/>
    <n v="0"/>
  </r>
  <r>
    <n v="17"/>
    <x v="0"/>
    <n v="6.4"/>
    <s v="TikTok"/>
    <n v="4.9000000000000004"/>
    <n v="2.1"/>
    <n v="2.78"/>
    <n v="1"/>
    <s v="high"/>
    <n v="2"/>
    <n v="2"/>
    <n v="6"/>
    <n v="0"/>
  </r>
  <r>
    <n v="17"/>
    <x v="0"/>
    <n v="2.2000000000000002"/>
    <s v="TikTok"/>
    <n v="6.5"/>
    <n v="3"/>
    <n v="2.4900000000000002"/>
    <n v="0.2"/>
    <s v="medium"/>
    <n v="5"/>
    <n v="8"/>
    <n v="4"/>
    <n v="0"/>
  </r>
  <r>
    <n v="17"/>
    <x v="0"/>
    <n v="6.6"/>
    <s v="Both"/>
    <n v="7.4"/>
    <n v="2.2000000000000002"/>
    <n v="2.63"/>
    <n v="0.6"/>
    <s v="high"/>
    <n v="7"/>
    <n v="4"/>
    <n v="9"/>
    <n v="0"/>
  </r>
  <r>
    <n v="17"/>
    <x v="0"/>
    <n v="1.3"/>
    <s v="Instagram"/>
    <n v="5.0999999999999996"/>
    <n v="2.2000000000000002"/>
    <n v="3.44"/>
    <n v="0.6"/>
    <s v="high"/>
    <n v="7"/>
    <n v="8"/>
    <n v="6"/>
    <n v="0"/>
  </r>
  <r>
    <n v="17"/>
    <x v="0"/>
    <n v="6.7"/>
    <s v="Both"/>
    <n v="7.9"/>
    <n v="1.4"/>
    <n v="3.91"/>
    <n v="0.4"/>
    <s v="high"/>
    <n v="3"/>
    <n v="3"/>
    <n v="1"/>
    <n v="0"/>
  </r>
  <r>
    <n v="17"/>
    <x v="0"/>
    <n v="2.2000000000000002"/>
    <s v="Both"/>
    <n v="7.2"/>
    <n v="0.5"/>
    <n v="2.38"/>
    <n v="1.2"/>
    <s v="medium"/>
    <n v="10"/>
    <n v="4"/>
    <n v="8"/>
    <n v="0"/>
  </r>
  <r>
    <n v="17"/>
    <x v="0"/>
    <n v="1.1000000000000001"/>
    <s v="TikTok"/>
    <n v="6.8"/>
    <n v="0.6"/>
    <n v="2.2799999999999998"/>
    <n v="1.6"/>
    <s v="medium"/>
    <n v="9"/>
    <n v="3"/>
    <n v="7"/>
    <n v="0"/>
  </r>
  <r>
    <n v="17"/>
    <x v="0"/>
    <n v="5.0999999999999996"/>
    <s v="TikTok"/>
    <n v="8.6"/>
    <n v="1.9"/>
    <n v="3.33"/>
    <n v="1.1000000000000001"/>
    <s v="low"/>
    <n v="1"/>
    <n v="7"/>
    <n v="8"/>
    <n v="0"/>
  </r>
  <r>
    <n v="17"/>
    <x v="0"/>
    <n v="5"/>
    <s v="TikTok"/>
    <n v="7.3"/>
    <n v="1.9"/>
    <n v="3.83"/>
    <n v="0.4"/>
    <s v="high"/>
    <n v="8"/>
    <n v="9"/>
    <n v="9"/>
    <n v="0"/>
  </r>
  <r>
    <n v="17"/>
    <x v="0"/>
    <n v="5.3"/>
    <s v="Both"/>
    <n v="6.8"/>
    <n v="1.9"/>
    <n v="3.39"/>
    <n v="1.6"/>
    <s v="low"/>
    <n v="10"/>
    <n v="6"/>
    <n v="8"/>
    <n v="0"/>
  </r>
  <r>
    <n v="17"/>
    <x v="0"/>
    <n v="7.3"/>
    <s v="Both"/>
    <n v="7.8"/>
    <n v="1.1000000000000001"/>
    <n v="2.0299999999999998"/>
    <n v="1.1000000000000001"/>
    <s v="low"/>
    <n v="3"/>
    <n v="10"/>
    <n v="6"/>
    <n v="0"/>
  </r>
  <r>
    <n v="17"/>
    <x v="0"/>
    <n v="2.9"/>
    <s v="Both"/>
    <n v="7.5"/>
    <n v="1.4"/>
    <n v="3.42"/>
    <n v="1.7"/>
    <s v="low"/>
    <n v="5"/>
    <n v="6"/>
    <n v="3"/>
    <n v="0"/>
  </r>
  <r>
    <n v="17"/>
    <x v="0"/>
    <n v="6.9"/>
    <s v="TikTok"/>
    <n v="6.1"/>
    <n v="2.4"/>
    <n v="3.77"/>
    <n v="1.1000000000000001"/>
    <s v="medium"/>
    <n v="9"/>
    <n v="4"/>
    <n v="9"/>
    <n v="0"/>
  </r>
  <r>
    <n v="17"/>
    <x v="0"/>
    <n v="2.2999999999999998"/>
    <s v="Instagram"/>
    <n v="4.9000000000000004"/>
    <n v="1.7"/>
    <n v="2.0699999999999998"/>
    <n v="0.3"/>
    <s v="medium"/>
    <n v="3"/>
    <n v="7"/>
    <n v="7"/>
    <n v="0"/>
  </r>
  <r>
    <n v="17"/>
    <x v="0"/>
    <n v="7.5"/>
    <s v="Both"/>
    <n v="4.7"/>
    <n v="2.1"/>
    <n v="2.5499999999999998"/>
    <n v="0.1"/>
    <s v="high"/>
    <n v="3"/>
    <n v="9"/>
    <n v="1"/>
    <n v="0"/>
  </r>
  <r>
    <n v="17"/>
    <x v="0"/>
    <n v="5.5"/>
    <s v="Instagram"/>
    <n v="6.3"/>
    <n v="0.8"/>
    <n v="2.59"/>
    <n v="1.6"/>
    <s v="high"/>
    <n v="6"/>
    <n v="8"/>
    <n v="7"/>
    <n v="0"/>
  </r>
  <r>
    <n v="17"/>
    <x v="0"/>
    <n v="3.7"/>
    <s v="Instagram"/>
    <n v="6.3"/>
    <n v="1.3"/>
    <n v="2.7"/>
    <n v="1.1000000000000001"/>
    <s v="medium"/>
    <n v="2"/>
    <n v="6"/>
    <n v="9"/>
    <n v="0"/>
  </r>
  <r>
    <n v="17"/>
    <x v="0"/>
    <n v="7"/>
    <s v="TikTok"/>
    <n v="8.9"/>
    <n v="0.6"/>
    <n v="3.67"/>
    <n v="0.2"/>
    <s v="medium"/>
    <n v="9"/>
    <n v="2"/>
    <n v="4"/>
    <n v="0"/>
  </r>
  <r>
    <n v="17"/>
    <x v="0"/>
    <n v="5.4"/>
    <s v="TikTok"/>
    <n v="7.1"/>
    <n v="2.5"/>
    <n v="2.68"/>
    <n v="1.6"/>
    <s v="low"/>
    <n v="3"/>
    <n v="5"/>
    <n v="7"/>
    <n v="0"/>
  </r>
  <r>
    <n v="17"/>
    <x v="0"/>
    <n v="1.1000000000000001"/>
    <s v="TikTok"/>
    <n v="8.1999999999999993"/>
    <n v="2.7"/>
    <n v="2.84"/>
    <n v="0.2"/>
    <s v="high"/>
    <n v="2"/>
    <n v="4"/>
    <n v="1"/>
    <n v="0"/>
  </r>
  <r>
    <n v="17"/>
    <x v="0"/>
    <n v="1.1000000000000001"/>
    <s v="TikTok"/>
    <n v="4.5999999999999996"/>
    <n v="2.5"/>
    <n v="3.93"/>
    <n v="0.3"/>
    <s v="high"/>
    <n v="10"/>
    <n v="6"/>
    <n v="2"/>
    <n v="0"/>
  </r>
  <r>
    <n v="17"/>
    <x v="0"/>
    <n v="6.2"/>
    <s v="Both"/>
    <n v="6.1"/>
    <n v="2.4"/>
    <n v="3.05"/>
    <n v="1.8"/>
    <s v="high"/>
    <n v="3"/>
    <n v="6"/>
    <n v="8"/>
    <n v="0"/>
  </r>
  <r>
    <n v="17"/>
    <x v="0"/>
    <n v="2.6"/>
    <s v="TikTok"/>
    <n v="4.2"/>
    <n v="0.7"/>
    <n v="3.02"/>
    <n v="1.6"/>
    <s v="low"/>
    <n v="7"/>
    <n v="4"/>
    <n v="7"/>
    <n v="0"/>
  </r>
  <r>
    <n v="17"/>
    <x v="0"/>
    <n v="6.7"/>
    <s v="Instagram"/>
    <n v="4.3"/>
    <n v="0.6"/>
    <n v="3.76"/>
    <n v="0"/>
    <s v="low"/>
    <n v="2"/>
    <n v="1"/>
    <n v="7"/>
    <n v="0"/>
  </r>
  <r>
    <n v="17"/>
    <x v="0"/>
    <n v="2.7"/>
    <s v="TikTok"/>
    <n v="6.6"/>
    <n v="1.6"/>
    <n v="3.36"/>
    <n v="1.6"/>
    <s v="high"/>
    <n v="3"/>
    <n v="1"/>
    <n v="2"/>
    <n v="0"/>
  </r>
  <r>
    <n v="17"/>
    <x v="0"/>
    <n v="7.5"/>
    <s v="TikTok"/>
    <n v="5.4"/>
    <n v="2.2999999999999998"/>
    <n v="3.44"/>
    <n v="0.4"/>
    <s v="medium"/>
    <n v="7"/>
    <n v="9"/>
    <n v="7"/>
    <n v="1"/>
  </r>
  <r>
    <n v="17"/>
    <x v="0"/>
    <n v="1.1000000000000001"/>
    <s v="Both"/>
    <n v="8.6999999999999993"/>
    <n v="2.1"/>
    <n v="3.01"/>
    <n v="0.7"/>
    <s v="medium"/>
    <n v="1"/>
    <n v="1"/>
    <n v="3"/>
    <n v="0"/>
  </r>
  <r>
    <n v="17"/>
    <x v="0"/>
    <n v="2.6"/>
    <s v="TikTok"/>
    <n v="4.8"/>
    <n v="0.7"/>
    <n v="2.52"/>
    <n v="1.8"/>
    <s v="medium"/>
    <n v="9"/>
    <n v="6"/>
    <n v="6"/>
    <n v="0"/>
  </r>
  <r>
    <n v="17"/>
    <x v="0"/>
    <n v="7.5"/>
    <s v="Both"/>
    <n v="8.1"/>
    <n v="2.8"/>
    <n v="2.58"/>
    <n v="0.5"/>
    <s v="medium"/>
    <n v="2"/>
    <n v="2"/>
    <n v="3"/>
    <n v="0"/>
  </r>
  <r>
    <n v="17"/>
    <x v="0"/>
    <n v="2.5"/>
    <s v="Instagram"/>
    <n v="4.4000000000000004"/>
    <n v="2"/>
    <n v="3.29"/>
    <n v="0.7"/>
    <s v="low"/>
    <n v="4"/>
    <n v="6"/>
    <n v="5"/>
    <n v="0"/>
  </r>
  <r>
    <n v="17"/>
    <x v="0"/>
    <n v="7.6"/>
    <s v="Instagram"/>
    <n v="7.3"/>
    <n v="1.9"/>
    <n v="3.05"/>
    <n v="1.1000000000000001"/>
    <s v="medium"/>
    <n v="10"/>
    <n v="8"/>
    <n v="1"/>
    <n v="0"/>
  </r>
  <r>
    <n v="17"/>
    <x v="0"/>
    <n v="2.9"/>
    <s v="TikTok"/>
    <n v="4.5"/>
    <n v="0.9"/>
    <n v="3.71"/>
    <n v="0.1"/>
    <s v="low"/>
    <n v="1"/>
    <n v="6"/>
    <n v="4"/>
    <n v="0"/>
  </r>
  <r>
    <n v="17"/>
    <x v="0"/>
    <n v="7.2"/>
    <s v="TikTok"/>
    <n v="8.1999999999999993"/>
    <n v="2.9"/>
    <n v="3.69"/>
    <n v="1"/>
    <s v="high"/>
    <n v="6"/>
    <n v="2"/>
    <n v="5"/>
    <n v="0"/>
  </r>
  <r>
    <n v="17"/>
    <x v="0"/>
    <n v="3.5"/>
    <s v="Both"/>
    <n v="8.5"/>
    <n v="2.2000000000000002"/>
    <n v="2.11"/>
    <n v="1.3"/>
    <s v="medium"/>
    <n v="8"/>
    <n v="8"/>
    <n v="2"/>
    <n v="0"/>
  </r>
  <r>
    <n v="17"/>
    <x v="0"/>
    <n v="4"/>
    <s v="Instagram"/>
    <n v="6.7"/>
    <n v="0.6"/>
    <n v="2.5099999999999998"/>
    <n v="1.5"/>
    <s v="high"/>
    <n v="9"/>
    <n v="8"/>
    <n v="5"/>
    <n v="0"/>
  </r>
  <r>
    <n v="17"/>
    <x v="0"/>
    <n v="2.6"/>
    <s v="Instagram"/>
    <n v="6.5"/>
    <n v="1.5"/>
    <n v="3.8"/>
    <n v="0.2"/>
    <s v="high"/>
    <n v="8"/>
    <n v="6"/>
    <n v="1"/>
    <n v="0"/>
  </r>
  <r>
    <n v="17"/>
    <x v="0"/>
    <n v="5.3"/>
    <s v="Instagram"/>
    <n v="6.6"/>
    <n v="0.6"/>
    <n v="3.04"/>
    <n v="0.1"/>
    <s v="high"/>
    <n v="3"/>
    <n v="7"/>
    <n v="1"/>
    <n v="0"/>
  </r>
  <r>
    <n v="17"/>
    <x v="0"/>
    <n v="7.6"/>
    <s v="Instagram"/>
    <n v="7.3"/>
    <n v="2.9"/>
    <n v="2.99"/>
    <n v="1.2"/>
    <s v="high"/>
    <n v="4"/>
    <n v="8"/>
    <n v="10"/>
    <n v="0"/>
  </r>
  <r>
    <n v="17"/>
    <x v="0"/>
    <n v="3.1"/>
    <s v="TikTok"/>
    <n v="4.2"/>
    <n v="0.8"/>
    <n v="2.2799999999999998"/>
    <n v="1.6"/>
    <s v="medium"/>
    <n v="4"/>
    <n v="9"/>
    <n v="6"/>
    <n v="0"/>
  </r>
  <r>
    <n v="17"/>
    <x v="0"/>
    <n v="3.4"/>
    <s v="Both"/>
    <n v="4.7"/>
    <n v="0.5"/>
    <n v="2.91"/>
    <n v="2"/>
    <s v="high"/>
    <n v="2"/>
    <n v="8"/>
    <n v="1"/>
    <n v="0"/>
  </r>
  <r>
    <n v="17"/>
    <x v="0"/>
    <n v="4.5"/>
    <s v="Both"/>
    <n v="6.1"/>
    <n v="2.8"/>
    <n v="3.38"/>
    <n v="1.2"/>
    <s v="low"/>
    <n v="10"/>
    <n v="4"/>
    <n v="2"/>
    <n v="0"/>
  </r>
  <r>
    <n v="17"/>
    <x v="0"/>
    <n v="7.3"/>
    <s v="Instagram"/>
    <n v="6.7"/>
    <n v="1"/>
    <n v="3.41"/>
    <n v="1.7"/>
    <s v="medium"/>
    <n v="6"/>
    <n v="5"/>
    <n v="2"/>
    <n v="0"/>
  </r>
  <r>
    <n v="17"/>
    <x v="0"/>
    <n v="5.5"/>
    <s v="Both"/>
    <n v="6"/>
    <n v="2.8"/>
    <n v="3.4"/>
    <n v="0"/>
    <s v="medium"/>
    <n v="2"/>
    <n v="3"/>
    <n v="8"/>
    <n v="0"/>
  </r>
  <r>
    <n v="17"/>
    <x v="0"/>
    <n v="6.6"/>
    <s v="Both"/>
    <n v="8"/>
    <n v="1.9"/>
    <n v="2.86"/>
    <n v="0.4"/>
    <s v="medium"/>
    <n v="4"/>
    <n v="8"/>
    <n v="5"/>
    <n v="0"/>
  </r>
  <r>
    <n v="17"/>
    <x v="0"/>
    <n v="7.8"/>
    <s v="TikTok"/>
    <n v="5.7"/>
    <n v="1.2"/>
    <n v="3.72"/>
    <n v="1.2"/>
    <s v="high"/>
    <n v="10"/>
    <n v="2"/>
    <n v="6"/>
    <n v="0"/>
  </r>
  <r>
    <n v="17"/>
    <x v="0"/>
    <n v="5"/>
    <s v="Instagram"/>
    <n v="7.3"/>
    <n v="1.2"/>
    <n v="3.39"/>
    <n v="0.7"/>
    <s v="medium"/>
    <n v="9"/>
    <n v="10"/>
    <n v="8"/>
    <n v="0"/>
  </r>
  <r>
    <n v="17"/>
    <x v="0"/>
    <n v="7.6"/>
    <s v="Both"/>
    <n v="7.1"/>
    <n v="1.1000000000000001"/>
    <n v="2.0699999999999998"/>
    <n v="1.9"/>
    <s v="high"/>
    <n v="3"/>
    <n v="2"/>
    <n v="6"/>
    <n v="0"/>
  </r>
  <r>
    <n v="17"/>
    <x v="0"/>
    <n v="6"/>
    <s v="Both"/>
    <n v="4.2"/>
    <n v="2.2000000000000002"/>
    <n v="2.27"/>
    <n v="0.5"/>
    <s v="medium"/>
    <n v="1"/>
    <n v="4"/>
    <n v="5"/>
    <n v="0"/>
  </r>
  <r>
    <n v="17"/>
    <x v="0"/>
    <n v="7.4"/>
    <s v="Instagram"/>
    <n v="7.4"/>
    <n v="2"/>
    <n v="3.76"/>
    <n v="1.7"/>
    <s v="high"/>
    <n v="10"/>
    <n v="1"/>
    <n v="4"/>
    <n v="0"/>
  </r>
  <r>
    <n v="17"/>
    <x v="0"/>
    <n v="3.8"/>
    <s v="Instagram"/>
    <n v="8.4"/>
    <n v="0.9"/>
    <n v="3.6"/>
    <n v="1.9"/>
    <s v="high"/>
    <n v="1"/>
    <n v="2"/>
    <n v="2"/>
    <n v="0"/>
  </r>
  <r>
    <n v="18"/>
    <x v="0"/>
    <n v="2.5"/>
    <s v="Instagram"/>
    <n v="6.4"/>
    <n v="2.4"/>
    <n v="2.63"/>
    <n v="0.7"/>
    <s v="low"/>
    <n v="2"/>
    <n v="2"/>
    <n v="5"/>
    <n v="0"/>
  </r>
  <r>
    <n v="18"/>
    <x v="0"/>
    <n v="2.2999999999999998"/>
    <s v="TikTok"/>
    <n v="7.6"/>
    <n v="0.5"/>
    <n v="2.96"/>
    <n v="1.7"/>
    <s v="medium"/>
    <n v="9"/>
    <n v="8"/>
    <n v="7"/>
    <n v="0"/>
  </r>
  <r>
    <n v="18"/>
    <x v="0"/>
    <n v="2.4"/>
    <s v="Both"/>
    <n v="6.7"/>
    <n v="1.9"/>
    <n v="2.5299999999999998"/>
    <n v="0.4"/>
    <s v="high"/>
    <n v="8"/>
    <n v="8"/>
    <n v="2"/>
    <n v="0"/>
  </r>
  <r>
    <n v="18"/>
    <x v="0"/>
    <n v="7.4"/>
    <s v="Instagram"/>
    <n v="7.5"/>
    <n v="2.2999999999999998"/>
    <n v="2.39"/>
    <n v="0.9"/>
    <s v="high"/>
    <n v="4"/>
    <n v="1"/>
    <n v="4"/>
    <n v="0"/>
  </r>
  <r>
    <n v="18"/>
    <x v="0"/>
    <n v="4"/>
    <s v="Instagram"/>
    <n v="4.5999999999999996"/>
    <n v="2.2000000000000002"/>
    <n v="3.7"/>
    <n v="0.6"/>
    <s v="medium"/>
    <n v="4"/>
    <n v="1"/>
    <n v="4"/>
    <n v="0"/>
  </r>
  <r>
    <n v="18"/>
    <x v="0"/>
    <n v="2.4"/>
    <s v="Instagram"/>
    <n v="6.3"/>
    <n v="1.3"/>
    <n v="3.05"/>
    <n v="1.7"/>
    <s v="low"/>
    <n v="2"/>
    <n v="9"/>
    <n v="5"/>
    <n v="0"/>
  </r>
  <r>
    <n v="18"/>
    <x v="0"/>
    <n v="1.1000000000000001"/>
    <s v="Both"/>
    <n v="8"/>
    <n v="2.7"/>
    <n v="2.04"/>
    <n v="0.1"/>
    <s v="low"/>
    <n v="7"/>
    <n v="10"/>
    <n v="2"/>
    <n v="0"/>
  </r>
  <r>
    <n v="18"/>
    <x v="0"/>
    <n v="3.9"/>
    <s v="TikTok"/>
    <n v="5.2"/>
    <n v="1.8"/>
    <n v="2.41"/>
    <n v="0.6"/>
    <s v="high"/>
    <n v="9"/>
    <n v="5"/>
    <n v="5"/>
    <n v="0"/>
  </r>
  <r>
    <n v="18"/>
    <x v="0"/>
    <n v="7"/>
    <s v="Both"/>
    <n v="6.3"/>
    <n v="1.6"/>
    <n v="2.5499999999999998"/>
    <n v="0.5"/>
    <s v="medium"/>
    <n v="10"/>
    <n v="1"/>
    <n v="8"/>
    <n v="0"/>
  </r>
  <r>
    <n v="18"/>
    <x v="0"/>
    <n v="4.5"/>
    <s v="Both"/>
    <n v="7.9"/>
    <n v="1.4"/>
    <n v="2.38"/>
    <n v="0.1"/>
    <s v="high"/>
    <n v="7"/>
    <n v="9"/>
    <n v="1"/>
    <n v="0"/>
  </r>
  <r>
    <n v="18"/>
    <x v="0"/>
    <n v="4.0999999999999996"/>
    <s v="Instagram"/>
    <n v="8"/>
    <n v="1.7"/>
    <n v="2.29"/>
    <n v="1.4"/>
    <s v="low"/>
    <n v="2"/>
    <n v="1"/>
    <n v="10"/>
    <n v="0"/>
  </r>
  <r>
    <n v="18"/>
    <x v="0"/>
    <n v="3.7"/>
    <s v="Both"/>
    <n v="7.9"/>
    <n v="2.7"/>
    <n v="3.11"/>
    <n v="0.3"/>
    <s v="medium"/>
    <n v="6"/>
    <n v="6"/>
    <n v="5"/>
    <n v="0"/>
  </r>
  <r>
    <n v="18"/>
    <x v="0"/>
    <n v="1.9"/>
    <s v="TikTok"/>
    <n v="5.8"/>
    <n v="1.7"/>
    <n v="3.52"/>
    <n v="0.2"/>
    <s v="low"/>
    <n v="6"/>
    <n v="5"/>
    <n v="1"/>
    <n v="0"/>
  </r>
  <r>
    <n v="18"/>
    <x v="0"/>
    <n v="1.4"/>
    <s v="TikTok"/>
    <n v="6.1"/>
    <n v="1.6"/>
    <n v="2.56"/>
    <n v="1.2"/>
    <s v="high"/>
    <n v="2"/>
    <n v="7"/>
    <n v="8"/>
    <n v="0"/>
  </r>
  <r>
    <n v="18"/>
    <x v="0"/>
    <n v="3.8"/>
    <s v="Both"/>
    <n v="5.4"/>
    <n v="1.7"/>
    <n v="3.06"/>
    <n v="1.9"/>
    <s v="medium"/>
    <n v="5"/>
    <n v="10"/>
    <n v="3"/>
    <n v="0"/>
  </r>
  <r>
    <n v="18"/>
    <x v="0"/>
    <n v="2.9"/>
    <s v="Both"/>
    <n v="4.5999999999999996"/>
    <n v="2.2999999999999998"/>
    <n v="3.03"/>
    <n v="0.3"/>
    <s v="low"/>
    <n v="6"/>
    <n v="1"/>
    <n v="9"/>
    <n v="0"/>
  </r>
  <r>
    <n v="18"/>
    <x v="0"/>
    <n v="6.2"/>
    <s v="Both"/>
    <n v="6.7"/>
    <n v="1.4"/>
    <n v="3.42"/>
    <n v="0.9"/>
    <s v="low"/>
    <n v="6"/>
    <n v="8"/>
    <n v="6"/>
    <n v="0"/>
  </r>
  <r>
    <n v="18"/>
    <x v="0"/>
    <n v="5.0999999999999996"/>
    <s v="TikTok"/>
    <n v="7.4"/>
    <n v="1.3"/>
    <n v="3.5"/>
    <n v="1.6"/>
    <s v="high"/>
    <n v="1"/>
    <n v="5"/>
    <n v="5"/>
    <n v="0"/>
  </r>
  <r>
    <n v="18"/>
    <x v="0"/>
    <n v="4.5"/>
    <s v="Both"/>
    <n v="8"/>
    <n v="1.5"/>
    <n v="3.45"/>
    <n v="1"/>
    <s v="low"/>
    <n v="4"/>
    <n v="3"/>
    <n v="9"/>
    <n v="0"/>
  </r>
  <r>
    <n v="18"/>
    <x v="0"/>
    <n v="6.4"/>
    <s v="Instagram"/>
    <n v="7.7"/>
    <n v="0.5"/>
    <n v="3.05"/>
    <n v="1.2"/>
    <s v="low"/>
    <n v="3"/>
    <n v="1"/>
    <n v="2"/>
    <n v="0"/>
  </r>
  <r>
    <n v="18"/>
    <x v="0"/>
    <n v="2.9"/>
    <s v="Instagram"/>
    <n v="8.4"/>
    <n v="2.6"/>
    <n v="2.57"/>
    <n v="1.8"/>
    <s v="medium"/>
    <n v="4"/>
    <n v="1"/>
    <n v="3"/>
    <n v="0"/>
  </r>
  <r>
    <n v="18"/>
    <x v="0"/>
    <n v="1.3"/>
    <s v="Both"/>
    <n v="4.9000000000000004"/>
    <n v="0.9"/>
    <n v="3.86"/>
    <n v="0"/>
    <s v="medium"/>
    <n v="4"/>
    <n v="9"/>
    <n v="8"/>
    <n v="0"/>
  </r>
  <r>
    <n v="18"/>
    <x v="0"/>
    <n v="2.8"/>
    <s v="Instagram"/>
    <n v="7.4"/>
    <n v="1"/>
    <n v="3.73"/>
    <n v="1.9"/>
    <s v="low"/>
    <n v="7"/>
    <n v="3"/>
    <n v="6"/>
    <n v="0"/>
  </r>
  <r>
    <n v="18"/>
    <x v="0"/>
    <n v="3.5"/>
    <s v="Both"/>
    <n v="5.9"/>
    <n v="1.3"/>
    <n v="3.68"/>
    <n v="2"/>
    <s v="medium"/>
    <n v="7"/>
    <n v="4"/>
    <n v="10"/>
    <n v="0"/>
  </r>
  <r>
    <n v="18"/>
    <x v="0"/>
    <n v="1.7"/>
    <s v="Instagram"/>
    <n v="8.5"/>
    <n v="1"/>
    <n v="3.32"/>
    <n v="1.3"/>
    <s v="medium"/>
    <n v="1"/>
    <n v="1"/>
    <n v="7"/>
    <n v="0"/>
  </r>
  <r>
    <n v="18"/>
    <x v="0"/>
    <n v="4.2"/>
    <s v="Instagram"/>
    <n v="5.4"/>
    <n v="1.1000000000000001"/>
    <n v="2.31"/>
    <n v="0.3"/>
    <s v="low"/>
    <n v="4"/>
    <n v="9"/>
    <n v="1"/>
    <n v="0"/>
  </r>
  <r>
    <n v="18"/>
    <x v="0"/>
    <n v="4.5999999999999996"/>
    <s v="TikTok"/>
    <n v="7.3"/>
    <n v="2.8"/>
    <n v="3.22"/>
    <n v="0.6"/>
    <s v="high"/>
    <n v="1"/>
    <n v="3"/>
    <n v="6"/>
    <n v="0"/>
  </r>
  <r>
    <n v="18"/>
    <x v="0"/>
    <n v="3.8"/>
    <s v="Both"/>
    <n v="4.5"/>
    <n v="1.3"/>
    <n v="3.06"/>
    <n v="0.3"/>
    <s v="medium"/>
    <n v="7"/>
    <n v="8"/>
    <n v="1"/>
    <n v="0"/>
  </r>
  <r>
    <n v="18"/>
    <x v="0"/>
    <n v="5.7"/>
    <s v="TikTok"/>
    <n v="6.2"/>
    <n v="0.5"/>
    <n v="3.98"/>
    <n v="1.7"/>
    <s v="medium"/>
    <n v="7"/>
    <n v="6"/>
    <n v="3"/>
    <n v="0"/>
  </r>
  <r>
    <n v="18"/>
    <x v="0"/>
    <n v="7.1"/>
    <s v="Instagram"/>
    <n v="4.8"/>
    <n v="2.1"/>
    <n v="2.5099999999999998"/>
    <n v="0.9"/>
    <s v="high"/>
    <n v="1"/>
    <n v="1"/>
    <n v="10"/>
    <n v="0"/>
  </r>
  <r>
    <n v="18"/>
    <x v="0"/>
    <n v="3"/>
    <s v="Both"/>
    <n v="4.5999999999999996"/>
    <n v="2"/>
    <n v="2.2400000000000002"/>
    <n v="1.5"/>
    <s v="medium"/>
    <n v="10"/>
    <n v="2"/>
    <n v="5"/>
    <n v="0"/>
  </r>
  <r>
    <n v="18"/>
    <x v="0"/>
    <n v="4.4000000000000004"/>
    <s v="Both"/>
    <n v="5.0999999999999996"/>
    <n v="1.4"/>
    <n v="2.33"/>
    <n v="0.6"/>
    <s v="low"/>
    <n v="2"/>
    <n v="7"/>
    <n v="4"/>
    <n v="0"/>
  </r>
  <r>
    <n v="18"/>
    <x v="0"/>
    <n v="2.1"/>
    <s v="Both"/>
    <n v="6.7"/>
    <n v="0.9"/>
    <n v="3.73"/>
    <n v="0.7"/>
    <s v="low"/>
    <n v="3"/>
    <n v="5"/>
    <n v="7"/>
    <n v="0"/>
  </r>
  <r>
    <n v="18"/>
    <x v="0"/>
    <n v="3.6"/>
    <s v="Instagram"/>
    <n v="5.4"/>
    <n v="0.9"/>
    <n v="3.45"/>
    <n v="0.5"/>
    <s v="medium"/>
    <n v="1"/>
    <n v="10"/>
    <n v="2"/>
    <n v="0"/>
  </r>
  <r>
    <n v="18"/>
    <x v="0"/>
    <n v="5.0999999999999996"/>
    <s v="TikTok"/>
    <n v="8.1999999999999993"/>
    <n v="2.8"/>
    <n v="2.1800000000000002"/>
    <n v="0.5"/>
    <s v="high"/>
    <n v="8"/>
    <n v="8"/>
    <n v="8"/>
    <n v="0"/>
  </r>
  <r>
    <n v="18"/>
    <x v="0"/>
    <n v="2.2000000000000002"/>
    <s v="Instagram"/>
    <n v="6.5"/>
    <n v="1.9"/>
    <n v="3.79"/>
    <n v="0.2"/>
    <s v="low"/>
    <n v="1"/>
    <n v="6"/>
    <n v="2"/>
    <n v="0"/>
  </r>
  <r>
    <n v="18"/>
    <x v="0"/>
    <n v="1.1000000000000001"/>
    <s v="Both"/>
    <n v="4.9000000000000004"/>
    <n v="2.6"/>
    <n v="2.4300000000000002"/>
    <n v="1.3"/>
    <s v="high"/>
    <n v="9"/>
    <n v="7"/>
    <n v="6"/>
    <n v="0"/>
  </r>
  <r>
    <n v="18"/>
    <x v="0"/>
    <n v="2"/>
    <s v="Both"/>
    <n v="8.6"/>
    <n v="2.2000000000000002"/>
    <n v="3.53"/>
    <n v="1.9"/>
    <s v="low"/>
    <n v="2"/>
    <n v="5"/>
    <n v="8"/>
    <n v="0"/>
  </r>
  <r>
    <n v="18"/>
    <x v="0"/>
    <n v="7.7"/>
    <s v="TikTok"/>
    <n v="7.6"/>
    <n v="2.9"/>
    <n v="3.81"/>
    <n v="0.5"/>
    <s v="high"/>
    <n v="10"/>
    <n v="3"/>
    <n v="6"/>
    <n v="0"/>
  </r>
  <r>
    <n v="18"/>
    <x v="0"/>
    <n v="4.8"/>
    <s v="Instagram"/>
    <n v="5.5"/>
    <n v="1.8"/>
    <n v="2.9"/>
    <n v="0.6"/>
    <s v="low"/>
    <n v="6"/>
    <n v="2"/>
    <n v="5"/>
    <n v="0"/>
  </r>
  <r>
    <n v="18"/>
    <x v="0"/>
    <n v="3.8"/>
    <s v="Instagram"/>
    <n v="5.9"/>
    <n v="1"/>
    <n v="2.2200000000000002"/>
    <n v="0.6"/>
    <s v="low"/>
    <n v="9"/>
    <n v="10"/>
    <n v="9"/>
    <n v="0"/>
  </r>
  <r>
    <n v="18"/>
    <x v="0"/>
    <n v="7.2"/>
    <s v="TikTok"/>
    <n v="5"/>
    <n v="1.4"/>
    <n v="3.65"/>
    <n v="1.1000000000000001"/>
    <s v="low"/>
    <n v="8"/>
    <n v="8"/>
    <n v="4"/>
    <n v="1"/>
  </r>
  <r>
    <n v="18"/>
    <x v="0"/>
    <n v="2.2999999999999998"/>
    <s v="TikTok"/>
    <n v="4.3"/>
    <n v="0.9"/>
    <n v="3.27"/>
    <n v="0.1"/>
    <s v="high"/>
    <n v="5"/>
    <n v="9"/>
    <n v="10"/>
    <n v="0"/>
  </r>
  <r>
    <n v="18"/>
    <x v="0"/>
    <n v="3.8"/>
    <s v="Both"/>
    <n v="5.3"/>
    <n v="2.2999999999999998"/>
    <n v="3.42"/>
    <n v="0.4"/>
    <s v="low"/>
    <n v="4"/>
    <n v="8"/>
    <n v="2"/>
    <n v="0"/>
  </r>
  <r>
    <n v="18"/>
    <x v="0"/>
    <n v="3.1"/>
    <s v="Both"/>
    <n v="6.8"/>
    <n v="2"/>
    <n v="3.77"/>
    <n v="1.4"/>
    <s v="low"/>
    <n v="1"/>
    <n v="3"/>
    <n v="4"/>
    <n v="0"/>
  </r>
  <r>
    <n v="18"/>
    <x v="0"/>
    <n v="7.5"/>
    <s v="TikTok"/>
    <n v="7.5"/>
    <n v="1.4"/>
    <n v="3.14"/>
    <n v="2"/>
    <s v="low"/>
    <n v="2"/>
    <n v="9"/>
    <n v="2"/>
    <n v="0"/>
  </r>
  <r>
    <n v="18"/>
    <x v="0"/>
    <n v="8"/>
    <s v="TikTok"/>
    <n v="4.3"/>
    <n v="0.8"/>
    <n v="3.44"/>
    <n v="0.8"/>
    <s v="medium"/>
    <n v="3"/>
    <n v="4"/>
    <n v="4"/>
    <n v="0"/>
  </r>
  <r>
    <n v="18"/>
    <x v="0"/>
    <n v="5"/>
    <s v="Instagram"/>
    <n v="6.6"/>
    <n v="1.8"/>
    <n v="3.87"/>
    <n v="1.2"/>
    <s v="high"/>
    <n v="3"/>
    <n v="4"/>
    <n v="2"/>
    <n v="0"/>
  </r>
  <r>
    <n v="18"/>
    <x v="0"/>
    <n v="2"/>
    <s v="Instagram"/>
    <n v="5.9"/>
    <n v="2.9"/>
    <n v="3.52"/>
    <n v="1.1000000000000001"/>
    <s v="high"/>
    <n v="8"/>
    <n v="6"/>
    <n v="10"/>
    <n v="0"/>
  </r>
  <r>
    <n v="18"/>
    <x v="0"/>
    <n v="7.1"/>
    <s v="Instagram"/>
    <n v="5.7"/>
    <n v="0.6"/>
    <n v="2.9"/>
    <n v="1.7"/>
    <s v="medium"/>
    <n v="3"/>
    <n v="1"/>
    <n v="6"/>
    <n v="0"/>
  </r>
  <r>
    <n v="18"/>
    <x v="0"/>
    <n v="5.5"/>
    <s v="Instagram"/>
    <n v="5.3"/>
    <n v="2.6"/>
    <n v="3.09"/>
    <n v="2"/>
    <s v="low"/>
    <n v="8"/>
    <n v="6"/>
    <n v="3"/>
    <n v="0"/>
  </r>
  <r>
    <n v="18"/>
    <x v="0"/>
    <n v="2.8"/>
    <s v="TikTok"/>
    <n v="7"/>
    <n v="2.9"/>
    <n v="3.91"/>
    <n v="1.1000000000000001"/>
    <s v="medium"/>
    <n v="9"/>
    <n v="9"/>
    <n v="1"/>
    <n v="0"/>
  </r>
  <r>
    <n v="18"/>
    <x v="0"/>
    <n v="7.2"/>
    <s v="TikTok"/>
    <n v="7.7"/>
    <n v="1.2"/>
    <n v="3.7"/>
    <n v="0.1"/>
    <s v="low"/>
    <n v="6"/>
    <n v="3"/>
    <n v="9"/>
    <n v="0"/>
  </r>
  <r>
    <n v="18"/>
    <x v="0"/>
    <n v="3.2"/>
    <s v="Instagram"/>
    <n v="6.8"/>
    <n v="2.2999999999999998"/>
    <n v="3.16"/>
    <n v="1.8"/>
    <s v="low"/>
    <n v="4"/>
    <n v="8"/>
    <n v="5"/>
    <n v="0"/>
  </r>
  <r>
    <n v="18"/>
    <x v="0"/>
    <n v="1.9"/>
    <s v="Both"/>
    <n v="5.0999999999999996"/>
    <n v="2.9"/>
    <n v="2.62"/>
    <n v="1"/>
    <s v="low"/>
    <n v="4"/>
    <n v="3"/>
    <n v="2"/>
    <n v="0"/>
  </r>
  <r>
    <n v="18"/>
    <x v="0"/>
    <n v="3.9"/>
    <s v="Both"/>
    <n v="4"/>
    <n v="1.8"/>
    <n v="2.19"/>
    <n v="1.4"/>
    <s v="high"/>
    <n v="1"/>
    <n v="2"/>
    <n v="5"/>
    <n v="0"/>
  </r>
  <r>
    <n v="18"/>
    <x v="0"/>
    <n v="1.8"/>
    <s v="Both"/>
    <n v="7.8"/>
    <n v="2"/>
    <n v="2.67"/>
    <n v="0.8"/>
    <s v="low"/>
    <n v="4"/>
    <n v="6"/>
    <n v="3"/>
    <n v="0"/>
  </r>
  <r>
    <n v="18"/>
    <x v="0"/>
    <n v="3.2"/>
    <s v="Both"/>
    <n v="7.8"/>
    <n v="0.7"/>
    <n v="3.46"/>
    <n v="1.3"/>
    <s v="low"/>
    <n v="5"/>
    <n v="10"/>
    <n v="6"/>
    <n v="0"/>
  </r>
  <r>
    <n v="18"/>
    <x v="0"/>
    <n v="6.4"/>
    <s v="Both"/>
    <n v="4.2"/>
    <n v="1.1000000000000001"/>
    <n v="2.68"/>
    <n v="0.3"/>
    <s v="high"/>
    <n v="10"/>
    <n v="9"/>
    <n v="4"/>
    <n v="1"/>
  </r>
  <r>
    <n v="18"/>
    <x v="0"/>
    <n v="3"/>
    <s v="Instagram"/>
    <n v="5"/>
    <n v="2"/>
    <n v="2.4500000000000002"/>
    <n v="1.2"/>
    <s v="medium"/>
    <n v="1"/>
    <n v="10"/>
    <n v="7"/>
    <n v="0"/>
  </r>
  <r>
    <n v="18"/>
    <x v="0"/>
    <n v="7.3"/>
    <s v="Both"/>
    <n v="7.3"/>
    <n v="2.8"/>
    <n v="3.3"/>
    <n v="0.4"/>
    <s v="low"/>
    <n v="1"/>
    <n v="8"/>
    <n v="1"/>
    <n v="0"/>
  </r>
  <r>
    <n v="18"/>
    <x v="0"/>
    <n v="6.5"/>
    <s v="Both"/>
    <n v="6.7"/>
    <n v="2.5"/>
    <n v="2.98"/>
    <n v="0.1"/>
    <s v="high"/>
    <n v="9"/>
    <n v="7"/>
    <n v="7"/>
    <n v="0"/>
  </r>
  <r>
    <n v="18"/>
    <x v="0"/>
    <n v="7"/>
    <s v="Both"/>
    <n v="8.9"/>
    <n v="0.7"/>
    <n v="2.79"/>
    <n v="0.4"/>
    <s v="medium"/>
    <n v="2"/>
    <n v="10"/>
    <n v="8"/>
    <n v="0"/>
  </r>
  <r>
    <n v="18"/>
    <x v="0"/>
    <n v="6.3"/>
    <s v="Both"/>
    <n v="4.7"/>
    <n v="2.4"/>
    <n v="2.2999999999999998"/>
    <n v="0.9"/>
    <s v="medium"/>
    <n v="6"/>
    <n v="1"/>
    <n v="6"/>
    <n v="0"/>
  </r>
  <r>
    <n v="18"/>
    <x v="0"/>
    <n v="6.6"/>
    <s v="Both"/>
    <n v="8.1"/>
    <n v="2"/>
    <n v="3.59"/>
    <n v="1.6"/>
    <s v="low"/>
    <n v="9"/>
    <n v="4"/>
    <n v="3"/>
    <n v="0"/>
  </r>
  <r>
    <n v="18"/>
    <x v="0"/>
    <n v="2.2999999999999998"/>
    <s v="Instagram"/>
    <n v="8.6999999999999993"/>
    <n v="0.6"/>
    <n v="2.76"/>
    <n v="1.9"/>
    <s v="high"/>
    <n v="4"/>
    <n v="8"/>
    <n v="7"/>
    <n v="0"/>
  </r>
  <r>
    <n v="18"/>
    <x v="0"/>
    <n v="2.2999999999999998"/>
    <s v="Instagram"/>
    <n v="4.2"/>
    <n v="0.9"/>
    <n v="3.84"/>
    <n v="1.3"/>
    <s v="high"/>
    <n v="6"/>
    <n v="6"/>
    <n v="10"/>
    <n v="0"/>
  </r>
  <r>
    <n v="18"/>
    <x v="0"/>
    <n v="5.5"/>
    <s v="Both"/>
    <n v="5.5"/>
    <n v="1.8"/>
    <n v="2.2400000000000002"/>
    <n v="0"/>
    <s v="high"/>
    <n v="3"/>
    <n v="4"/>
    <n v="10"/>
    <n v="0"/>
  </r>
  <r>
    <n v="18"/>
    <x v="0"/>
    <n v="4.5"/>
    <s v="Instagram"/>
    <n v="7"/>
    <n v="2.7"/>
    <n v="2.89"/>
    <n v="1.8"/>
    <s v="high"/>
    <n v="1"/>
    <n v="1"/>
    <n v="2"/>
    <n v="0"/>
  </r>
  <r>
    <n v="18"/>
    <x v="0"/>
    <n v="4.5999999999999996"/>
    <s v="TikTok"/>
    <n v="6.8"/>
    <n v="1.5"/>
    <n v="2.4"/>
    <n v="1.4"/>
    <s v="medium"/>
    <n v="5"/>
    <n v="10"/>
    <n v="2"/>
    <n v="0"/>
  </r>
  <r>
    <n v="18"/>
    <x v="0"/>
    <n v="2.5"/>
    <s v="TikTok"/>
    <n v="7.1"/>
    <n v="1.6"/>
    <n v="3.97"/>
    <n v="0.7"/>
    <s v="medium"/>
    <n v="10"/>
    <n v="7"/>
    <n v="3"/>
    <n v="0"/>
  </r>
  <r>
    <n v="18"/>
    <x v="0"/>
    <n v="5.2"/>
    <s v="Both"/>
    <n v="7.1"/>
    <n v="1.9"/>
    <n v="2.87"/>
    <n v="1.7"/>
    <s v="medium"/>
    <n v="5"/>
    <n v="8"/>
    <n v="6"/>
    <n v="0"/>
  </r>
  <r>
    <n v="18"/>
    <x v="0"/>
    <n v="1.8"/>
    <s v="TikTok"/>
    <n v="6.1"/>
    <n v="2.7"/>
    <n v="2.86"/>
    <n v="1.1000000000000001"/>
    <s v="low"/>
    <n v="4"/>
    <n v="2"/>
    <n v="4"/>
    <n v="0"/>
  </r>
  <r>
    <n v="18"/>
    <x v="0"/>
    <n v="5.8"/>
    <s v="Both"/>
    <n v="5.0999999999999996"/>
    <n v="1.2"/>
    <n v="3.24"/>
    <n v="0.4"/>
    <s v="high"/>
    <n v="5"/>
    <n v="9"/>
    <n v="2"/>
    <n v="0"/>
  </r>
  <r>
    <n v="18"/>
    <x v="0"/>
    <n v="2.2000000000000002"/>
    <s v="Instagram"/>
    <n v="4.4000000000000004"/>
    <n v="1.7"/>
    <n v="2.86"/>
    <n v="1.1000000000000001"/>
    <s v="high"/>
    <n v="8"/>
    <n v="9"/>
    <n v="7"/>
    <n v="0"/>
  </r>
  <r>
    <n v="18"/>
    <x v="0"/>
    <n v="4.5"/>
    <s v="Instagram"/>
    <n v="4"/>
    <n v="2.9"/>
    <n v="3.15"/>
    <n v="1.9"/>
    <s v="medium"/>
    <n v="8"/>
    <n v="6"/>
    <n v="5"/>
    <n v="0"/>
  </r>
  <r>
    <n v="18"/>
    <x v="0"/>
    <n v="5.3"/>
    <s v="Both"/>
    <n v="4.5999999999999996"/>
    <n v="1.5"/>
    <n v="2.54"/>
    <n v="0.6"/>
    <s v="medium"/>
    <n v="4"/>
    <n v="3"/>
    <n v="4"/>
    <n v="0"/>
  </r>
  <r>
    <n v="18"/>
    <x v="0"/>
    <n v="6.3"/>
    <s v="TikTok"/>
    <n v="4.8"/>
    <n v="1.2"/>
    <n v="2.91"/>
    <n v="1.3"/>
    <s v="medium"/>
    <n v="9"/>
    <n v="10"/>
    <n v="3"/>
    <n v="1"/>
  </r>
  <r>
    <n v="18"/>
    <x v="0"/>
    <n v="5.5"/>
    <s v="Both"/>
    <n v="8.1999999999999993"/>
    <n v="0.5"/>
    <n v="3.15"/>
    <n v="1.2"/>
    <s v="medium"/>
    <n v="8"/>
    <n v="7"/>
    <n v="7"/>
    <n v="0"/>
  </r>
  <r>
    <n v="18"/>
    <x v="0"/>
    <n v="5.2"/>
    <s v="Both"/>
    <n v="7.3"/>
    <n v="1.7"/>
    <n v="3.33"/>
    <n v="0.9"/>
    <s v="low"/>
    <n v="7"/>
    <n v="4"/>
    <n v="9"/>
    <n v="0"/>
  </r>
  <r>
    <n v="18"/>
    <x v="0"/>
    <n v="6.8"/>
    <s v="Instagram"/>
    <n v="6.6"/>
    <n v="2"/>
    <n v="2.76"/>
    <n v="1"/>
    <s v="low"/>
    <n v="3"/>
    <n v="4"/>
    <n v="4"/>
    <n v="0"/>
  </r>
  <r>
    <n v="19"/>
    <x v="0"/>
    <n v="1.9"/>
    <s v="TikTok"/>
    <n v="8"/>
    <n v="2.9"/>
    <n v="3.22"/>
    <n v="0.8"/>
    <s v="high"/>
    <n v="8"/>
    <n v="1"/>
    <n v="10"/>
    <n v="0"/>
  </r>
  <r>
    <n v="19"/>
    <x v="0"/>
    <n v="7.4"/>
    <s v="Both"/>
    <n v="4.4000000000000004"/>
    <n v="2.4"/>
    <n v="2.63"/>
    <n v="0.6"/>
    <s v="high"/>
    <n v="3"/>
    <n v="5"/>
    <n v="7"/>
    <n v="0"/>
  </r>
  <r>
    <n v="19"/>
    <x v="0"/>
    <n v="3.3"/>
    <s v="TikTok"/>
    <n v="5"/>
    <n v="2.1"/>
    <n v="2.04"/>
    <n v="0.9"/>
    <s v="high"/>
    <n v="1"/>
    <n v="10"/>
    <n v="9"/>
    <n v="0"/>
  </r>
  <r>
    <n v="19"/>
    <x v="0"/>
    <n v="4.5999999999999996"/>
    <s v="Instagram"/>
    <n v="5.5"/>
    <n v="2.5"/>
    <n v="3.96"/>
    <n v="0.8"/>
    <s v="high"/>
    <n v="3"/>
    <n v="10"/>
    <n v="7"/>
    <n v="0"/>
  </r>
  <r>
    <n v="19"/>
    <x v="0"/>
    <n v="7.9"/>
    <s v="TikTok"/>
    <n v="5.0999999999999996"/>
    <n v="1.7"/>
    <n v="2.8"/>
    <n v="0.8"/>
    <s v="low"/>
    <n v="6"/>
    <n v="1"/>
    <n v="8"/>
    <n v="0"/>
  </r>
  <r>
    <n v="19"/>
    <x v="0"/>
    <n v="4.8"/>
    <s v="TikTok"/>
    <n v="6"/>
    <n v="1.5"/>
    <n v="2.61"/>
    <n v="1.2"/>
    <s v="high"/>
    <n v="2"/>
    <n v="2"/>
    <n v="6"/>
    <n v="0"/>
  </r>
  <r>
    <n v="19"/>
    <x v="0"/>
    <n v="7.8"/>
    <s v="Both"/>
    <n v="8.8000000000000007"/>
    <n v="2.1"/>
    <n v="3.75"/>
    <n v="1.3"/>
    <s v="high"/>
    <n v="10"/>
    <n v="9"/>
    <n v="6"/>
    <n v="0"/>
  </r>
  <r>
    <n v="19"/>
    <x v="0"/>
    <n v="4.0999999999999996"/>
    <s v="Instagram"/>
    <n v="6.4"/>
    <n v="0.9"/>
    <n v="2.4700000000000002"/>
    <n v="1.2"/>
    <s v="high"/>
    <n v="7"/>
    <n v="3"/>
    <n v="4"/>
    <n v="0"/>
  </r>
  <r>
    <n v="19"/>
    <x v="0"/>
    <n v="1.6"/>
    <s v="TikTok"/>
    <n v="4.0999999999999996"/>
    <n v="1.6"/>
    <n v="3.15"/>
    <n v="0.9"/>
    <s v="medium"/>
    <n v="2"/>
    <n v="6"/>
    <n v="4"/>
    <n v="0"/>
  </r>
  <r>
    <n v="19"/>
    <x v="0"/>
    <n v="2.8"/>
    <s v="TikTok"/>
    <n v="4.8"/>
    <n v="1.7"/>
    <n v="2.8"/>
    <n v="0.6"/>
    <s v="low"/>
    <n v="5"/>
    <n v="7"/>
    <n v="4"/>
    <n v="0"/>
  </r>
  <r>
    <n v="19"/>
    <x v="0"/>
    <n v="4"/>
    <s v="TikTok"/>
    <n v="6.5"/>
    <n v="2.4"/>
    <n v="3.67"/>
    <n v="0.6"/>
    <s v="low"/>
    <n v="4"/>
    <n v="6"/>
    <n v="4"/>
    <n v="0"/>
  </r>
  <r>
    <n v="19"/>
    <x v="0"/>
    <n v="6"/>
    <s v="TikTok"/>
    <n v="6"/>
    <n v="0.7"/>
    <n v="3.29"/>
    <n v="1.4"/>
    <s v="low"/>
    <n v="4"/>
    <n v="5"/>
    <n v="1"/>
    <n v="0"/>
  </r>
  <r>
    <n v="19"/>
    <x v="0"/>
    <n v="1.1000000000000001"/>
    <s v="TikTok"/>
    <n v="5.0999999999999996"/>
    <n v="2.2000000000000002"/>
    <n v="2.13"/>
    <n v="0.9"/>
    <s v="low"/>
    <n v="7"/>
    <n v="7"/>
    <n v="2"/>
    <n v="0"/>
  </r>
  <r>
    <n v="19"/>
    <x v="0"/>
    <n v="4.3"/>
    <s v="Instagram"/>
    <n v="5.9"/>
    <n v="2.1"/>
    <n v="2.85"/>
    <n v="1.7"/>
    <s v="high"/>
    <n v="9"/>
    <n v="9"/>
    <n v="8"/>
    <n v="0"/>
  </r>
  <r>
    <n v="19"/>
    <x v="0"/>
    <n v="3.5"/>
    <s v="TikTok"/>
    <n v="6.7"/>
    <n v="2.7"/>
    <n v="3.4"/>
    <n v="1.2"/>
    <s v="low"/>
    <n v="4"/>
    <n v="6"/>
    <n v="7"/>
    <n v="0"/>
  </r>
  <r>
    <n v="19"/>
    <x v="0"/>
    <n v="5.6"/>
    <s v="TikTok"/>
    <n v="8.1"/>
    <n v="3"/>
    <n v="2.75"/>
    <n v="0.7"/>
    <s v="medium"/>
    <n v="6"/>
    <n v="3"/>
    <n v="4"/>
    <n v="0"/>
  </r>
  <r>
    <n v="19"/>
    <x v="0"/>
    <n v="1.4"/>
    <s v="Instagram"/>
    <n v="6.6"/>
    <n v="1.8"/>
    <n v="3.07"/>
    <n v="0"/>
    <s v="low"/>
    <n v="5"/>
    <n v="2"/>
    <n v="6"/>
    <n v="0"/>
  </r>
  <r>
    <n v="19"/>
    <x v="0"/>
    <n v="5.4"/>
    <s v="TikTok"/>
    <n v="4.4000000000000004"/>
    <n v="2.2999999999999998"/>
    <n v="3.34"/>
    <n v="0.4"/>
    <s v="high"/>
    <n v="3"/>
    <n v="3"/>
    <n v="8"/>
    <n v="0"/>
  </r>
  <r>
    <n v="19"/>
    <x v="0"/>
    <n v="1.5"/>
    <s v="Instagram"/>
    <n v="8.4"/>
    <n v="3"/>
    <n v="2.46"/>
    <n v="1.5"/>
    <s v="high"/>
    <n v="1"/>
    <n v="7"/>
    <n v="6"/>
    <n v="0"/>
  </r>
  <r>
    <n v="19"/>
    <x v="0"/>
    <n v="5.2"/>
    <s v="Instagram"/>
    <n v="6.6"/>
    <n v="1.6"/>
    <n v="2.36"/>
    <n v="1.4"/>
    <s v="low"/>
    <n v="2"/>
    <n v="6"/>
    <n v="10"/>
    <n v="0"/>
  </r>
  <r>
    <n v="19"/>
    <x v="0"/>
    <n v="7.1"/>
    <s v="Both"/>
    <n v="6.3"/>
    <n v="2.2000000000000002"/>
    <n v="3.88"/>
    <n v="0.8"/>
    <s v="high"/>
    <n v="10"/>
    <n v="4"/>
    <n v="9"/>
    <n v="0"/>
  </r>
  <r>
    <n v="19"/>
    <x v="0"/>
    <n v="4.2"/>
    <s v="Both"/>
    <n v="8.1"/>
    <n v="1.4"/>
    <n v="2.66"/>
    <n v="1.9"/>
    <s v="low"/>
    <n v="9"/>
    <n v="4"/>
    <n v="2"/>
    <n v="0"/>
  </r>
  <r>
    <n v="19"/>
    <x v="0"/>
    <n v="2.8"/>
    <s v="Instagram"/>
    <n v="5.9"/>
    <n v="1.5"/>
    <n v="2.85"/>
    <n v="0.6"/>
    <s v="high"/>
    <n v="10"/>
    <n v="9"/>
    <n v="4"/>
    <n v="0"/>
  </r>
  <r>
    <n v="19"/>
    <x v="0"/>
    <n v="6.7"/>
    <s v="Instagram"/>
    <n v="7.3"/>
    <n v="2.8"/>
    <n v="2.2599999999999998"/>
    <n v="1.4"/>
    <s v="high"/>
    <n v="7"/>
    <n v="6"/>
    <n v="8"/>
    <n v="0"/>
  </r>
  <r>
    <n v="19"/>
    <x v="0"/>
    <n v="6.5"/>
    <s v="TikTok"/>
    <n v="6.4"/>
    <n v="1.1000000000000001"/>
    <n v="3.71"/>
    <n v="1.2"/>
    <s v="low"/>
    <n v="8"/>
    <n v="9"/>
    <n v="8"/>
    <n v="0"/>
  </r>
  <r>
    <n v="19"/>
    <x v="0"/>
    <n v="6.8"/>
    <s v="Both"/>
    <n v="4.4000000000000004"/>
    <n v="2.1"/>
    <n v="3.69"/>
    <n v="0.4"/>
    <s v="high"/>
    <n v="3"/>
    <n v="2"/>
    <n v="8"/>
    <n v="0"/>
  </r>
  <r>
    <n v="19"/>
    <x v="0"/>
    <n v="2.4"/>
    <s v="Instagram"/>
    <n v="8.6999999999999993"/>
    <n v="1.6"/>
    <n v="2.4"/>
    <n v="0.1"/>
    <s v="medium"/>
    <n v="2"/>
    <n v="9"/>
    <n v="7"/>
    <n v="0"/>
  </r>
  <r>
    <n v="19"/>
    <x v="0"/>
    <n v="3.4"/>
    <s v="TikTok"/>
    <n v="4.3"/>
    <n v="0.7"/>
    <n v="2.17"/>
    <n v="0.7"/>
    <s v="high"/>
    <n v="3"/>
    <n v="1"/>
    <n v="4"/>
    <n v="0"/>
  </r>
  <r>
    <n v="19"/>
    <x v="0"/>
    <n v="3.9"/>
    <s v="TikTok"/>
    <n v="7.4"/>
    <n v="2.5"/>
    <n v="3.74"/>
    <n v="0.3"/>
    <s v="medium"/>
    <n v="5"/>
    <n v="8"/>
    <n v="3"/>
    <n v="0"/>
  </r>
  <r>
    <n v="19"/>
    <x v="0"/>
    <n v="5.0999999999999996"/>
    <s v="Both"/>
    <n v="6.3"/>
    <n v="2.2999999999999998"/>
    <n v="2.5499999999999998"/>
    <n v="2"/>
    <s v="medium"/>
    <n v="6"/>
    <n v="9"/>
    <n v="7"/>
    <n v="0"/>
  </r>
  <r>
    <n v="19"/>
    <x v="0"/>
    <n v="4.4000000000000004"/>
    <s v="Both"/>
    <n v="5"/>
    <n v="2.8"/>
    <n v="2.69"/>
    <n v="0.4"/>
    <s v="high"/>
    <n v="3"/>
    <n v="8"/>
    <n v="8"/>
    <n v="0"/>
  </r>
  <r>
    <n v="19"/>
    <x v="0"/>
    <n v="4"/>
    <s v="Both"/>
    <n v="7.4"/>
    <n v="2.7"/>
    <n v="3.41"/>
    <n v="1.4"/>
    <s v="medium"/>
    <n v="9"/>
    <n v="4"/>
    <n v="7"/>
    <n v="0"/>
  </r>
  <r>
    <n v="19"/>
    <x v="0"/>
    <n v="7.9"/>
    <s v="Instagram"/>
    <n v="5.7"/>
    <n v="2.4"/>
    <n v="3.59"/>
    <n v="1.9"/>
    <s v="high"/>
    <n v="1"/>
    <n v="9"/>
    <n v="9"/>
    <n v="0"/>
  </r>
  <r>
    <n v="19"/>
    <x v="0"/>
    <n v="3.6"/>
    <s v="Both"/>
    <n v="5.6"/>
    <n v="1.7"/>
    <n v="3.57"/>
    <n v="1.5"/>
    <s v="low"/>
    <n v="10"/>
    <n v="4"/>
    <n v="3"/>
    <n v="0"/>
  </r>
  <r>
    <n v="19"/>
    <x v="0"/>
    <n v="6"/>
    <s v="Both"/>
    <n v="6.3"/>
    <n v="2.8"/>
    <n v="3.98"/>
    <n v="2"/>
    <s v="medium"/>
    <n v="2"/>
    <n v="6"/>
    <n v="2"/>
    <n v="0"/>
  </r>
  <r>
    <n v="19"/>
    <x v="0"/>
    <n v="4.0999999999999996"/>
    <s v="Both"/>
    <n v="7.5"/>
    <n v="2.7"/>
    <n v="2.66"/>
    <n v="1.6"/>
    <s v="high"/>
    <n v="5"/>
    <n v="10"/>
    <n v="5"/>
    <n v="0"/>
  </r>
  <r>
    <n v="19"/>
    <x v="0"/>
    <n v="1.3"/>
    <s v="TikTok"/>
    <n v="6.5"/>
    <n v="2.1"/>
    <n v="3.68"/>
    <n v="1.1000000000000001"/>
    <s v="high"/>
    <n v="7"/>
    <n v="1"/>
    <n v="9"/>
    <n v="0"/>
  </r>
  <r>
    <n v="19"/>
    <x v="0"/>
    <n v="6.3"/>
    <s v="Both"/>
    <n v="5.7"/>
    <n v="2.2999999999999998"/>
    <n v="2.16"/>
    <n v="1.9"/>
    <s v="high"/>
    <n v="6"/>
    <n v="3"/>
    <n v="6"/>
    <n v="0"/>
  </r>
  <r>
    <n v="19"/>
    <x v="0"/>
    <n v="5.4"/>
    <s v="Instagram"/>
    <n v="7.3"/>
    <n v="2"/>
    <n v="3.98"/>
    <n v="0.9"/>
    <s v="medium"/>
    <n v="6"/>
    <n v="6"/>
    <n v="1"/>
    <n v="0"/>
  </r>
  <r>
    <n v="19"/>
    <x v="0"/>
    <n v="5"/>
    <s v="Instagram"/>
    <n v="6.3"/>
    <n v="2.9"/>
    <n v="2.04"/>
    <n v="0.5"/>
    <s v="medium"/>
    <n v="5"/>
    <n v="2"/>
    <n v="2"/>
    <n v="0"/>
  </r>
  <r>
    <n v="19"/>
    <x v="0"/>
    <n v="4.2"/>
    <s v="Instagram"/>
    <n v="7.1"/>
    <n v="2.5"/>
    <n v="3.91"/>
    <n v="1.5"/>
    <s v="high"/>
    <n v="6"/>
    <n v="8"/>
    <n v="9"/>
    <n v="0"/>
  </r>
  <r>
    <n v="19"/>
    <x v="0"/>
    <n v="1.8"/>
    <s v="Instagram"/>
    <n v="4.5"/>
    <n v="2.8"/>
    <n v="3.22"/>
    <n v="1.6"/>
    <s v="medium"/>
    <n v="5"/>
    <n v="3"/>
    <n v="10"/>
    <n v="0"/>
  </r>
  <r>
    <n v="19"/>
    <x v="0"/>
    <n v="5.4"/>
    <s v="TikTok"/>
    <n v="7.4"/>
    <n v="1.7"/>
    <n v="2.88"/>
    <n v="0.6"/>
    <s v="low"/>
    <n v="6"/>
    <n v="10"/>
    <n v="9"/>
    <n v="0"/>
  </r>
  <r>
    <n v="19"/>
    <x v="0"/>
    <n v="6.6"/>
    <s v="Both"/>
    <n v="6.8"/>
    <n v="0.8"/>
    <n v="2.64"/>
    <n v="1.5"/>
    <s v="low"/>
    <n v="5"/>
    <n v="4"/>
    <n v="6"/>
    <n v="0"/>
  </r>
  <r>
    <n v="19"/>
    <x v="0"/>
    <n v="7.1"/>
    <s v="TikTok"/>
    <n v="6.3"/>
    <n v="0.8"/>
    <n v="3.66"/>
    <n v="0.5"/>
    <s v="high"/>
    <n v="3"/>
    <n v="7"/>
    <n v="7"/>
    <n v="0"/>
  </r>
  <r>
    <n v="19"/>
    <x v="0"/>
    <n v="1.4"/>
    <s v="Both"/>
    <n v="8"/>
    <n v="2.5"/>
    <n v="3.54"/>
    <n v="1.8"/>
    <s v="low"/>
    <n v="4"/>
    <n v="8"/>
    <n v="3"/>
    <n v="0"/>
  </r>
  <r>
    <n v="19"/>
    <x v="0"/>
    <n v="1.9"/>
    <s v="Both"/>
    <n v="6.2"/>
    <n v="0.9"/>
    <n v="2.4700000000000002"/>
    <n v="1.4"/>
    <s v="low"/>
    <n v="5"/>
    <n v="6"/>
    <n v="7"/>
    <n v="0"/>
  </r>
  <r>
    <n v="19"/>
    <x v="0"/>
    <n v="1.2"/>
    <s v="TikTok"/>
    <n v="4.8"/>
    <n v="1.7"/>
    <n v="2.16"/>
    <n v="0.6"/>
    <s v="medium"/>
    <n v="10"/>
    <n v="10"/>
    <n v="10"/>
    <n v="0"/>
  </r>
  <r>
    <n v="19"/>
    <x v="0"/>
    <n v="7.3"/>
    <s v="Both"/>
    <n v="7.4"/>
    <n v="1.5"/>
    <n v="2.84"/>
    <n v="1"/>
    <s v="medium"/>
    <n v="9"/>
    <n v="8"/>
    <n v="5"/>
    <n v="0"/>
  </r>
  <r>
    <n v="19"/>
    <x v="0"/>
    <n v="3.9"/>
    <s v="Both"/>
    <n v="7.9"/>
    <n v="2.1"/>
    <n v="3.52"/>
    <n v="0.6"/>
    <s v="high"/>
    <n v="3"/>
    <n v="2"/>
    <n v="4"/>
    <n v="0"/>
  </r>
  <r>
    <n v="19"/>
    <x v="0"/>
    <n v="4"/>
    <s v="Instagram"/>
    <n v="8.1999999999999993"/>
    <n v="1.4"/>
    <n v="3.63"/>
    <n v="1.3"/>
    <s v="low"/>
    <n v="5"/>
    <n v="3"/>
    <n v="10"/>
    <n v="0"/>
  </r>
  <r>
    <n v="19"/>
    <x v="0"/>
    <n v="7.4"/>
    <s v="Both"/>
    <n v="8.3000000000000007"/>
    <n v="1.4"/>
    <n v="3.64"/>
    <n v="0.4"/>
    <s v="low"/>
    <n v="6"/>
    <n v="9"/>
    <n v="6"/>
    <n v="0"/>
  </r>
  <r>
    <n v="19"/>
    <x v="0"/>
    <n v="7.4"/>
    <s v="Instagram"/>
    <n v="5"/>
    <n v="2"/>
    <n v="2.68"/>
    <n v="1.2"/>
    <s v="low"/>
    <n v="1"/>
    <n v="6"/>
    <n v="8"/>
    <n v="0"/>
  </r>
  <r>
    <n v="19"/>
    <x v="0"/>
    <n v="7.5"/>
    <s v="TikTok"/>
    <n v="4.5"/>
    <n v="2.7"/>
    <n v="2.41"/>
    <n v="1"/>
    <s v="high"/>
    <n v="3"/>
    <n v="2"/>
    <n v="6"/>
    <n v="0"/>
  </r>
  <r>
    <n v="19"/>
    <x v="0"/>
    <n v="3"/>
    <s v="Instagram"/>
    <n v="5.5"/>
    <n v="2.1"/>
    <n v="3.08"/>
    <n v="0.7"/>
    <s v="low"/>
    <n v="9"/>
    <n v="3"/>
    <n v="5"/>
    <n v="0"/>
  </r>
  <r>
    <n v="19"/>
    <x v="0"/>
    <n v="7.5"/>
    <s v="TikTok"/>
    <n v="8.6"/>
    <n v="0.9"/>
    <n v="2.25"/>
    <n v="1.6"/>
    <s v="high"/>
    <n v="9"/>
    <n v="8"/>
    <n v="4"/>
    <n v="0"/>
  </r>
  <r>
    <n v="19"/>
    <x v="0"/>
    <n v="4.4000000000000004"/>
    <s v="Instagram"/>
    <n v="7.4"/>
    <n v="2.8"/>
    <n v="3.28"/>
    <n v="1.5"/>
    <s v="medium"/>
    <n v="7"/>
    <n v="5"/>
    <n v="4"/>
    <n v="0"/>
  </r>
  <r>
    <n v="19"/>
    <x v="0"/>
    <n v="7.2"/>
    <s v="Instagram"/>
    <n v="6.4"/>
    <n v="2.9"/>
    <n v="3.82"/>
    <n v="1"/>
    <s v="medium"/>
    <n v="5"/>
    <n v="4"/>
    <n v="5"/>
    <n v="0"/>
  </r>
  <r>
    <n v="19"/>
    <x v="0"/>
    <n v="2.1"/>
    <s v="Both"/>
    <n v="4.4000000000000004"/>
    <n v="2.2000000000000002"/>
    <n v="2.4700000000000002"/>
    <n v="0.7"/>
    <s v="high"/>
    <n v="9"/>
    <n v="5"/>
    <n v="6"/>
    <n v="0"/>
  </r>
  <r>
    <n v="19"/>
    <x v="0"/>
    <n v="7.4"/>
    <s v="Both"/>
    <n v="4.4000000000000004"/>
    <n v="1.4"/>
    <n v="3.78"/>
    <n v="1.1000000000000001"/>
    <s v="low"/>
    <n v="9"/>
    <n v="7"/>
    <n v="5"/>
    <n v="1"/>
  </r>
  <r>
    <n v="19"/>
    <x v="0"/>
    <n v="2.4"/>
    <s v="Instagram"/>
    <n v="4.2"/>
    <n v="1.2"/>
    <n v="3.87"/>
    <n v="1.3"/>
    <s v="low"/>
    <n v="1"/>
    <n v="9"/>
    <n v="5"/>
    <n v="0"/>
  </r>
  <r>
    <n v="19"/>
    <x v="0"/>
    <n v="4.0999999999999996"/>
    <s v="Both"/>
    <n v="6.4"/>
    <n v="1.4"/>
    <n v="2.2599999999999998"/>
    <n v="1.6"/>
    <s v="high"/>
    <n v="2"/>
    <n v="3"/>
    <n v="6"/>
    <n v="0"/>
  </r>
  <r>
    <n v="19"/>
    <x v="0"/>
    <n v="7.6"/>
    <s v="Both"/>
    <n v="5.4"/>
    <n v="1.9"/>
    <n v="2.56"/>
    <n v="1.4"/>
    <s v="low"/>
    <n v="2"/>
    <n v="7"/>
    <n v="9"/>
    <n v="0"/>
  </r>
  <r>
    <n v="19"/>
    <x v="0"/>
    <n v="5.5"/>
    <s v="TikTok"/>
    <n v="7.4"/>
    <n v="2"/>
    <n v="2.8"/>
    <n v="1.8"/>
    <s v="high"/>
    <n v="9"/>
    <n v="8"/>
    <n v="10"/>
    <n v="0"/>
  </r>
  <r>
    <n v="19"/>
    <x v="0"/>
    <n v="1.7"/>
    <s v="Both"/>
    <n v="7"/>
    <n v="2.7"/>
    <n v="2.0699999999999998"/>
    <n v="0.5"/>
    <s v="high"/>
    <n v="6"/>
    <n v="4"/>
    <n v="10"/>
    <n v="0"/>
  </r>
  <r>
    <n v="19"/>
    <x v="0"/>
    <n v="7.9"/>
    <s v="TikTok"/>
    <n v="5.8"/>
    <n v="2.1"/>
    <n v="3.91"/>
    <n v="1.4"/>
    <s v="high"/>
    <n v="7"/>
    <n v="1"/>
    <n v="10"/>
    <n v="0"/>
  </r>
  <r>
    <n v="19"/>
    <x v="0"/>
    <n v="4.5"/>
    <s v="TikTok"/>
    <n v="8.4"/>
    <n v="2.1"/>
    <n v="2.62"/>
    <n v="2"/>
    <s v="low"/>
    <n v="5"/>
    <n v="10"/>
    <n v="5"/>
    <n v="0"/>
  </r>
  <r>
    <n v="19"/>
    <x v="0"/>
    <n v="7.3"/>
    <s v="Instagram"/>
    <n v="7.8"/>
    <n v="1"/>
    <n v="2.91"/>
    <n v="0.8"/>
    <s v="medium"/>
    <n v="9"/>
    <n v="7"/>
    <n v="5"/>
    <n v="0"/>
  </r>
  <r>
    <n v="19"/>
    <x v="0"/>
    <n v="3.5"/>
    <s v="Instagram"/>
    <n v="4.9000000000000004"/>
    <n v="0.5"/>
    <n v="3.68"/>
    <n v="1.7"/>
    <s v="high"/>
    <n v="8"/>
    <n v="4"/>
    <n v="3"/>
    <n v="0"/>
  </r>
  <r>
    <n v="19"/>
    <x v="0"/>
    <n v="6.6"/>
    <s v="Both"/>
    <n v="9"/>
    <n v="2.9"/>
    <n v="2.4700000000000002"/>
    <n v="1.7"/>
    <s v="medium"/>
    <n v="3"/>
    <n v="7"/>
    <n v="9"/>
    <n v="0"/>
  </r>
  <r>
    <n v="13"/>
    <x v="1"/>
    <n v="4.9000000000000004"/>
    <s v="Instagram"/>
    <n v="4.7"/>
    <n v="2.5"/>
    <n v="3.92"/>
    <n v="1.2"/>
    <s v="low"/>
    <n v="1"/>
    <n v="10"/>
    <n v="8"/>
    <n v="0"/>
  </r>
  <r>
    <n v="13"/>
    <x v="1"/>
    <n v="1.5"/>
    <s v="Both"/>
    <n v="4.2"/>
    <n v="1.4"/>
    <n v="2.59"/>
    <n v="0.5"/>
    <s v="high"/>
    <n v="4"/>
    <n v="5"/>
    <n v="8"/>
    <n v="0"/>
  </r>
  <r>
    <n v="13"/>
    <x v="1"/>
    <n v="6.6"/>
    <s v="TikTok"/>
    <n v="5.7"/>
    <n v="2.5"/>
    <n v="2.67"/>
    <n v="1.1000000000000001"/>
    <s v="low"/>
    <n v="2"/>
    <n v="1"/>
    <n v="10"/>
    <n v="0"/>
  </r>
  <r>
    <n v="13"/>
    <x v="1"/>
    <n v="6.2"/>
    <s v="Both"/>
    <n v="7.1"/>
    <n v="2.2000000000000002"/>
    <n v="3.43"/>
    <n v="0.2"/>
    <s v="medium"/>
    <n v="5"/>
    <n v="2"/>
    <n v="2"/>
    <n v="0"/>
  </r>
  <r>
    <n v="13"/>
    <x v="1"/>
    <n v="7.3"/>
    <s v="Both"/>
    <n v="4.2"/>
    <n v="1.3"/>
    <n v="2.16"/>
    <n v="1"/>
    <s v="high"/>
    <n v="4"/>
    <n v="5"/>
    <n v="2"/>
    <n v="0"/>
  </r>
  <r>
    <n v="13"/>
    <x v="1"/>
    <n v="4.3"/>
    <s v="Both"/>
    <n v="5.8"/>
    <n v="0.7"/>
    <n v="3.15"/>
    <n v="0.1"/>
    <s v="medium"/>
    <n v="7"/>
    <n v="2"/>
    <n v="1"/>
    <n v="0"/>
  </r>
  <r>
    <n v="13"/>
    <x v="1"/>
    <n v="3.1"/>
    <s v="TikTok"/>
    <n v="8.1999999999999993"/>
    <n v="1.5"/>
    <n v="2.4500000000000002"/>
    <n v="0.3"/>
    <s v="low"/>
    <n v="5"/>
    <n v="8"/>
    <n v="6"/>
    <n v="0"/>
  </r>
  <r>
    <n v="13"/>
    <x v="1"/>
    <n v="1.1000000000000001"/>
    <s v="TikTok"/>
    <n v="7.1"/>
    <n v="1.8"/>
    <n v="2.5499999999999998"/>
    <n v="0.8"/>
    <s v="high"/>
    <n v="5"/>
    <n v="5"/>
    <n v="10"/>
    <n v="0"/>
  </r>
  <r>
    <n v="13"/>
    <x v="1"/>
    <n v="3.4"/>
    <s v="TikTok"/>
    <n v="4.4000000000000004"/>
    <n v="0.6"/>
    <n v="3.41"/>
    <n v="0.2"/>
    <s v="low"/>
    <n v="8"/>
    <n v="6"/>
    <n v="3"/>
    <n v="0"/>
  </r>
  <r>
    <n v="13"/>
    <x v="1"/>
    <n v="7.4"/>
    <s v="Instagram"/>
    <n v="5.6"/>
    <n v="1.4"/>
    <n v="2.95"/>
    <n v="1.7"/>
    <s v="high"/>
    <n v="8"/>
    <n v="5"/>
    <n v="5"/>
    <n v="0"/>
  </r>
  <r>
    <n v="13"/>
    <x v="1"/>
    <n v="3.1"/>
    <s v="TikTok"/>
    <n v="5.4"/>
    <n v="1.9"/>
    <n v="3.66"/>
    <n v="0.4"/>
    <s v="low"/>
    <n v="7"/>
    <n v="4"/>
    <n v="2"/>
    <n v="0"/>
  </r>
  <r>
    <n v="13"/>
    <x v="1"/>
    <n v="5.0999999999999996"/>
    <s v="Both"/>
    <n v="4.0999999999999996"/>
    <n v="1.6"/>
    <n v="3.32"/>
    <n v="0.8"/>
    <s v="medium"/>
    <n v="1"/>
    <n v="3"/>
    <n v="8"/>
    <n v="0"/>
  </r>
  <r>
    <n v="13"/>
    <x v="1"/>
    <n v="1.6"/>
    <s v="Instagram"/>
    <n v="4.2"/>
    <n v="1.5"/>
    <n v="3.72"/>
    <n v="1.7"/>
    <s v="medium"/>
    <n v="10"/>
    <n v="1"/>
    <n v="10"/>
    <n v="0"/>
  </r>
  <r>
    <n v="13"/>
    <x v="1"/>
    <n v="1.6"/>
    <s v="TikTok"/>
    <n v="4.3"/>
    <n v="0.6"/>
    <n v="3.91"/>
    <n v="2"/>
    <s v="medium"/>
    <n v="5"/>
    <n v="10"/>
    <n v="7"/>
    <n v="0"/>
  </r>
  <r>
    <n v="13"/>
    <x v="1"/>
    <n v="5.7"/>
    <s v="Both"/>
    <n v="6.6"/>
    <n v="2.4"/>
    <n v="3.99"/>
    <n v="1.7"/>
    <s v="high"/>
    <n v="1"/>
    <n v="3"/>
    <n v="1"/>
    <n v="0"/>
  </r>
  <r>
    <n v="13"/>
    <x v="1"/>
    <n v="4.3"/>
    <s v="TikTok"/>
    <n v="7.5"/>
    <n v="2.7"/>
    <n v="2.29"/>
    <n v="0.8"/>
    <s v="high"/>
    <n v="1"/>
    <n v="10"/>
    <n v="1"/>
    <n v="0"/>
  </r>
  <r>
    <n v="13"/>
    <x v="1"/>
    <n v="2.4"/>
    <s v="TikTok"/>
    <n v="4.0999999999999996"/>
    <n v="0.8"/>
    <n v="2.79"/>
    <n v="1.1000000000000001"/>
    <s v="medium"/>
    <n v="8"/>
    <n v="6"/>
    <n v="3"/>
    <n v="0"/>
  </r>
  <r>
    <n v="13"/>
    <x v="1"/>
    <n v="6"/>
    <s v="TikTok"/>
    <n v="7.2"/>
    <n v="1.5"/>
    <n v="2.36"/>
    <n v="0.2"/>
    <s v="low"/>
    <n v="1"/>
    <n v="3"/>
    <n v="4"/>
    <n v="0"/>
  </r>
  <r>
    <n v="13"/>
    <x v="1"/>
    <n v="5"/>
    <s v="TikTok"/>
    <n v="6.9"/>
    <n v="0.6"/>
    <n v="3.03"/>
    <n v="0.8"/>
    <s v="low"/>
    <n v="9"/>
    <n v="3"/>
    <n v="8"/>
    <n v="0"/>
  </r>
  <r>
    <n v="13"/>
    <x v="1"/>
    <n v="4.3"/>
    <s v="Instagram"/>
    <n v="4.4000000000000004"/>
    <n v="0.7"/>
    <n v="3.19"/>
    <n v="0.3"/>
    <s v="low"/>
    <n v="6"/>
    <n v="2"/>
    <n v="6"/>
    <n v="0"/>
  </r>
  <r>
    <n v="13"/>
    <x v="1"/>
    <n v="7"/>
    <s v="TikTok"/>
    <n v="8.9"/>
    <n v="0.6"/>
    <n v="2.7"/>
    <n v="1.8"/>
    <s v="medium"/>
    <n v="5"/>
    <n v="4"/>
    <n v="1"/>
    <n v="0"/>
  </r>
  <r>
    <n v="13"/>
    <x v="1"/>
    <n v="7.5"/>
    <s v="Both"/>
    <n v="8"/>
    <n v="2"/>
    <n v="3.25"/>
    <n v="0.7"/>
    <s v="medium"/>
    <n v="9"/>
    <n v="10"/>
    <n v="2"/>
    <n v="0"/>
  </r>
  <r>
    <n v="13"/>
    <x v="1"/>
    <n v="5.9"/>
    <s v="Instagram"/>
    <n v="8"/>
    <n v="2.8"/>
    <n v="3.21"/>
    <n v="1.6"/>
    <s v="medium"/>
    <n v="2"/>
    <n v="8"/>
    <n v="8"/>
    <n v="0"/>
  </r>
  <r>
    <n v="13"/>
    <x v="1"/>
    <n v="2.5"/>
    <s v="Instagram"/>
    <n v="8.3000000000000007"/>
    <n v="1.6"/>
    <n v="2.91"/>
    <n v="0.6"/>
    <s v="high"/>
    <n v="10"/>
    <n v="2"/>
    <n v="6"/>
    <n v="0"/>
  </r>
  <r>
    <n v="13"/>
    <x v="1"/>
    <n v="1.8"/>
    <s v="Instagram"/>
    <n v="8.9"/>
    <n v="1.2"/>
    <n v="3.67"/>
    <n v="0.1"/>
    <s v="medium"/>
    <n v="2"/>
    <n v="8"/>
    <n v="9"/>
    <n v="0"/>
  </r>
  <r>
    <n v="13"/>
    <x v="1"/>
    <n v="7.9"/>
    <s v="Instagram"/>
    <n v="5.8"/>
    <n v="0.8"/>
    <n v="3.31"/>
    <n v="1.6"/>
    <s v="medium"/>
    <n v="3"/>
    <n v="7"/>
    <n v="2"/>
    <n v="0"/>
  </r>
  <r>
    <n v="13"/>
    <x v="1"/>
    <n v="5.9"/>
    <s v="Instagram"/>
    <n v="7.5"/>
    <n v="1.4"/>
    <n v="2.58"/>
    <n v="1.2"/>
    <s v="low"/>
    <n v="6"/>
    <n v="2"/>
    <n v="8"/>
    <n v="0"/>
  </r>
  <r>
    <n v="13"/>
    <x v="1"/>
    <n v="2.2000000000000002"/>
    <s v="TikTok"/>
    <n v="5.3"/>
    <n v="1.4"/>
    <n v="3.97"/>
    <n v="0"/>
    <s v="low"/>
    <n v="1"/>
    <n v="10"/>
    <n v="7"/>
    <n v="0"/>
  </r>
  <r>
    <n v="13"/>
    <x v="1"/>
    <n v="6.4"/>
    <s v="TikTok"/>
    <n v="5.0999999999999996"/>
    <n v="2.5"/>
    <n v="2.62"/>
    <n v="1.3"/>
    <s v="low"/>
    <n v="5"/>
    <n v="4"/>
    <n v="7"/>
    <n v="0"/>
  </r>
  <r>
    <n v="13"/>
    <x v="1"/>
    <n v="2.9"/>
    <s v="TikTok"/>
    <n v="5.0999999999999996"/>
    <n v="2.2000000000000002"/>
    <n v="3.81"/>
    <n v="0.7"/>
    <s v="low"/>
    <n v="6"/>
    <n v="6"/>
    <n v="10"/>
    <n v="0"/>
  </r>
  <r>
    <n v="13"/>
    <x v="1"/>
    <n v="4.5999999999999996"/>
    <s v="TikTok"/>
    <n v="7.3"/>
    <n v="1.6"/>
    <n v="2.91"/>
    <n v="0.4"/>
    <s v="low"/>
    <n v="10"/>
    <n v="5"/>
    <n v="7"/>
    <n v="0"/>
  </r>
  <r>
    <n v="13"/>
    <x v="1"/>
    <n v="5.6"/>
    <s v="Instagram"/>
    <n v="4.5999999999999996"/>
    <n v="1.9"/>
    <n v="2.54"/>
    <n v="0.1"/>
    <s v="low"/>
    <n v="5"/>
    <n v="5"/>
    <n v="6"/>
    <n v="0"/>
  </r>
  <r>
    <n v="13"/>
    <x v="1"/>
    <n v="7"/>
    <s v="Both"/>
    <n v="4.0999999999999996"/>
    <n v="1.9"/>
    <n v="2.2999999999999998"/>
    <n v="0.3"/>
    <s v="medium"/>
    <n v="3"/>
    <n v="10"/>
    <n v="6"/>
    <n v="0"/>
  </r>
  <r>
    <n v="13"/>
    <x v="1"/>
    <n v="4.5999999999999996"/>
    <s v="TikTok"/>
    <n v="5.3"/>
    <n v="2.2999999999999998"/>
    <n v="2.42"/>
    <n v="0.2"/>
    <s v="low"/>
    <n v="5"/>
    <n v="9"/>
    <n v="5"/>
    <n v="0"/>
  </r>
  <r>
    <n v="13"/>
    <x v="1"/>
    <n v="5.4"/>
    <s v="Instagram"/>
    <n v="6.5"/>
    <n v="0.8"/>
    <n v="3.17"/>
    <n v="0.3"/>
    <s v="medium"/>
    <n v="10"/>
    <n v="3"/>
    <n v="3"/>
    <n v="0"/>
  </r>
  <r>
    <n v="13"/>
    <x v="1"/>
    <n v="6.4"/>
    <s v="Both"/>
    <n v="8.3000000000000007"/>
    <n v="1.3"/>
    <n v="2.21"/>
    <n v="1.2"/>
    <s v="high"/>
    <n v="4"/>
    <n v="5"/>
    <n v="9"/>
    <n v="0"/>
  </r>
  <r>
    <n v="13"/>
    <x v="1"/>
    <n v="1.3"/>
    <s v="TikTok"/>
    <n v="7.8"/>
    <n v="2.6"/>
    <n v="3.01"/>
    <n v="0.3"/>
    <s v="low"/>
    <n v="2"/>
    <n v="9"/>
    <n v="10"/>
    <n v="0"/>
  </r>
  <r>
    <n v="13"/>
    <x v="1"/>
    <n v="7.8"/>
    <s v="Instagram"/>
    <n v="5"/>
    <n v="1.8"/>
    <n v="3.57"/>
    <n v="1.5"/>
    <s v="medium"/>
    <n v="8"/>
    <n v="10"/>
    <n v="3"/>
    <n v="1"/>
  </r>
  <r>
    <n v="13"/>
    <x v="1"/>
    <n v="7.5"/>
    <s v="Instagram"/>
    <n v="8.6"/>
    <n v="1.9"/>
    <n v="3.33"/>
    <n v="0.9"/>
    <s v="medium"/>
    <n v="7"/>
    <n v="3"/>
    <n v="10"/>
    <n v="0"/>
  </r>
  <r>
    <n v="13"/>
    <x v="1"/>
    <n v="7.2"/>
    <s v="TikTok"/>
    <n v="4.0999999999999996"/>
    <n v="1.3"/>
    <n v="2.4900000000000002"/>
    <n v="1.8"/>
    <s v="medium"/>
    <n v="5"/>
    <n v="5"/>
    <n v="4"/>
    <n v="0"/>
  </r>
  <r>
    <n v="13"/>
    <x v="1"/>
    <n v="5.4"/>
    <s v="Instagram"/>
    <n v="4.0999999999999996"/>
    <n v="2"/>
    <n v="3.82"/>
    <n v="1.9"/>
    <s v="medium"/>
    <n v="6"/>
    <n v="10"/>
    <n v="8"/>
    <n v="0"/>
  </r>
  <r>
    <n v="13"/>
    <x v="1"/>
    <n v="3.4"/>
    <s v="Both"/>
    <n v="8.6"/>
    <n v="0.8"/>
    <n v="3.08"/>
    <n v="0.4"/>
    <s v="low"/>
    <n v="7"/>
    <n v="10"/>
    <n v="6"/>
    <n v="0"/>
  </r>
  <r>
    <n v="13"/>
    <x v="1"/>
    <n v="2.4"/>
    <s v="TikTok"/>
    <n v="8.4"/>
    <n v="1.6"/>
    <n v="2.82"/>
    <n v="1.1000000000000001"/>
    <s v="low"/>
    <n v="1"/>
    <n v="3"/>
    <n v="2"/>
    <n v="0"/>
  </r>
  <r>
    <n v="13"/>
    <x v="1"/>
    <n v="2.4"/>
    <s v="Instagram"/>
    <n v="7.1"/>
    <n v="0.7"/>
    <n v="3.64"/>
    <n v="1.1000000000000001"/>
    <s v="high"/>
    <n v="6"/>
    <n v="5"/>
    <n v="5"/>
    <n v="0"/>
  </r>
  <r>
    <n v="13"/>
    <x v="1"/>
    <n v="8"/>
    <s v="Both"/>
    <n v="8.9"/>
    <n v="2.2000000000000002"/>
    <n v="3.82"/>
    <n v="1.2"/>
    <s v="low"/>
    <n v="8"/>
    <n v="8"/>
    <n v="4"/>
    <n v="0"/>
  </r>
  <r>
    <n v="13"/>
    <x v="1"/>
    <n v="7.9"/>
    <s v="Instagram"/>
    <n v="8.8000000000000007"/>
    <n v="2.2999999999999998"/>
    <n v="3.39"/>
    <n v="0.5"/>
    <s v="low"/>
    <n v="1"/>
    <n v="9"/>
    <n v="3"/>
    <n v="0"/>
  </r>
  <r>
    <n v="13"/>
    <x v="1"/>
    <n v="7.5"/>
    <s v="TikTok"/>
    <n v="4.8"/>
    <n v="0.7"/>
    <n v="2.91"/>
    <n v="2"/>
    <s v="high"/>
    <n v="10"/>
    <n v="9"/>
    <n v="1"/>
    <n v="1"/>
  </r>
  <r>
    <n v="13"/>
    <x v="1"/>
    <n v="5.4"/>
    <s v="Instagram"/>
    <n v="7.8"/>
    <n v="1.8"/>
    <n v="3.46"/>
    <n v="1"/>
    <s v="high"/>
    <n v="4"/>
    <n v="7"/>
    <n v="7"/>
    <n v="0"/>
  </r>
  <r>
    <n v="13"/>
    <x v="1"/>
    <n v="4"/>
    <s v="Both"/>
    <n v="4.2"/>
    <n v="0.5"/>
    <n v="2.46"/>
    <n v="0.6"/>
    <s v="low"/>
    <n v="2"/>
    <n v="9"/>
    <n v="9"/>
    <n v="0"/>
  </r>
  <r>
    <n v="13"/>
    <x v="1"/>
    <n v="8"/>
    <s v="Instagram"/>
    <n v="6.9"/>
    <n v="2.5"/>
    <n v="2.4500000000000002"/>
    <n v="1.7"/>
    <s v="medium"/>
    <n v="10"/>
    <n v="1"/>
    <n v="3"/>
    <n v="0"/>
  </r>
  <r>
    <n v="13"/>
    <x v="1"/>
    <n v="3.8"/>
    <s v="Both"/>
    <n v="5.3"/>
    <n v="2.5"/>
    <n v="3.48"/>
    <n v="1"/>
    <s v="low"/>
    <n v="6"/>
    <n v="7"/>
    <n v="7"/>
    <n v="0"/>
  </r>
  <r>
    <n v="13"/>
    <x v="1"/>
    <n v="6.4"/>
    <s v="Both"/>
    <n v="4.0999999999999996"/>
    <n v="1.3"/>
    <n v="2.77"/>
    <n v="1.3"/>
    <s v="low"/>
    <n v="10"/>
    <n v="6"/>
    <n v="1"/>
    <n v="0"/>
  </r>
  <r>
    <n v="13"/>
    <x v="1"/>
    <n v="4.5"/>
    <s v="Both"/>
    <n v="6.7"/>
    <n v="2.2000000000000002"/>
    <n v="3.73"/>
    <n v="0.3"/>
    <s v="low"/>
    <n v="3"/>
    <n v="5"/>
    <n v="10"/>
    <n v="0"/>
  </r>
  <r>
    <n v="13"/>
    <x v="1"/>
    <n v="5.2"/>
    <s v="TikTok"/>
    <n v="6.7"/>
    <n v="2.5"/>
    <n v="3.82"/>
    <n v="0.9"/>
    <s v="medium"/>
    <n v="8"/>
    <n v="8"/>
    <n v="6"/>
    <n v="0"/>
  </r>
  <r>
    <n v="13"/>
    <x v="1"/>
    <n v="7.9"/>
    <s v="TikTok"/>
    <n v="6"/>
    <n v="2.7"/>
    <n v="2.85"/>
    <n v="0.3"/>
    <s v="low"/>
    <n v="9"/>
    <n v="10"/>
    <n v="3"/>
    <n v="0"/>
  </r>
  <r>
    <n v="13"/>
    <x v="1"/>
    <n v="2.2999999999999998"/>
    <s v="TikTok"/>
    <n v="4.5"/>
    <n v="0.7"/>
    <n v="2.71"/>
    <n v="0.2"/>
    <s v="low"/>
    <n v="6"/>
    <n v="3"/>
    <n v="7"/>
    <n v="0"/>
  </r>
  <r>
    <n v="13"/>
    <x v="1"/>
    <n v="4.4000000000000004"/>
    <s v="Both"/>
    <n v="8.1999999999999993"/>
    <n v="1.5"/>
    <n v="3.98"/>
    <n v="1.4"/>
    <s v="high"/>
    <n v="9"/>
    <n v="6"/>
    <n v="6"/>
    <n v="0"/>
  </r>
  <r>
    <n v="13"/>
    <x v="1"/>
    <n v="4"/>
    <s v="TikTok"/>
    <n v="5"/>
    <n v="2.9"/>
    <n v="3.84"/>
    <n v="0.1"/>
    <s v="low"/>
    <n v="7"/>
    <n v="8"/>
    <n v="10"/>
    <n v="0"/>
  </r>
  <r>
    <n v="13"/>
    <x v="1"/>
    <n v="3.2"/>
    <s v="TikTok"/>
    <n v="5.0999999999999996"/>
    <n v="1.6"/>
    <n v="2.87"/>
    <n v="1.8"/>
    <s v="medium"/>
    <n v="4"/>
    <n v="9"/>
    <n v="8"/>
    <n v="0"/>
  </r>
  <r>
    <n v="13"/>
    <x v="1"/>
    <n v="7.4"/>
    <s v="Both"/>
    <n v="7"/>
    <n v="1.8"/>
    <n v="2.17"/>
    <n v="1.4"/>
    <s v="medium"/>
    <n v="9"/>
    <n v="10"/>
    <n v="5"/>
    <n v="0"/>
  </r>
  <r>
    <n v="13"/>
    <x v="1"/>
    <n v="1.8"/>
    <s v="Instagram"/>
    <n v="4.4000000000000004"/>
    <n v="0.6"/>
    <n v="3.48"/>
    <n v="1.7"/>
    <s v="medium"/>
    <n v="3"/>
    <n v="1"/>
    <n v="10"/>
    <n v="0"/>
  </r>
  <r>
    <n v="13"/>
    <x v="1"/>
    <n v="2.2000000000000002"/>
    <s v="Both"/>
    <n v="5.8"/>
    <n v="2"/>
    <n v="3.63"/>
    <n v="1.9"/>
    <s v="low"/>
    <n v="4"/>
    <n v="4"/>
    <n v="10"/>
    <n v="0"/>
  </r>
  <r>
    <n v="13"/>
    <x v="1"/>
    <n v="2.7"/>
    <s v="Both"/>
    <n v="6.9"/>
    <n v="1.4"/>
    <n v="2.87"/>
    <n v="1.5"/>
    <s v="low"/>
    <n v="2"/>
    <n v="6"/>
    <n v="3"/>
    <n v="0"/>
  </r>
  <r>
    <n v="13"/>
    <x v="1"/>
    <n v="3.9"/>
    <s v="Both"/>
    <n v="5.8"/>
    <n v="0.7"/>
    <n v="2.77"/>
    <n v="1.3"/>
    <s v="medium"/>
    <n v="10"/>
    <n v="3"/>
    <n v="1"/>
    <n v="0"/>
  </r>
  <r>
    <n v="13"/>
    <x v="1"/>
    <n v="7.1"/>
    <s v="Both"/>
    <n v="5.7"/>
    <n v="2.1"/>
    <n v="3.52"/>
    <n v="1.7"/>
    <s v="low"/>
    <n v="1"/>
    <n v="1"/>
    <n v="3"/>
    <n v="0"/>
  </r>
  <r>
    <n v="13"/>
    <x v="1"/>
    <n v="2.5"/>
    <s v="Instagram"/>
    <n v="5.3"/>
    <n v="0.8"/>
    <n v="3.12"/>
    <n v="0.4"/>
    <s v="high"/>
    <n v="3"/>
    <n v="5"/>
    <n v="3"/>
    <n v="0"/>
  </r>
  <r>
    <n v="13"/>
    <x v="1"/>
    <n v="5.2"/>
    <s v="Both"/>
    <n v="5.4"/>
    <n v="0.8"/>
    <n v="2.39"/>
    <n v="2"/>
    <s v="low"/>
    <n v="8"/>
    <n v="3"/>
    <n v="10"/>
    <n v="0"/>
  </r>
  <r>
    <n v="13"/>
    <x v="1"/>
    <n v="4"/>
    <s v="Both"/>
    <n v="8.3000000000000007"/>
    <n v="0.6"/>
    <n v="3.71"/>
    <n v="0.1"/>
    <s v="low"/>
    <n v="2"/>
    <n v="6"/>
    <n v="1"/>
    <n v="0"/>
  </r>
  <r>
    <n v="13"/>
    <x v="1"/>
    <n v="2"/>
    <s v="Instagram"/>
    <n v="6.6"/>
    <n v="0.9"/>
    <n v="3.34"/>
    <n v="1.5"/>
    <s v="high"/>
    <n v="5"/>
    <n v="9"/>
    <n v="4"/>
    <n v="0"/>
  </r>
  <r>
    <n v="13"/>
    <x v="1"/>
    <n v="7.8"/>
    <s v="TikTok"/>
    <n v="7.2"/>
    <n v="1.3"/>
    <n v="3.31"/>
    <n v="0.8"/>
    <s v="high"/>
    <n v="9"/>
    <n v="2"/>
    <n v="4"/>
    <n v="0"/>
  </r>
  <r>
    <n v="13"/>
    <x v="1"/>
    <n v="2.2000000000000002"/>
    <s v="TikTok"/>
    <n v="5.4"/>
    <n v="1.2"/>
    <n v="2.33"/>
    <n v="0.8"/>
    <s v="medium"/>
    <n v="10"/>
    <n v="3"/>
    <n v="4"/>
    <n v="0"/>
  </r>
  <r>
    <n v="13"/>
    <x v="1"/>
    <n v="5.3"/>
    <s v="Instagram"/>
    <n v="6"/>
    <n v="1"/>
    <n v="2.92"/>
    <n v="0.7"/>
    <s v="high"/>
    <n v="3"/>
    <n v="8"/>
    <n v="5"/>
    <n v="0"/>
  </r>
  <r>
    <n v="13"/>
    <x v="1"/>
    <n v="3.4"/>
    <s v="TikTok"/>
    <n v="4.5"/>
    <n v="0.5"/>
    <n v="3.71"/>
    <n v="1"/>
    <s v="medium"/>
    <n v="1"/>
    <n v="10"/>
    <n v="1"/>
    <n v="0"/>
  </r>
  <r>
    <n v="13"/>
    <x v="1"/>
    <n v="3.6"/>
    <s v="Instagram"/>
    <n v="8.6"/>
    <n v="0.7"/>
    <n v="2.42"/>
    <n v="0.2"/>
    <s v="medium"/>
    <n v="2"/>
    <n v="6"/>
    <n v="8"/>
    <n v="0"/>
  </r>
  <r>
    <n v="13"/>
    <x v="1"/>
    <n v="7"/>
    <s v="Both"/>
    <n v="5.7"/>
    <n v="1.6"/>
    <n v="3.45"/>
    <n v="1.2"/>
    <s v="medium"/>
    <n v="7"/>
    <n v="1"/>
    <n v="10"/>
    <n v="0"/>
  </r>
  <r>
    <n v="13"/>
    <x v="1"/>
    <n v="5.0999999999999996"/>
    <s v="TikTok"/>
    <n v="5.3"/>
    <n v="2.6"/>
    <n v="2.95"/>
    <n v="1.2"/>
    <s v="medium"/>
    <n v="2"/>
    <n v="6"/>
    <n v="10"/>
    <n v="0"/>
  </r>
  <r>
    <n v="13"/>
    <x v="1"/>
    <n v="2.1"/>
    <s v="Instagram"/>
    <n v="4.0999999999999996"/>
    <n v="1.6"/>
    <n v="2.12"/>
    <n v="1.8"/>
    <s v="high"/>
    <n v="10"/>
    <n v="9"/>
    <n v="6"/>
    <n v="0"/>
  </r>
  <r>
    <n v="13"/>
    <x v="1"/>
    <n v="2.1"/>
    <s v="TikTok"/>
    <n v="5.8"/>
    <n v="2.7"/>
    <n v="3.83"/>
    <n v="1.9"/>
    <s v="low"/>
    <n v="4"/>
    <n v="6"/>
    <n v="6"/>
    <n v="0"/>
  </r>
  <r>
    <n v="13"/>
    <x v="1"/>
    <n v="5.6"/>
    <s v="Both"/>
    <n v="4.4000000000000004"/>
    <n v="2.9"/>
    <n v="3.19"/>
    <n v="0.9"/>
    <s v="medium"/>
    <n v="6"/>
    <n v="3"/>
    <n v="4"/>
    <n v="0"/>
  </r>
  <r>
    <n v="13"/>
    <x v="1"/>
    <n v="7"/>
    <s v="TikTok"/>
    <n v="4.4000000000000004"/>
    <n v="0.9"/>
    <n v="3.67"/>
    <n v="0.4"/>
    <s v="low"/>
    <n v="5"/>
    <n v="3"/>
    <n v="6"/>
    <n v="0"/>
  </r>
  <r>
    <n v="13"/>
    <x v="1"/>
    <n v="6.2"/>
    <s v="Instagram"/>
    <n v="8.6"/>
    <n v="1.8"/>
    <n v="2.19"/>
    <n v="0.7"/>
    <s v="high"/>
    <n v="8"/>
    <n v="4"/>
    <n v="7"/>
    <n v="0"/>
  </r>
  <r>
    <n v="13"/>
    <x v="1"/>
    <n v="6"/>
    <s v="TikTok"/>
    <n v="4.8"/>
    <n v="2.6"/>
    <n v="2.74"/>
    <n v="1.6"/>
    <s v="high"/>
    <n v="6"/>
    <n v="10"/>
    <n v="8"/>
    <n v="0"/>
  </r>
  <r>
    <n v="13"/>
    <x v="1"/>
    <n v="3.9"/>
    <s v="Both"/>
    <n v="8.6999999999999993"/>
    <n v="1.5"/>
    <n v="2.71"/>
    <n v="0.7"/>
    <s v="low"/>
    <n v="7"/>
    <n v="1"/>
    <n v="4"/>
    <n v="0"/>
  </r>
  <r>
    <n v="13"/>
    <x v="1"/>
    <n v="5.9"/>
    <s v="TikTok"/>
    <n v="6.6"/>
    <n v="2.6"/>
    <n v="3.58"/>
    <n v="1.6"/>
    <s v="medium"/>
    <n v="7"/>
    <n v="7"/>
    <n v="10"/>
    <n v="0"/>
  </r>
  <r>
    <n v="13"/>
    <x v="1"/>
    <n v="7.7"/>
    <s v="Instagram"/>
    <n v="4.4000000000000004"/>
    <n v="2"/>
    <n v="3.09"/>
    <n v="1"/>
    <s v="high"/>
    <n v="8"/>
    <n v="7"/>
    <n v="8"/>
    <n v="1"/>
  </r>
  <r>
    <n v="13"/>
    <x v="1"/>
    <n v="1.5"/>
    <s v="Both"/>
    <n v="5.2"/>
    <n v="0.8"/>
    <n v="2.16"/>
    <n v="0.9"/>
    <s v="medium"/>
    <n v="10"/>
    <n v="6"/>
    <n v="8"/>
    <n v="0"/>
  </r>
  <r>
    <n v="13"/>
    <x v="1"/>
    <n v="1.3"/>
    <s v="Instagram"/>
    <n v="5.7"/>
    <n v="1.1000000000000001"/>
    <n v="3.74"/>
    <n v="1.3"/>
    <s v="low"/>
    <n v="9"/>
    <n v="5"/>
    <n v="10"/>
    <n v="0"/>
  </r>
  <r>
    <n v="13"/>
    <x v="1"/>
    <n v="5"/>
    <s v="Both"/>
    <n v="8.6"/>
    <n v="0.7"/>
    <n v="2.99"/>
    <n v="1.5"/>
    <s v="low"/>
    <n v="3"/>
    <n v="8"/>
    <n v="3"/>
    <n v="0"/>
  </r>
  <r>
    <n v="13"/>
    <x v="1"/>
    <n v="5.9"/>
    <s v="Instagram"/>
    <n v="4.3"/>
    <n v="0.8"/>
    <n v="3.41"/>
    <n v="1.1000000000000001"/>
    <s v="medium"/>
    <n v="4"/>
    <n v="3"/>
    <n v="2"/>
    <n v="0"/>
  </r>
  <r>
    <n v="13"/>
    <x v="1"/>
    <n v="3.5"/>
    <s v="TikTok"/>
    <n v="5.8"/>
    <n v="1.2"/>
    <n v="2.44"/>
    <n v="1.5"/>
    <s v="medium"/>
    <n v="4"/>
    <n v="1"/>
    <n v="8"/>
    <n v="0"/>
  </r>
  <r>
    <n v="13"/>
    <x v="1"/>
    <n v="6.5"/>
    <s v="Instagram"/>
    <n v="6.5"/>
    <n v="1.5"/>
    <n v="2.0499999999999998"/>
    <n v="0.5"/>
    <s v="low"/>
    <n v="3"/>
    <n v="9"/>
    <n v="4"/>
    <n v="0"/>
  </r>
  <r>
    <n v="13"/>
    <x v="1"/>
    <n v="4"/>
    <s v="Instagram"/>
    <n v="4.2"/>
    <n v="0.9"/>
    <n v="2.75"/>
    <n v="1"/>
    <s v="high"/>
    <n v="5"/>
    <n v="4"/>
    <n v="8"/>
    <n v="0"/>
  </r>
  <r>
    <n v="13"/>
    <x v="1"/>
    <n v="1.6"/>
    <s v="TikTok"/>
    <n v="5"/>
    <n v="2.7"/>
    <n v="2.31"/>
    <n v="1.9"/>
    <s v="low"/>
    <n v="8"/>
    <n v="9"/>
    <n v="5"/>
    <n v="0"/>
  </r>
  <r>
    <n v="13"/>
    <x v="1"/>
    <n v="1.4"/>
    <s v="Both"/>
    <n v="8.6"/>
    <n v="2.4"/>
    <n v="3.31"/>
    <n v="0.7"/>
    <s v="low"/>
    <n v="2"/>
    <n v="6"/>
    <n v="2"/>
    <n v="0"/>
  </r>
  <r>
    <n v="13"/>
    <x v="1"/>
    <n v="5"/>
    <s v="Instagram"/>
    <n v="5.2"/>
    <n v="2.6"/>
    <n v="2.04"/>
    <n v="1.7"/>
    <s v="medium"/>
    <n v="4"/>
    <n v="4"/>
    <n v="5"/>
    <n v="0"/>
  </r>
  <r>
    <n v="13"/>
    <x v="1"/>
    <n v="4.8"/>
    <s v="Instagram"/>
    <n v="6"/>
    <n v="0.6"/>
    <n v="2.41"/>
    <n v="0"/>
    <s v="high"/>
    <n v="3"/>
    <n v="6"/>
    <n v="9"/>
    <n v="0"/>
  </r>
  <r>
    <n v="13"/>
    <x v="1"/>
    <n v="3.9"/>
    <s v="Both"/>
    <n v="4.5"/>
    <n v="1.6"/>
    <n v="2.02"/>
    <n v="0.6"/>
    <s v="high"/>
    <n v="6"/>
    <n v="6"/>
    <n v="5"/>
    <n v="0"/>
  </r>
  <r>
    <n v="13"/>
    <x v="1"/>
    <n v="7.9"/>
    <s v="Instagram"/>
    <n v="7.1"/>
    <n v="0.7"/>
    <n v="2.8"/>
    <n v="0.3"/>
    <s v="medium"/>
    <n v="6"/>
    <n v="8"/>
    <n v="8"/>
    <n v="0"/>
  </r>
  <r>
    <n v="13"/>
    <x v="1"/>
    <n v="5.8"/>
    <s v="TikTok"/>
    <n v="8.3000000000000007"/>
    <n v="2.8"/>
    <n v="2.63"/>
    <n v="0.6"/>
    <s v="high"/>
    <n v="5"/>
    <n v="3"/>
    <n v="7"/>
    <n v="0"/>
  </r>
  <r>
    <n v="13"/>
    <x v="1"/>
    <n v="3.5"/>
    <s v="Both"/>
    <n v="6.8"/>
    <n v="2.2999999999999998"/>
    <n v="2.2799999999999998"/>
    <n v="1"/>
    <s v="low"/>
    <n v="7"/>
    <n v="2"/>
    <n v="6"/>
    <n v="0"/>
  </r>
  <r>
    <n v="13"/>
    <x v="1"/>
    <n v="5.8"/>
    <s v="TikTok"/>
    <n v="7.2"/>
    <n v="1.1000000000000001"/>
    <n v="2.69"/>
    <n v="0.4"/>
    <s v="low"/>
    <n v="7"/>
    <n v="3"/>
    <n v="7"/>
    <n v="0"/>
  </r>
  <r>
    <n v="13"/>
    <x v="1"/>
    <n v="2.5"/>
    <s v="Instagram"/>
    <n v="6.3"/>
    <n v="1.8"/>
    <n v="2.2000000000000002"/>
    <n v="0.1"/>
    <s v="high"/>
    <n v="9"/>
    <n v="3"/>
    <n v="9"/>
    <n v="0"/>
  </r>
  <r>
    <n v="13"/>
    <x v="1"/>
    <n v="5.2"/>
    <s v="Both"/>
    <n v="6.4"/>
    <n v="2.5"/>
    <n v="3.13"/>
    <n v="0.3"/>
    <s v="medium"/>
    <n v="8"/>
    <n v="6"/>
    <n v="7"/>
    <n v="0"/>
  </r>
  <r>
    <n v="13"/>
    <x v="1"/>
    <n v="1.3"/>
    <s v="TikTok"/>
    <n v="4.4000000000000004"/>
    <n v="0.9"/>
    <n v="2.99"/>
    <n v="0"/>
    <s v="high"/>
    <n v="8"/>
    <n v="2"/>
    <n v="5"/>
    <n v="0"/>
  </r>
  <r>
    <n v="13"/>
    <x v="1"/>
    <n v="3"/>
    <s v="Both"/>
    <n v="6.2"/>
    <n v="0.8"/>
    <n v="3.96"/>
    <n v="1.1000000000000001"/>
    <s v="low"/>
    <n v="9"/>
    <n v="10"/>
    <n v="3"/>
    <n v="0"/>
  </r>
  <r>
    <n v="13"/>
    <x v="1"/>
    <n v="5.9"/>
    <s v="Instagram"/>
    <n v="8.6"/>
    <n v="1.9"/>
    <n v="3.88"/>
    <n v="0.2"/>
    <s v="medium"/>
    <n v="1"/>
    <n v="6"/>
    <n v="9"/>
    <n v="0"/>
  </r>
  <r>
    <n v="13"/>
    <x v="1"/>
    <n v="7.8"/>
    <s v="TikTok"/>
    <n v="5.9"/>
    <n v="1.5"/>
    <n v="3.31"/>
    <n v="1.9"/>
    <s v="high"/>
    <n v="10"/>
    <n v="1"/>
    <n v="10"/>
    <n v="0"/>
  </r>
  <r>
    <n v="14"/>
    <x v="1"/>
    <n v="7.9"/>
    <s v="Instagram"/>
    <n v="7.4"/>
    <n v="2.9"/>
    <n v="3.01"/>
    <n v="1.5"/>
    <s v="low"/>
    <n v="2"/>
    <n v="2"/>
    <n v="1"/>
    <n v="0"/>
  </r>
  <r>
    <n v="14"/>
    <x v="1"/>
    <n v="2.5"/>
    <s v="TikTok"/>
    <n v="5.6"/>
    <n v="2.9"/>
    <n v="2.2400000000000002"/>
    <n v="0.5"/>
    <s v="low"/>
    <n v="3"/>
    <n v="9"/>
    <n v="5"/>
    <n v="0"/>
  </r>
  <r>
    <n v="14"/>
    <x v="1"/>
    <n v="4.0999999999999996"/>
    <s v="TikTok"/>
    <n v="8"/>
    <n v="3"/>
    <n v="2.31"/>
    <n v="0.8"/>
    <s v="low"/>
    <n v="8"/>
    <n v="4"/>
    <n v="1"/>
    <n v="0"/>
  </r>
  <r>
    <n v="14"/>
    <x v="1"/>
    <n v="6.4"/>
    <s v="Instagram"/>
    <n v="5.7"/>
    <n v="0.9"/>
    <n v="2.06"/>
    <n v="1.8"/>
    <s v="high"/>
    <n v="10"/>
    <n v="4"/>
    <n v="2"/>
    <n v="0"/>
  </r>
  <r>
    <n v="14"/>
    <x v="1"/>
    <n v="5.2"/>
    <s v="Both"/>
    <n v="4.0999999999999996"/>
    <n v="2.1"/>
    <n v="3.07"/>
    <n v="0.2"/>
    <s v="medium"/>
    <n v="9"/>
    <n v="3"/>
    <n v="8"/>
    <n v="0"/>
  </r>
  <r>
    <n v="14"/>
    <x v="1"/>
    <n v="1.2"/>
    <s v="Instagram"/>
    <n v="8.5"/>
    <n v="1.8"/>
    <n v="3.65"/>
    <n v="1.8"/>
    <s v="high"/>
    <n v="5"/>
    <n v="10"/>
    <n v="10"/>
    <n v="0"/>
  </r>
  <r>
    <n v="14"/>
    <x v="1"/>
    <n v="5.2"/>
    <s v="Both"/>
    <n v="6.7"/>
    <n v="2"/>
    <n v="3.48"/>
    <n v="1"/>
    <s v="medium"/>
    <n v="2"/>
    <n v="1"/>
    <n v="5"/>
    <n v="0"/>
  </r>
  <r>
    <n v="14"/>
    <x v="1"/>
    <n v="2.7"/>
    <s v="Instagram"/>
    <n v="8.4"/>
    <n v="1.3"/>
    <n v="2.0099999999999998"/>
    <n v="0.6"/>
    <s v="low"/>
    <n v="6"/>
    <n v="3"/>
    <n v="8"/>
    <n v="0"/>
  </r>
  <r>
    <n v="14"/>
    <x v="1"/>
    <n v="1.5"/>
    <s v="Both"/>
    <n v="4.3"/>
    <n v="2.1"/>
    <n v="3.9"/>
    <n v="1.5"/>
    <s v="low"/>
    <n v="10"/>
    <n v="2"/>
    <n v="4"/>
    <n v="0"/>
  </r>
  <r>
    <n v="14"/>
    <x v="1"/>
    <n v="1.2"/>
    <s v="Both"/>
    <n v="5.2"/>
    <n v="2.2000000000000002"/>
    <n v="2.19"/>
    <n v="1.9"/>
    <s v="medium"/>
    <n v="9"/>
    <n v="9"/>
    <n v="4"/>
    <n v="0"/>
  </r>
  <r>
    <n v="14"/>
    <x v="1"/>
    <n v="2.2999999999999998"/>
    <s v="TikTok"/>
    <n v="8"/>
    <n v="2.5"/>
    <n v="3.08"/>
    <n v="1.7"/>
    <s v="medium"/>
    <n v="5"/>
    <n v="6"/>
    <n v="7"/>
    <n v="0"/>
  </r>
  <r>
    <n v="14"/>
    <x v="1"/>
    <n v="2.1"/>
    <s v="Instagram"/>
    <n v="8.5"/>
    <n v="1.1000000000000001"/>
    <n v="3.03"/>
    <n v="1.6"/>
    <s v="medium"/>
    <n v="5"/>
    <n v="6"/>
    <n v="7"/>
    <n v="0"/>
  </r>
  <r>
    <n v="14"/>
    <x v="1"/>
    <n v="2.1"/>
    <s v="TikTok"/>
    <n v="5"/>
    <n v="1.4"/>
    <n v="2.96"/>
    <n v="1.1000000000000001"/>
    <s v="low"/>
    <n v="7"/>
    <n v="1"/>
    <n v="9"/>
    <n v="0"/>
  </r>
  <r>
    <n v="14"/>
    <x v="1"/>
    <n v="2.5"/>
    <s v="Both"/>
    <n v="5.3"/>
    <n v="2.4"/>
    <n v="3.87"/>
    <n v="1.3"/>
    <s v="high"/>
    <n v="10"/>
    <n v="9"/>
    <n v="6"/>
    <n v="0"/>
  </r>
  <r>
    <n v="14"/>
    <x v="1"/>
    <n v="3.2"/>
    <s v="TikTok"/>
    <n v="8"/>
    <n v="1.3"/>
    <n v="2.5"/>
    <n v="1.1000000000000001"/>
    <s v="high"/>
    <n v="2"/>
    <n v="7"/>
    <n v="5"/>
    <n v="0"/>
  </r>
  <r>
    <n v="14"/>
    <x v="1"/>
    <n v="5.4"/>
    <s v="Instagram"/>
    <n v="5.6"/>
    <n v="1.8"/>
    <n v="3.01"/>
    <n v="0.9"/>
    <s v="low"/>
    <n v="10"/>
    <n v="6"/>
    <n v="8"/>
    <n v="0"/>
  </r>
  <r>
    <n v="14"/>
    <x v="1"/>
    <n v="5.8"/>
    <s v="Both"/>
    <n v="6.9"/>
    <n v="0.7"/>
    <n v="3.01"/>
    <n v="1.9"/>
    <s v="high"/>
    <n v="9"/>
    <n v="9"/>
    <n v="4"/>
    <n v="0"/>
  </r>
  <r>
    <n v="14"/>
    <x v="1"/>
    <n v="1.3"/>
    <s v="Instagram"/>
    <n v="8.5"/>
    <n v="0.9"/>
    <n v="3.71"/>
    <n v="0.7"/>
    <s v="high"/>
    <n v="3"/>
    <n v="3"/>
    <n v="6"/>
    <n v="0"/>
  </r>
  <r>
    <n v="14"/>
    <x v="1"/>
    <n v="3.8"/>
    <s v="Instagram"/>
    <n v="5.3"/>
    <n v="1"/>
    <n v="2.2799999999999998"/>
    <n v="1.2"/>
    <s v="low"/>
    <n v="9"/>
    <n v="3"/>
    <n v="1"/>
    <n v="0"/>
  </r>
  <r>
    <n v="14"/>
    <x v="1"/>
    <n v="1.5"/>
    <s v="Both"/>
    <n v="7.2"/>
    <n v="1.7"/>
    <n v="2.76"/>
    <n v="0"/>
    <s v="low"/>
    <n v="10"/>
    <n v="7"/>
    <n v="10"/>
    <n v="0"/>
  </r>
  <r>
    <n v="14"/>
    <x v="1"/>
    <n v="6.5"/>
    <s v="Instagram"/>
    <n v="5.3"/>
    <n v="2.7"/>
    <n v="3.79"/>
    <n v="0.8"/>
    <s v="low"/>
    <n v="8"/>
    <n v="6"/>
    <n v="4"/>
    <n v="0"/>
  </r>
  <r>
    <n v="14"/>
    <x v="1"/>
    <n v="7.2"/>
    <s v="TikTok"/>
    <n v="4.8"/>
    <n v="1.4"/>
    <n v="2.36"/>
    <n v="0.1"/>
    <s v="low"/>
    <n v="5"/>
    <n v="7"/>
    <n v="1"/>
    <n v="0"/>
  </r>
  <r>
    <n v="14"/>
    <x v="1"/>
    <n v="3.8"/>
    <s v="Instagram"/>
    <n v="4.8"/>
    <n v="1.9"/>
    <n v="3.97"/>
    <n v="0.2"/>
    <s v="high"/>
    <n v="4"/>
    <n v="6"/>
    <n v="6"/>
    <n v="0"/>
  </r>
  <r>
    <n v="14"/>
    <x v="1"/>
    <n v="5.4"/>
    <s v="Both"/>
    <n v="8.1"/>
    <n v="1.8"/>
    <n v="2.5299999999999998"/>
    <n v="0.9"/>
    <s v="medium"/>
    <n v="5"/>
    <n v="8"/>
    <n v="8"/>
    <n v="0"/>
  </r>
  <r>
    <n v="14"/>
    <x v="1"/>
    <n v="1.4"/>
    <s v="Both"/>
    <n v="7"/>
    <n v="1.8"/>
    <n v="2.69"/>
    <n v="0.9"/>
    <s v="low"/>
    <n v="10"/>
    <n v="4"/>
    <n v="2"/>
    <n v="0"/>
  </r>
  <r>
    <n v="14"/>
    <x v="1"/>
    <n v="5"/>
    <s v="Both"/>
    <n v="4.3"/>
    <n v="1.1000000000000001"/>
    <n v="3.8"/>
    <n v="0.4"/>
    <s v="medium"/>
    <n v="9"/>
    <n v="4"/>
    <n v="10"/>
    <n v="0"/>
  </r>
  <r>
    <n v="14"/>
    <x v="1"/>
    <n v="5.5"/>
    <s v="TikTok"/>
    <n v="7.3"/>
    <n v="1.4"/>
    <n v="2.61"/>
    <n v="1.2"/>
    <s v="high"/>
    <n v="5"/>
    <n v="7"/>
    <n v="1"/>
    <n v="0"/>
  </r>
  <r>
    <n v="14"/>
    <x v="1"/>
    <n v="2.8"/>
    <s v="Instagram"/>
    <n v="5"/>
    <n v="2.5"/>
    <n v="3.92"/>
    <n v="1.8"/>
    <s v="high"/>
    <n v="1"/>
    <n v="3"/>
    <n v="4"/>
    <n v="0"/>
  </r>
  <r>
    <n v="14"/>
    <x v="1"/>
    <n v="7"/>
    <s v="TikTok"/>
    <n v="6.9"/>
    <n v="1"/>
    <n v="3.93"/>
    <n v="1.1000000000000001"/>
    <s v="high"/>
    <n v="9"/>
    <n v="3"/>
    <n v="7"/>
    <n v="0"/>
  </r>
  <r>
    <n v="14"/>
    <x v="1"/>
    <n v="4.0999999999999996"/>
    <s v="TikTok"/>
    <n v="5.0999999999999996"/>
    <n v="2"/>
    <n v="3.51"/>
    <n v="0.7"/>
    <s v="high"/>
    <n v="2"/>
    <n v="9"/>
    <n v="1"/>
    <n v="0"/>
  </r>
  <r>
    <n v="14"/>
    <x v="1"/>
    <n v="5.3"/>
    <s v="Both"/>
    <n v="9"/>
    <n v="2.8"/>
    <n v="3.1"/>
    <n v="1.6"/>
    <s v="high"/>
    <n v="10"/>
    <n v="7"/>
    <n v="6"/>
    <n v="0"/>
  </r>
  <r>
    <n v="14"/>
    <x v="1"/>
    <n v="4.3"/>
    <s v="Instagram"/>
    <n v="8.4"/>
    <n v="0.9"/>
    <n v="3.2"/>
    <n v="1.6"/>
    <s v="high"/>
    <n v="10"/>
    <n v="10"/>
    <n v="1"/>
    <n v="0"/>
  </r>
  <r>
    <n v="14"/>
    <x v="1"/>
    <n v="6.1"/>
    <s v="Both"/>
    <n v="7.6"/>
    <n v="1.4"/>
    <n v="2.72"/>
    <n v="0.9"/>
    <s v="low"/>
    <n v="9"/>
    <n v="3"/>
    <n v="3"/>
    <n v="0"/>
  </r>
  <r>
    <n v="14"/>
    <x v="1"/>
    <n v="3.8"/>
    <s v="Instagram"/>
    <n v="8.9"/>
    <n v="1.9"/>
    <n v="2.77"/>
    <n v="0.2"/>
    <s v="medium"/>
    <n v="6"/>
    <n v="2"/>
    <n v="2"/>
    <n v="0"/>
  </r>
  <r>
    <n v="14"/>
    <x v="1"/>
    <n v="5.6"/>
    <s v="Instagram"/>
    <n v="8.8000000000000007"/>
    <n v="0.9"/>
    <n v="3.03"/>
    <n v="2"/>
    <s v="low"/>
    <n v="8"/>
    <n v="10"/>
    <n v="3"/>
    <n v="0"/>
  </r>
  <r>
    <n v="14"/>
    <x v="1"/>
    <n v="4.0999999999999996"/>
    <s v="Instagram"/>
    <n v="8.1999999999999993"/>
    <n v="1.7"/>
    <n v="2.3199999999999998"/>
    <n v="1.4"/>
    <s v="high"/>
    <n v="9"/>
    <n v="2"/>
    <n v="4"/>
    <n v="0"/>
  </r>
  <r>
    <n v="14"/>
    <x v="1"/>
    <n v="3.3"/>
    <s v="Instagram"/>
    <n v="6.5"/>
    <n v="0.8"/>
    <n v="2.54"/>
    <n v="0.8"/>
    <s v="low"/>
    <n v="1"/>
    <n v="2"/>
    <n v="3"/>
    <n v="0"/>
  </r>
  <r>
    <n v="14"/>
    <x v="1"/>
    <n v="1.4"/>
    <s v="Both"/>
    <n v="4.5"/>
    <n v="1.4"/>
    <n v="3.17"/>
    <n v="1.7"/>
    <s v="high"/>
    <n v="9"/>
    <n v="10"/>
    <n v="9"/>
    <n v="0"/>
  </r>
  <r>
    <n v="14"/>
    <x v="1"/>
    <n v="2.7"/>
    <s v="Both"/>
    <n v="6.3"/>
    <n v="0.6"/>
    <n v="3.88"/>
    <n v="0.3"/>
    <s v="medium"/>
    <n v="6"/>
    <n v="6"/>
    <n v="6"/>
    <n v="0"/>
  </r>
  <r>
    <n v="14"/>
    <x v="1"/>
    <n v="3.9"/>
    <s v="Instagram"/>
    <n v="7.7"/>
    <n v="1.4"/>
    <n v="2.86"/>
    <n v="1.7"/>
    <s v="high"/>
    <n v="3"/>
    <n v="5"/>
    <n v="1"/>
    <n v="0"/>
  </r>
  <r>
    <n v="14"/>
    <x v="1"/>
    <n v="5.5"/>
    <s v="TikTok"/>
    <n v="7.4"/>
    <n v="2.9"/>
    <n v="3.54"/>
    <n v="1.1000000000000001"/>
    <s v="high"/>
    <n v="8"/>
    <n v="4"/>
    <n v="10"/>
    <n v="0"/>
  </r>
  <r>
    <n v="14"/>
    <x v="1"/>
    <n v="3.1"/>
    <s v="TikTok"/>
    <n v="8.8000000000000007"/>
    <n v="1.5"/>
    <n v="3.91"/>
    <n v="0.6"/>
    <s v="medium"/>
    <n v="4"/>
    <n v="9"/>
    <n v="6"/>
    <n v="0"/>
  </r>
  <r>
    <n v="14"/>
    <x v="1"/>
    <n v="3.8"/>
    <s v="Both"/>
    <n v="7.5"/>
    <n v="0.5"/>
    <n v="2.1800000000000002"/>
    <n v="1"/>
    <s v="medium"/>
    <n v="5"/>
    <n v="2"/>
    <n v="2"/>
    <n v="0"/>
  </r>
  <r>
    <n v="14"/>
    <x v="1"/>
    <n v="5.6"/>
    <s v="Instagram"/>
    <n v="7"/>
    <n v="1.9"/>
    <n v="2.58"/>
    <n v="0.4"/>
    <s v="low"/>
    <n v="5"/>
    <n v="7"/>
    <n v="3"/>
    <n v="0"/>
  </r>
  <r>
    <n v="14"/>
    <x v="1"/>
    <n v="4.2"/>
    <s v="Both"/>
    <n v="7"/>
    <n v="1.1000000000000001"/>
    <n v="2.12"/>
    <n v="0.9"/>
    <s v="high"/>
    <n v="4"/>
    <n v="8"/>
    <n v="1"/>
    <n v="0"/>
  </r>
  <r>
    <n v="14"/>
    <x v="1"/>
    <n v="4.7"/>
    <s v="TikTok"/>
    <n v="7.9"/>
    <n v="2.9"/>
    <n v="2.54"/>
    <n v="0.7"/>
    <s v="high"/>
    <n v="5"/>
    <n v="8"/>
    <n v="7"/>
    <n v="0"/>
  </r>
  <r>
    <n v="14"/>
    <x v="1"/>
    <n v="5.8"/>
    <s v="Instagram"/>
    <n v="5.0999999999999996"/>
    <n v="2.6"/>
    <n v="2.06"/>
    <n v="1.5"/>
    <s v="medium"/>
    <n v="7"/>
    <n v="5"/>
    <n v="2"/>
    <n v="0"/>
  </r>
  <r>
    <n v="14"/>
    <x v="1"/>
    <n v="3.6"/>
    <s v="TikTok"/>
    <n v="4"/>
    <n v="1.4"/>
    <n v="3.83"/>
    <n v="0.5"/>
    <s v="medium"/>
    <n v="1"/>
    <n v="5"/>
    <n v="2"/>
    <n v="0"/>
  </r>
  <r>
    <n v="14"/>
    <x v="1"/>
    <n v="2.9"/>
    <s v="Instagram"/>
    <n v="7.2"/>
    <n v="2"/>
    <n v="3.96"/>
    <n v="1.5"/>
    <s v="medium"/>
    <n v="9"/>
    <n v="10"/>
    <n v="4"/>
    <n v="0"/>
  </r>
  <r>
    <n v="14"/>
    <x v="1"/>
    <n v="1.8"/>
    <s v="Both"/>
    <n v="5.0999999999999996"/>
    <n v="2.7"/>
    <n v="3.47"/>
    <n v="0.2"/>
    <s v="low"/>
    <n v="8"/>
    <n v="4"/>
    <n v="6"/>
    <n v="0"/>
  </r>
  <r>
    <n v="14"/>
    <x v="1"/>
    <n v="6.4"/>
    <s v="Instagram"/>
    <n v="5.6"/>
    <n v="0.8"/>
    <n v="4"/>
    <n v="1.9"/>
    <s v="medium"/>
    <n v="5"/>
    <n v="1"/>
    <n v="3"/>
    <n v="0"/>
  </r>
  <r>
    <n v="14"/>
    <x v="1"/>
    <n v="3.4"/>
    <s v="Instagram"/>
    <n v="4.5999999999999996"/>
    <n v="2"/>
    <n v="2.27"/>
    <n v="1.9"/>
    <s v="high"/>
    <n v="7"/>
    <n v="10"/>
    <n v="6"/>
    <n v="0"/>
  </r>
  <r>
    <n v="14"/>
    <x v="1"/>
    <n v="7.9"/>
    <s v="Instagram"/>
    <n v="5.7"/>
    <n v="1.6"/>
    <n v="3.67"/>
    <n v="0.6"/>
    <s v="medium"/>
    <n v="4"/>
    <n v="3"/>
    <n v="4"/>
    <n v="0"/>
  </r>
  <r>
    <n v="14"/>
    <x v="1"/>
    <n v="5.2"/>
    <s v="Instagram"/>
    <n v="5.5"/>
    <n v="1.6"/>
    <n v="3.08"/>
    <n v="0.5"/>
    <s v="medium"/>
    <n v="3"/>
    <n v="8"/>
    <n v="1"/>
    <n v="0"/>
  </r>
  <r>
    <n v="14"/>
    <x v="1"/>
    <n v="3.2"/>
    <s v="Instagram"/>
    <n v="5.4"/>
    <n v="2.6"/>
    <n v="3.18"/>
    <n v="0.9"/>
    <s v="low"/>
    <n v="9"/>
    <n v="1"/>
    <n v="7"/>
    <n v="0"/>
  </r>
  <r>
    <n v="14"/>
    <x v="1"/>
    <n v="6.2"/>
    <s v="TikTok"/>
    <n v="4.4000000000000004"/>
    <n v="0.7"/>
    <n v="3.45"/>
    <n v="0.5"/>
    <s v="medium"/>
    <n v="9"/>
    <n v="10"/>
    <n v="3"/>
    <n v="1"/>
  </r>
  <r>
    <n v="14"/>
    <x v="1"/>
    <n v="7.6"/>
    <s v="Instagram"/>
    <n v="5.8"/>
    <n v="1.9"/>
    <n v="3.49"/>
    <n v="1.7"/>
    <s v="high"/>
    <n v="10"/>
    <n v="1"/>
    <n v="3"/>
    <n v="0"/>
  </r>
  <r>
    <n v="14"/>
    <x v="1"/>
    <n v="4.9000000000000004"/>
    <s v="Instagram"/>
    <n v="5.5"/>
    <n v="1.6"/>
    <n v="2.85"/>
    <n v="0.4"/>
    <s v="low"/>
    <n v="8"/>
    <n v="1"/>
    <n v="8"/>
    <n v="0"/>
  </r>
  <r>
    <n v="14"/>
    <x v="1"/>
    <n v="3.9"/>
    <s v="Both"/>
    <n v="4.8"/>
    <n v="0.8"/>
    <n v="3.32"/>
    <n v="0.3"/>
    <s v="high"/>
    <n v="5"/>
    <n v="2"/>
    <n v="5"/>
    <n v="0"/>
  </r>
  <r>
    <n v="14"/>
    <x v="1"/>
    <n v="7.4"/>
    <s v="Instagram"/>
    <n v="8.9"/>
    <n v="2.4"/>
    <n v="2.29"/>
    <n v="1.1000000000000001"/>
    <s v="low"/>
    <n v="10"/>
    <n v="4"/>
    <n v="8"/>
    <n v="0"/>
  </r>
  <r>
    <n v="14"/>
    <x v="1"/>
    <n v="1.5"/>
    <s v="Both"/>
    <n v="6.8"/>
    <n v="0.8"/>
    <n v="3.14"/>
    <n v="0"/>
    <s v="medium"/>
    <n v="4"/>
    <n v="5"/>
    <n v="8"/>
    <n v="0"/>
  </r>
  <r>
    <n v="14"/>
    <x v="1"/>
    <n v="2.8"/>
    <s v="Both"/>
    <n v="4.3"/>
    <n v="3"/>
    <n v="2.14"/>
    <n v="1.9"/>
    <s v="medium"/>
    <n v="9"/>
    <n v="3"/>
    <n v="7"/>
    <n v="0"/>
  </r>
  <r>
    <n v="14"/>
    <x v="1"/>
    <n v="7"/>
    <s v="Instagram"/>
    <n v="5.2"/>
    <n v="1.4"/>
    <n v="3.27"/>
    <n v="1.7"/>
    <s v="medium"/>
    <n v="5"/>
    <n v="7"/>
    <n v="8"/>
    <n v="0"/>
  </r>
  <r>
    <n v="14"/>
    <x v="1"/>
    <n v="5"/>
    <s v="TikTok"/>
    <n v="5.2"/>
    <n v="0.5"/>
    <n v="3.55"/>
    <n v="0.4"/>
    <s v="low"/>
    <n v="10"/>
    <n v="6"/>
    <n v="8"/>
    <n v="0"/>
  </r>
  <r>
    <n v="14"/>
    <x v="1"/>
    <n v="3.4"/>
    <s v="Both"/>
    <n v="5.8"/>
    <n v="3"/>
    <n v="3.32"/>
    <n v="0.6"/>
    <s v="medium"/>
    <n v="1"/>
    <n v="4"/>
    <n v="4"/>
    <n v="0"/>
  </r>
  <r>
    <n v="14"/>
    <x v="1"/>
    <n v="5.0999999999999996"/>
    <s v="Instagram"/>
    <n v="6.3"/>
    <n v="1.6"/>
    <n v="2.7"/>
    <n v="0.1"/>
    <s v="medium"/>
    <n v="7"/>
    <n v="2"/>
    <n v="7"/>
    <n v="0"/>
  </r>
  <r>
    <n v="14"/>
    <x v="1"/>
    <n v="7.5"/>
    <s v="Both"/>
    <n v="7.6"/>
    <n v="2.8"/>
    <n v="3.1"/>
    <n v="0.7"/>
    <s v="medium"/>
    <n v="3"/>
    <n v="1"/>
    <n v="2"/>
    <n v="0"/>
  </r>
  <r>
    <n v="14"/>
    <x v="1"/>
    <n v="2.8"/>
    <s v="Both"/>
    <n v="6.2"/>
    <n v="1.2"/>
    <n v="3.21"/>
    <n v="1"/>
    <s v="low"/>
    <n v="3"/>
    <n v="10"/>
    <n v="6"/>
    <n v="0"/>
  </r>
  <r>
    <n v="14"/>
    <x v="1"/>
    <n v="5.3"/>
    <s v="Instagram"/>
    <n v="6.8"/>
    <n v="2.9"/>
    <n v="2.1800000000000002"/>
    <n v="0.8"/>
    <s v="medium"/>
    <n v="10"/>
    <n v="1"/>
    <n v="6"/>
    <n v="0"/>
  </r>
  <r>
    <n v="14"/>
    <x v="1"/>
    <n v="4.4000000000000004"/>
    <s v="Instagram"/>
    <n v="8.8000000000000007"/>
    <n v="2.2999999999999998"/>
    <n v="2.73"/>
    <n v="0.3"/>
    <s v="medium"/>
    <n v="9"/>
    <n v="2"/>
    <n v="2"/>
    <n v="0"/>
  </r>
  <r>
    <n v="14"/>
    <x v="1"/>
    <n v="4"/>
    <s v="TikTok"/>
    <n v="4.9000000000000004"/>
    <n v="2.7"/>
    <n v="2.2999999999999998"/>
    <n v="0.5"/>
    <s v="high"/>
    <n v="7"/>
    <n v="8"/>
    <n v="6"/>
    <n v="0"/>
  </r>
  <r>
    <n v="14"/>
    <x v="1"/>
    <n v="7.2"/>
    <s v="TikTok"/>
    <n v="5.7"/>
    <n v="2.7"/>
    <n v="2.76"/>
    <n v="0.4"/>
    <s v="low"/>
    <n v="7"/>
    <n v="3"/>
    <n v="7"/>
    <n v="0"/>
  </r>
  <r>
    <n v="14"/>
    <x v="1"/>
    <n v="6.4"/>
    <s v="Instagram"/>
    <n v="4.3"/>
    <n v="2.2999999999999998"/>
    <n v="3.99"/>
    <n v="1.1000000000000001"/>
    <s v="low"/>
    <n v="7"/>
    <n v="4"/>
    <n v="3"/>
    <n v="0"/>
  </r>
  <r>
    <n v="14"/>
    <x v="1"/>
    <n v="5.6"/>
    <s v="Both"/>
    <n v="4.5"/>
    <n v="1.4"/>
    <n v="2.44"/>
    <n v="1.2"/>
    <s v="low"/>
    <n v="5"/>
    <n v="10"/>
    <n v="9"/>
    <n v="0"/>
  </r>
  <r>
    <n v="14"/>
    <x v="1"/>
    <n v="7"/>
    <s v="Both"/>
    <n v="6.7"/>
    <n v="1.9"/>
    <n v="2.48"/>
    <n v="1.3"/>
    <s v="low"/>
    <n v="7"/>
    <n v="1"/>
    <n v="5"/>
    <n v="0"/>
  </r>
  <r>
    <n v="15"/>
    <x v="1"/>
    <n v="7.4"/>
    <s v="TikTok"/>
    <n v="6.9"/>
    <n v="1.6"/>
    <n v="3.48"/>
    <n v="0.8"/>
    <s v="medium"/>
    <n v="1"/>
    <n v="7"/>
    <n v="9"/>
    <n v="0"/>
  </r>
  <r>
    <n v="15"/>
    <x v="1"/>
    <n v="1.9"/>
    <s v="TikTok"/>
    <n v="4.9000000000000004"/>
    <n v="1.5"/>
    <n v="3.77"/>
    <n v="1.1000000000000001"/>
    <s v="high"/>
    <n v="1"/>
    <n v="1"/>
    <n v="4"/>
    <n v="0"/>
  </r>
  <r>
    <n v="15"/>
    <x v="1"/>
    <n v="5.7"/>
    <s v="TikTok"/>
    <n v="5.9"/>
    <n v="0.8"/>
    <n v="3.5"/>
    <n v="0.7"/>
    <s v="low"/>
    <n v="1"/>
    <n v="9"/>
    <n v="1"/>
    <n v="0"/>
  </r>
  <r>
    <n v="15"/>
    <x v="1"/>
    <n v="4"/>
    <s v="Both"/>
    <n v="8.8000000000000007"/>
    <n v="1.3"/>
    <n v="3.59"/>
    <n v="1.9"/>
    <s v="medium"/>
    <n v="10"/>
    <n v="6"/>
    <n v="10"/>
    <n v="0"/>
  </r>
  <r>
    <n v="15"/>
    <x v="1"/>
    <n v="7.5"/>
    <s v="Both"/>
    <n v="7"/>
    <n v="0.9"/>
    <n v="3.48"/>
    <n v="1.1000000000000001"/>
    <s v="high"/>
    <n v="2"/>
    <n v="2"/>
    <n v="6"/>
    <n v="0"/>
  </r>
  <r>
    <n v="15"/>
    <x v="1"/>
    <n v="6.7"/>
    <s v="Both"/>
    <n v="4.5"/>
    <n v="2.1"/>
    <n v="3.71"/>
    <n v="1.3"/>
    <s v="high"/>
    <n v="3"/>
    <n v="3"/>
    <n v="3"/>
    <n v="0"/>
  </r>
  <r>
    <n v="15"/>
    <x v="1"/>
    <n v="2.7"/>
    <s v="TikTok"/>
    <n v="6.6"/>
    <n v="1.9"/>
    <n v="2.75"/>
    <n v="1.9"/>
    <s v="medium"/>
    <n v="3"/>
    <n v="6"/>
    <n v="6"/>
    <n v="0"/>
  </r>
  <r>
    <n v="15"/>
    <x v="1"/>
    <n v="4.5999999999999996"/>
    <s v="TikTok"/>
    <n v="5.2"/>
    <n v="1.4"/>
    <n v="2.98"/>
    <n v="1.9"/>
    <s v="low"/>
    <n v="1"/>
    <n v="4"/>
    <n v="5"/>
    <n v="0"/>
  </r>
  <r>
    <n v="15"/>
    <x v="1"/>
    <n v="6.5"/>
    <s v="Both"/>
    <n v="8.1"/>
    <n v="2"/>
    <n v="3.89"/>
    <n v="1.3"/>
    <s v="high"/>
    <n v="8"/>
    <n v="2"/>
    <n v="2"/>
    <n v="0"/>
  </r>
  <r>
    <n v="15"/>
    <x v="1"/>
    <n v="7.4"/>
    <s v="TikTok"/>
    <n v="6.3"/>
    <n v="1.3"/>
    <n v="3.47"/>
    <n v="1.2"/>
    <s v="medium"/>
    <n v="1"/>
    <n v="3"/>
    <n v="9"/>
    <n v="0"/>
  </r>
  <r>
    <n v="15"/>
    <x v="1"/>
    <n v="7.6"/>
    <s v="Instagram"/>
    <n v="7.6"/>
    <n v="2.7"/>
    <n v="2.36"/>
    <n v="1.2"/>
    <s v="medium"/>
    <n v="5"/>
    <n v="10"/>
    <n v="3"/>
    <n v="0"/>
  </r>
  <r>
    <n v="15"/>
    <x v="1"/>
    <n v="7.3"/>
    <s v="Both"/>
    <n v="4.8"/>
    <n v="2.6"/>
    <n v="3.81"/>
    <n v="1.5"/>
    <s v="low"/>
    <n v="4"/>
    <n v="7"/>
    <n v="4"/>
    <n v="0"/>
  </r>
  <r>
    <n v="15"/>
    <x v="1"/>
    <n v="1.9"/>
    <s v="TikTok"/>
    <n v="5.8"/>
    <n v="2.2999999999999998"/>
    <n v="2.4700000000000002"/>
    <n v="0.3"/>
    <s v="high"/>
    <n v="10"/>
    <n v="9"/>
    <n v="4"/>
    <n v="0"/>
  </r>
  <r>
    <n v="15"/>
    <x v="1"/>
    <n v="6.2"/>
    <s v="TikTok"/>
    <n v="6.3"/>
    <n v="1.7"/>
    <n v="2.2599999999999998"/>
    <n v="1.1000000000000001"/>
    <s v="high"/>
    <n v="9"/>
    <n v="6"/>
    <n v="2"/>
    <n v="0"/>
  </r>
  <r>
    <n v="15"/>
    <x v="1"/>
    <n v="1.6"/>
    <s v="Instagram"/>
    <n v="6.9"/>
    <n v="2.2999999999999998"/>
    <n v="3.16"/>
    <n v="0.9"/>
    <s v="medium"/>
    <n v="3"/>
    <n v="1"/>
    <n v="5"/>
    <n v="0"/>
  </r>
  <r>
    <n v="15"/>
    <x v="1"/>
    <n v="2.8"/>
    <s v="Instagram"/>
    <n v="7.2"/>
    <n v="1.8"/>
    <n v="2.91"/>
    <n v="0.2"/>
    <s v="low"/>
    <n v="5"/>
    <n v="5"/>
    <n v="4"/>
    <n v="0"/>
  </r>
  <r>
    <n v="15"/>
    <x v="1"/>
    <n v="2.2000000000000002"/>
    <s v="Instagram"/>
    <n v="5.2"/>
    <n v="1.4"/>
    <n v="2.62"/>
    <n v="1.5"/>
    <s v="medium"/>
    <n v="10"/>
    <n v="7"/>
    <n v="5"/>
    <n v="0"/>
  </r>
  <r>
    <n v="15"/>
    <x v="1"/>
    <n v="7.5"/>
    <s v="Instagram"/>
    <n v="8.1"/>
    <n v="2.5"/>
    <n v="3.56"/>
    <n v="1.2"/>
    <s v="medium"/>
    <n v="6"/>
    <n v="8"/>
    <n v="10"/>
    <n v="0"/>
  </r>
  <r>
    <n v="15"/>
    <x v="1"/>
    <n v="3.6"/>
    <s v="TikTok"/>
    <n v="4.3"/>
    <n v="2.9"/>
    <n v="2.2000000000000002"/>
    <n v="1"/>
    <s v="high"/>
    <n v="10"/>
    <n v="9"/>
    <n v="7"/>
    <n v="0"/>
  </r>
  <r>
    <n v="15"/>
    <x v="1"/>
    <n v="3"/>
    <s v="Instagram"/>
    <n v="8.6"/>
    <n v="1.5"/>
    <n v="3.27"/>
    <n v="0.8"/>
    <s v="medium"/>
    <n v="10"/>
    <n v="10"/>
    <n v="4"/>
    <n v="0"/>
  </r>
  <r>
    <n v="15"/>
    <x v="1"/>
    <n v="7.6"/>
    <s v="TikTok"/>
    <n v="7.9"/>
    <n v="0.8"/>
    <n v="3.55"/>
    <n v="1.9"/>
    <s v="high"/>
    <n v="10"/>
    <n v="8"/>
    <n v="6"/>
    <n v="0"/>
  </r>
  <r>
    <n v="15"/>
    <x v="1"/>
    <n v="5.0999999999999996"/>
    <s v="Instagram"/>
    <n v="4.0999999999999996"/>
    <n v="2.8"/>
    <n v="3.79"/>
    <n v="0.8"/>
    <s v="medium"/>
    <n v="9"/>
    <n v="7"/>
    <n v="3"/>
    <n v="1"/>
  </r>
  <r>
    <n v="15"/>
    <x v="1"/>
    <n v="2.2999999999999998"/>
    <s v="Both"/>
    <n v="7.8"/>
    <n v="3"/>
    <n v="2.2999999999999998"/>
    <n v="1.4"/>
    <s v="medium"/>
    <n v="4"/>
    <n v="9"/>
    <n v="10"/>
    <n v="0"/>
  </r>
  <r>
    <n v="15"/>
    <x v="1"/>
    <n v="7.3"/>
    <s v="Both"/>
    <n v="4.4000000000000004"/>
    <n v="2.2999999999999998"/>
    <n v="2.76"/>
    <n v="1.8"/>
    <s v="medium"/>
    <n v="4"/>
    <n v="6"/>
    <n v="9"/>
    <n v="0"/>
  </r>
  <r>
    <n v="15"/>
    <x v="1"/>
    <n v="7"/>
    <s v="Both"/>
    <n v="8.6999999999999993"/>
    <n v="3"/>
    <n v="2.84"/>
    <n v="1.4"/>
    <s v="medium"/>
    <n v="5"/>
    <n v="3"/>
    <n v="2"/>
    <n v="0"/>
  </r>
  <r>
    <n v="15"/>
    <x v="1"/>
    <n v="2.8"/>
    <s v="TikTok"/>
    <n v="6.1"/>
    <n v="2.9"/>
    <n v="2.98"/>
    <n v="1.8"/>
    <s v="medium"/>
    <n v="6"/>
    <n v="3"/>
    <n v="7"/>
    <n v="0"/>
  </r>
  <r>
    <n v="15"/>
    <x v="1"/>
    <n v="7.9"/>
    <s v="TikTok"/>
    <n v="4.0999999999999996"/>
    <n v="0.7"/>
    <n v="2.33"/>
    <n v="1.2"/>
    <s v="medium"/>
    <n v="3"/>
    <n v="8"/>
    <n v="1"/>
    <n v="0"/>
  </r>
  <r>
    <n v="15"/>
    <x v="1"/>
    <n v="5.0999999999999996"/>
    <s v="Instagram"/>
    <n v="7.4"/>
    <n v="0.7"/>
    <n v="2.64"/>
    <n v="0.2"/>
    <s v="medium"/>
    <n v="5"/>
    <n v="8"/>
    <n v="1"/>
    <n v="0"/>
  </r>
  <r>
    <n v="15"/>
    <x v="1"/>
    <n v="6.6"/>
    <s v="Instagram"/>
    <n v="8.6"/>
    <n v="1.5"/>
    <n v="2.63"/>
    <n v="1.1000000000000001"/>
    <s v="low"/>
    <n v="1"/>
    <n v="9"/>
    <n v="9"/>
    <n v="0"/>
  </r>
  <r>
    <n v="15"/>
    <x v="1"/>
    <n v="5.2"/>
    <s v="Both"/>
    <n v="5.6"/>
    <n v="1.1000000000000001"/>
    <n v="2.88"/>
    <n v="0.1"/>
    <s v="medium"/>
    <n v="4"/>
    <n v="8"/>
    <n v="7"/>
    <n v="0"/>
  </r>
  <r>
    <n v="15"/>
    <x v="1"/>
    <n v="6.2"/>
    <s v="TikTok"/>
    <n v="4.5999999999999996"/>
    <n v="1.1000000000000001"/>
    <n v="2.94"/>
    <n v="1.8"/>
    <s v="high"/>
    <n v="4"/>
    <n v="2"/>
    <n v="3"/>
    <n v="0"/>
  </r>
  <r>
    <n v="15"/>
    <x v="1"/>
    <n v="2.1"/>
    <s v="Instagram"/>
    <n v="4.4000000000000004"/>
    <n v="2.1"/>
    <n v="3.43"/>
    <n v="1.9"/>
    <s v="low"/>
    <n v="6"/>
    <n v="6"/>
    <n v="7"/>
    <n v="0"/>
  </r>
  <r>
    <n v="15"/>
    <x v="1"/>
    <n v="6.4"/>
    <s v="Instagram"/>
    <n v="7.8"/>
    <n v="0.7"/>
    <n v="2.6"/>
    <n v="0.7"/>
    <s v="high"/>
    <n v="4"/>
    <n v="4"/>
    <n v="2"/>
    <n v="0"/>
  </r>
  <r>
    <n v="15"/>
    <x v="1"/>
    <n v="1.3"/>
    <s v="TikTok"/>
    <n v="7.5"/>
    <n v="1.3"/>
    <n v="2.99"/>
    <n v="1.4"/>
    <s v="low"/>
    <n v="1"/>
    <n v="5"/>
    <n v="2"/>
    <n v="0"/>
  </r>
  <r>
    <n v="15"/>
    <x v="1"/>
    <n v="7.4"/>
    <s v="Both"/>
    <n v="5.9"/>
    <n v="2.6"/>
    <n v="2.89"/>
    <n v="1.9"/>
    <s v="medium"/>
    <n v="7"/>
    <n v="3"/>
    <n v="8"/>
    <n v="0"/>
  </r>
  <r>
    <n v="15"/>
    <x v="1"/>
    <n v="6.2"/>
    <s v="Instagram"/>
    <n v="8.1"/>
    <n v="2.2999999999999998"/>
    <n v="3.46"/>
    <n v="1.3"/>
    <s v="low"/>
    <n v="5"/>
    <n v="4"/>
    <n v="9"/>
    <n v="0"/>
  </r>
  <r>
    <n v="15"/>
    <x v="1"/>
    <n v="5.3"/>
    <s v="Both"/>
    <n v="7.3"/>
    <n v="1.9"/>
    <n v="2.5099999999999998"/>
    <n v="1.4"/>
    <s v="high"/>
    <n v="10"/>
    <n v="4"/>
    <n v="2"/>
    <n v="0"/>
  </r>
  <r>
    <n v="15"/>
    <x v="1"/>
    <n v="2.2999999999999998"/>
    <s v="Both"/>
    <n v="5.7"/>
    <n v="2.8"/>
    <n v="2.79"/>
    <n v="1.9"/>
    <s v="medium"/>
    <n v="4"/>
    <n v="1"/>
    <n v="4"/>
    <n v="0"/>
  </r>
  <r>
    <n v="15"/>
    <x v="1"/>
    <n v="4.7"/>
    <s v="Instagram"/>
    <n v="8.4"/>
    <n v="1.9"/>
    <n v="3.9"/>
    <n v="1"/>
    <s v="high"/>
    <n v="4"/>
    <n v="10"/>
    <n v="6"/>
    <n v="0"/>
  </r>
  <r>
    <n v="15"/>
    <x v="1"/>
    <n v="7.1"/>
    <s v="Both"/>
    <n v="6.5"/>
    <n v="0.7"/>
    <n v="3.94"/>
    <n v="0.2"/>
    <s v="medium"/>
    <n v="4"/>
    <n v="7"/>
    <n v="1"/>
    <n v="0"/>
  </r>
  <r>
    <n v="15"/>
    <x v="1"/>
    <n v="3.4"/>
    <s v="Both"/>
    <n v="8"/>
    <n v="1"/>
    <n v="2.31"/>
    <n v="1"/>
    <s v="high"/>
    <n v="4"/>
    <n v="7"/>
    <n v="6"/>
    <n v="0"/>
  </r>
  <r>
    <n v="15"/>
    <x v="1"/>
    <n v="5.4"/>
    <s v="Instagram"/>
    <n v="7.2"/>
    <n v="1.2"/>
    <n v="3.32"/>
    <n v="1.3"/>
    <s v="high"/>
    <n v="7"/>
    <n v="8"/>
    <n v="1"/>
    <n v="0"/>
  </r>
  <r>
    <n v="15"/>
    <x v="1"/>
    <n v="4.5"/>
    <s v="TikTok"/>
    <n v="6.2"/>
    <n v="2.8"/>
    <n v="2.74"/>
    <n v="0.1"/>
    <s v="high"/>
    <n v="2"/>
    <n v="3"/>
    <n v="5"/>
    <n v="0"/>
  </r>
  <r>
    <n v="15"/>
    <x v="1"/>
    <n v="2.7"/>
    <s v="Instagram"/>
    <n v="5.4"/>
    <n v="1.6"/>
    <n v="2.34"/>
    <n v="0.3"/>
    <s v="high"/>
    <n v="2"/>
    <n v="6"/>
    <n v="8"/>
    <n v="0"/>
  </r>
  <r>
    <n v="15"/>
    <x v="1"/>
    <n v="3.7"/>
    <s v="Both"/>
    <n v="4"/>
    <n v="0.9"/>
    <n v="3"/>
    <n v="1.4"/>
    <s v="medium"/>
    <n v="1"/>
    <n v="8"/>
    <n v="10"/>
    <n v="0"/>
  </r>
  <r>
    <n v="15"/>
    <x v="1"/>
    <n v="6.7"/>
    <s v="Both"/>
    <n v="4.3"/>
    <n v="1.8"/>
    <n v="3.69"/>
    <n v="0.7"/>
    <s v="high"/>
    <n v="2"/>
    <n v="8"/>
    <n v="7"/>
    <n v="0"/>
  </r>
  <r>
    <n v="15"/>
    <x v="1"/>
    <n v="4.3"/>
    <s v="Instagram"/>
    <n v="7.5"/>
    <n v="1.1000000000000001"/>
    <n v="2.06"/>
    <n v="1.8"/>
    <s v="medium"/>
    <n v="5"/>
    <n v="7"/>
    <n v="2"/>
    <n v="0"/>
  </r>
  <r>
    <n v="15"/>
    <x v="1"/>
    <n v="6.9"/>
    <s v="TikTok"/>
    <n v="5.6"/>
    <n v="1.4"/>
    <n v="2.09"/>
    <n v="0.7"/>
    <s v="low"/>
    <n v="9"/>
    <n v="5"/>
    <n v="9"/>
    <n v="0"/>
  </r>
  <r>
    <n v="15"/>
    <x v="1"/>
    <n v="7.7"/>
    <s v="Instagram"/>
    <n v="8"/>
    <n v="1.3"/>
    <n v="3.78"/>
    <n v="1.1000000000000001"/>
    <s v="medium"/>
    <n v="1"/>
    <n v="6"/>
    <n v="5"/>
    <n v="0"/>
  </r>
  <r>
    <n v="15"/>
    <x v="1"/>
    <n v="1"/>
    <s v="TikTok"/>
    <n v="8.5"/>
    <n v="2"/>
    <n v="3.77"/>
    <n v="1.9"/>
    <s v="high"/>
    <n v="4"/>
    <n v="1"/>
    <n v="7"/>
    <n v="0"/>
  </r>
  <r>
    <n v="15"/>
    <x v="1"/>
    <n v="8"/>
    <s v="Instagram"/>
    <n v="4.7"/>
    <n v="0.6"/>
    <n v="3.01"/>
    <n v="1.8"/>
    <s v="medium"/>
    <n v="2"/>
    <n v="9"/>
    <n v="10"/>
    <n v="0"/>
  </r>
  <r>
    <n v="15"/>
    <x v="1"/>
    <n v="4"/>
    <s v="Both"/>
    <n v="5.2"/>
    <n v="1.8"/>
    <n v="3.3"/>
    <n v="0.7"/>
    <s v="medium"/>
    <n v="10"/>
    <n v="5"/>
    <n v="1"/>
    <n v="0"/>
  </r>
  <r>
    <n v="15"/>
    <x v="1"/>
    <n v="3.7"/>
    <s v="Both"/>
    <n v="5.7"/>
    <n v="1.3"/>
    <n v="3.24"/>
    <n v="0.2"/>
    <s v="low"/>
    <n v="4"/>
    <n v="9"/>
    <n v="10"/>
    <n v="0"/>
  </r>
  <r>
    <n v="15"/>
    <x v="1"/>
    <n v="6.4"/>
    <s v="TikTok"/>
    <n v="6.9"/>
    <n v="2.9"/>
    <n v="2.48"/>
    <n v="0.9"/>
    <s v="low"/>
    <n v="8"/>
    <n v="4"/>
    <n v="8"/>
    <n v="0"/>
  </r>
  <r>
    <n v="15"/>
    <x v="1"/>
    <n v="4"/>
    <s v="TikTok"/>
    <n v="4.5"/>
    <n v="1.9"/>
    <n v="3.22"/>
    <n v="0.2"/>
    <s v="medium"/>
    <n v="4"/>
    <n v="5"/>
    <n v="3"/>
    <n v="0"/>
  </r>
  <r>
    <n v="15"/>
    <x v="1"/>
    <n v="5.4"/>
    <s v="TikTok"/>
    <n v="4.2"/>
    <n v="1.8"/>
    <n v="2.15"/>
    <n v="0.3"/>
    <s v="medium"/>
    <n v="1"/>
    <n v="10"/>
    <n v="5"/>
    <n v="0"/>
  </r>
  <r>
    <n v="15"/>
    <x v="1"/>
    <n v="7.8"/>
    <s v="Both"/>
    <n v="6.8"/>
    <n v="0.6"/>
    <n v="3.2"/>
    <n v="1.7"/>
    <s v="medium"/>
    <n v="1"/>
    <n v="7"/>
    <n v="5"/>
    <n v="0"/>
  </r>
  <r>
    <n v="15"/>
    <x v="1"/>
    <n v="3.5"/>
    <s v="Both"/>
    <n v="8.8000000000000007"/>
    <n v="1.8"/>
    <n v="3.5"/>
    <n v="0.8"/>
    <s v="low"/>
    <n v="3"/>
    <n v="6"/>
    <n v="3"/>
    <n v="0"/>
  </r>
  <r>
    <n v="15"/>
    <x v="1"/>
    <n v="4.5"/>
    <s v="Both"/>
    <n v="7"/>
    <n v="1.5"/>
    <n v="3.16"/>
    <n v="1.7"/>
    <s v="medium"/>
    <n v="4"/>
    <n v="7"/>
    <n v="10"/>
    <n v="0"/>
  </r>
  <r>
    <n v="15"/>
    <x v="1"/>
    <n v="2.2000000000000002"/>
    <s v="Instagram"/>
    <n v="6.1"/>
    <n v="0.9"/>
    <n v="3.81"/>
    <n v="0.1"/>
    <s v="high"/>
    <n v="2"/>
    <n v="7"/>
    <n v="3"/>
    <n v="0"/>
  </r>
  <r>
    <n v="15"/>
    <x v="1"/>
    <n v="4.4000000000000004"/>
    <s v="Instagram"/>
    <n v="6"/>
    <n v="0.5"/>
    <n v="3.33"/>
    <n v="0.7"/>
    <s v="medium"/>
    <n v="1"/>
    <n v="6"/>
    <n v="10"/>
    <n v="0"/>
  </r>
  <r>
    <n v="15"/>
    <x v="1"/>
    <n v="3.5"/>
    <s v="TikTok"/>
    <n v="4.5"/>
    <n v="2.7"/>
    <n v="2.4700000000000002"/>
    <n v="1.4"/>
    <s v="low"/>
    <n v="1"/>
    <n v="5"/>
    <n v="10"/>
    <n v="0"/>
  </r>
  <r>
    <n v="15"/>
    <x v="1"/>
    <n v="6.8"/>
    <s v="Both"/>
    <n v="6.6"/>
    <n v="2.1"/>
    <n v="3.43"/>
    <n v="1.7"/>
    <s v="low"/>
    <n v="10"/>
    <n v="10"/>
    <n v="8"/>
    <n v="0"/>
  </r>
  <r>
    <n v="15"/>
    <x v="1"/>
    <n v="6.5"/>
    <s v="TikTok"/>
    <n v="5.4"/>
    <n v="2.1"/>
    <n v="3.44"/>
    <n v="1.8"/>
    <s v="low"/>
    <n v="7"/>
    <n v="3"/>
    <n v="6"/>
    <n v="0"/>
  </r>
  <r>
    <n v="15"/>
    <x v="1"/>
    <n v="4.7"/>
    <s v="Instagram"/>
    <n v="8.1999999999999993"/>
    <n v="2.2999999999999998"/>
    <n v="3.35"/>
    <n v="0.6"/>
    <s v="low"/>
    <n v="6"/>
    <n v="2"/>
    <n v="5"/>
    <n v="0"/>
  </r>
  <r>
    <n v="15"/>
    <x v="1"/>
    <n v="2.7"/>
    <s v="Instagram"/>
    <n v="7.2"/>
    <n v="2.9"/>
    <n v="3.27"/>
    <n v="0.8"/>
    <s v="medium"/>
    <n v="5"/>
    <n v="2"/>
    <n v="9"/>
    <n v="0"/>
  </r>
  <r>
    <n v="15"/>
    <x v="1"/>
    <n v="3.2"/>
    <s v="Instagram"/>
    <n v="5.6"/>
    <n v="0.7"/>
    <n v="3.1"/>
    <n v="1.5"/>
    <s v="high"/>
    <n v="6"/>
    <n v="3"/>
    <n v="1"/>
    <n v="0"/>
  </r>
  <r>
    <n v="15"/>
    <x v="1"/>
    <n v="7.6"/>
    <s v="Both"/>
    <n v="6"/>
    <n v="2.9"/>
    <n v="2.72"/>
    <n v="1.8"/>
    <s v="high"/>
    <n v="1"/>
    <n v="9"/>
    <n v="6"/>
    <n v="0"/>
  </r>
  <r>
    <n v="15"/>
    <x v="1"/>
    <n v="5.4"/>
    <s v="Instagram"/>
    <n v="4.2"/>
    <n v="1.5"/>
    <n v="2.72"/>
    <n v="0.4"/>
    <s v="high"/>
    <n v="1"/>
    <n v="6"/>
    <n v="5"/>
    <n v="0"/>
  </r>
  <r>
    <n v="15"/>
    <x v="1"/>
    <n v="1.2"/>
    <s v="Both"/>
    <n v="7.4"/>
    <n v="2.7"/>
    <n v="2.92"/>
    <n v="1.4"/>
    <s v="low"/>
    <n v="3"/>
    <n v="7"/>
    <n v="4"/>
    <n v="0"/>
  </r>
  <r>
    <n v="15"/>
    <x v="1"/>
    <n v="3.6"/>
    <s v="Instagram"/>
    <n v="4.8"/>
    <n v="1"/>
    <n v="3.71"/>
    <n v="1.1000000000000001"/>
    <s v="medium"/>
    <n v="5"/>
    <n v="7"/>
    <n v="4"/>
    <n v="0"/>
  </r>
  <r>
    <n v="15"/>
    <x v="1"/>
    <n v="4.8"/>
    <s v="Both"/>
    <n v="4.3"/>
    <n v="2.2000000000000002"/>
    <n v="2.5"/>
    <n v="0"/>
    <s v="medium"/>
    <n v="4"/>
    <n v="1"/>
    <n v="4"/>
    <n v="0"/>
  </r>
  <r>
    <n v="15"/>
    <x v="1"/>
    <n v="5.4"/>
    <s v="TikTok"/>
    <n v="5.2"/>
    <n v="0.6"/>
    <n v="3.65"/>
    <n v="1.5"/>
    <s v="low"/>
    <n v="7"/>
    <n v="9"/>
    <n v="10"/>
    <n v="1"/>
  </r>
  <r>
    <n v="15"/>
    <x v="1"/>
    <n v="3.8"/>
    <s v="Both"/>
    <n v="8.3000000000000007"/>
    <n v="2.6"/>
    <n v="3.19"/>
    <n v="2"/>
    <s v="medium"/>
    <n v="1"/>
    <n v="2"/>
    <n v="2"/>
    <n v="0"/>
  </r>
  <r>
    <n v="15"/>
    <x v="1"/>
    <n v="2.2000000000000002"/>
    <s v="Both"/>
    <n v="4.5"/>
    <n v="1.3"/>
    <n v="2.63"/>
    <n v="1.7"/>
    <s v="low"/>
    <n v="10"/>
    <n v="2"/>
    <n v="6"/>
    <n v="0"/>
  </r>
  <r>
    <n v="15"/>
    <x v="1"/>
    <n v="6.9"/>
    <s v="Instagram"/>
    <n v="6.2"/>
    <n v="0.6"/>
    <n v="2.37"/>
    <n v="0.2"/>
    <s v="low"/>
    <n v="3"/>
    <n v="1"/>
    <n v="4"/>
    <n v="0"/>
  </r>
  <r>
    <n v="15"/>
    <x v="1"/>
    <n v="6.2"/>
    <s v="Both"/>
    <n v="6.4"/>
    <n v="1.4"/>
    <n v="3.34"/>
    <n v="0.9"/>
    <s v="high"/>
    <n v="8"/>
    <n v="9"/>
    <n v="9"/>
    <n v="0"/>
  </r>
  <r>
    <n v="15"/>
    <x v="1"/>
    <n v="3.6"/>
    <s v="Instagram"/>
    <n v="5.5"/>
    <n v="1.2"/>
    <n v="2.4900000000000002"/>
    <n v="1.9"/>
    <s v="low"/>
    <n v="1"/>
    <n v="4"/>
    <n v="9"/>
    <n v="0"/>
  </r>
  <r>
    <n v="15"/>
    <x v="1"/>
    <n v="7.8"/>
    <s v="Both"/>
    <n v="4.2"/>
    <n v="2.1"/>
    <n v="3.42"/>
    <n v="0"/>
    <s v="low"/>
    <n v="10"/>
    <n v="7"/>
    <n v="9"/>
    <n v="1"/>
  </r>
  <r>
    <n v="15"/>
    <x v="1"/>
    <n v="3.8"/>
    <s v="TikTok"/>
    <n v="7.1"/>
    <n v="0.5"/>
    <n v="3.08"/>
    <n v="0.2"/>
    <s v="medium"/>
    <n v="2"/>
    <n v="9"/>
    <n v="7"/>
    <n v="0"/>
  </r>
  <r>
    <n v="15"/>
    <x v="1"/>
    <n v="4.9000000000000004"/>
    <s v="Both"/>
    <n v="5.2"/>
    <n v="0.7"/>
    <n v="2.5499999999999998"/>
    <n v="0.1"/>
    <s v="low"/>
    <n v="10"/>
    <n v="6"/>
    <n v="4"/>
    <n v="0"/>
  </r>
  <r>
    <n v="15"/>
    <x v="1"/>
    <n v="4.0999999999999996"/>
    <s v="Instagram"/>
    <n v="7.6"/>
    <n v="1"/>
    <n v="2.17"/>
    <n v="1.1000000000000001"/>
    <s v="low"/>
    <n v="4"/>
    <n v="5"/>
    <n v="1"/>
    <n v="0"/>
  </r>
  <r>
    <n v="15"/>
    <x v="1"/>
    <n v="7.5"/>
    <s v="Both"/>
    <n v="6.3"/>
    <n v="2.8"/>
    <n v="3.04"/>
    <n v="1.8"/>
    <s v="low"/>
    <n v="1"/>
    <n v="5"/>
    <n v="8"/>
    <n v="0"/>
  </r>
  <r>
    <n v="15"/>
    <x v="1"/>
    <n v="2.6"/>
    <s v="Both"/>
    <n v="6.8"/>
    <n v="1.7"/>
    <n v="2.06"/>
    <n v="0.4"/>
    <s v="medium"/>
    <n v="8"/>
    <n v="6"/>
    <n v="6"/>
    <n v="0"/>
  </r>
  <r>
    <n v="15"/>
    <x v="1"/>
    <n v="4"/>
    <s v="TikTok"/>
    <n v="8.4"/>
    <n v="2.2999999999999998"/>
    <n v="2.52"/>
    <n v="0.9"/>
    <s v="low"/>
    <n v="4"/>
    <n v="5"/>
    <n v="3"/>
    <n v="0"/>
  </r>
  <r>
    <n v="15"/>
    <x v="1"/>
    <n v="7.2"/>
    <s v="Both"/>
    <n v="5.7"/>
    <n v="0.7"/>
    <n v="3.89"/>
    <n v="1"/>
    <s v="medium"/>
    <n v="1"/>
    <n v="3"/>
    <n v="6"/>
    <n v="0"/>
  </r>
  <r>
    <n v="15"/>
    <x v="1"/>
    <n v="6.5"/>
    <s v="Both"/>
    <n v="6.2"/>
    <n v="1.2"/>
    <n v="3.19"/>
    <n v="0"/>
    <s v="medium"/>
    <n v="6"/>
    <n v="5"/>
    <n v="2"/>
    <n v="0"/>
  </r>
  <r>
    <n v="15"/>
    <x v="1"/>
    <n v="3.3"/>
    <s v="Both"/>
    <n v="6.1"/>
    <n v="1.2"/>
    <n v="2.56"/>
    <n v="1.4"/>
    <s v="low"/>
    <n v="8"/>
    <n v="6"/>
    <n v="3"/>
    <n v="0"/>
  </r>
  <r>
    <n v="15"/>
    <x v="1"/>
    <n v="5.0999999999999996"/>
    <s v="TikTok"/>
    <n v="5.5"/>
    <n v="0.7"/>
    <n v="2.13"/>
    <n v="0.5"/>
    <s v="medium"/>
    <n v="6"/>
    <n v="10"/>
    <n v="8"/>
    <n v="0"/>
  </r>
  <r>
    <n v="15"/>
    <x v="1"/>
    <n v="6.3"/>
    <s v="TikTok"/>
    <n v="6.8"/>
    <n v="1.8"/>
    <n v="2.59"/>
    <n v="1.9"/>
    <s v="high"/>
    <n v="10"/>
    <n v="5"/>
    <n v="5"/>
    <n v="0"/>
  </r>
  <r>
    <n v="15"/>
    <x v="1"/>
    <n v="3.9"/>
    <s v="Both"/>
    <n v="8.5"/>
    <n v="2.1"/>
    <n v="3.19"/>
    <n v="0.6"/>
    <s v="high"/>
    <n v="7"/>
    <n v="9"/>
    <n v="9"/>
    <n v="0"/>
  </r>
  <r>
    <n v="16"/>
    <x v="1"/>
    <n v="4"/>
    <s v="Both"/>
    <n v="4.2"/>
    <n v="0.5"/>
    <n v="2.4"/>
    <n v="1.3"/>
    <s v="low"/>
    <n v="6"/>
    <n v="10"/>
    <n v="5"/>
    <n v="0"/>
  </r>
  <r>
    <n v="16"/>
    <x v="1"/>
    <n v="7.2"/>
    <s v="Both"/>
    <n v="5.8"/>
    <n v="2.9"/>
    <n v="3.16"/>
    <n v="1.2"/>
    <s v="medium"/>
    <n v="5"/>
    <n v="8"/>
    <n v="9"/>
    <n v="0"/>
  </r>
  <r>
    <n v="16"/>
    <x v="1"/>
    <n v="6.2"/>
    <s v="Both"/>
    <n v="7.2"/>
    <n v="2.6"/>
    <n v="2.02"/>
    <n v="1.7"/>
    <s v="medium"/>
    <n v="5"/>
    <n v="7"/>
    <n v="6"/>
    <n v="0"/>
  </r>
  <r>
    <n v="16"/>
    <x v="1"/>
    <n v="3.1"/>
    <s v="Both"/>
    <n v="6.1"/>
    <n v="0.8"/>
    <n v="2.11"/>
    <n v="1.9"/>
    <s v="high"/>
    <n v="10"/>
    <n v="7"/>
    <n v="10"/>
    <n v="0"/>
  </r>
  <r>
    <n v="16"/>
    <x v="1"/>
    <n v="3.4"/>
    <s v="TikTok"/>
    <n v="4.5999999999999996"/>
    <n v="2.1"/>
    <n v="2.2400000000000002"/>
    <n v="0.4"/>
    <s v="high"/>
    <n v="4"/>
    <n v="1"/>
    <n v="3"/>
    <n v="0"/>
  </r>
  <r>
    <n v="16"/>
    <x v="1"/>
    <n v="2.7"/>
    <s v="Instagram"/>
    <n v="4.2"/>
    <n v="2.4"/>
    <n v="3.05"/>
    <n v="0.2"/>
    <s v="high"/>
    <n v="1"/>
    <n v="8"/>
    <n v="4"/>
    <n v="0"/>
  </r>
  <r>
    <n v="16"/>
    <x v="1"/>
    <n v="2.2999999999999998"/>
    <s v="TikTok"/>
    <n v="6.3"/>
    <n v="3"/>
    <n v="3.24"/>
    <n v="1.9"/>
    <s v="medium"/>
    <n v="4"/>
    <n v="4"/>
    <n v="9"/>
    <n v="0"/>
  </r>
  <r>
    <n v="16"/>
    <x v="1"/>
    <n v="6.4"/>
    <s v="TikTok"/>
    <n v="5.3"/>
    <n v="2.4"/>
    <n v="2.0299999999999998"/>
    <n v="1.7"/>
    <s v="medium"/>
    <n v="7"/>
    <n v="5"/>
    <n v="10"/>
    <n v="0"/>
  </r>
  <r>
    <n v="16"/>
    <x v="1"/>
    <n v="8"/>
    <s v="Instagram"/>
    <n v="5.5"/>
    <n v="1.4"/>
    <n v="2.95"/>
    <n v="0.3"/>
    <s v="medium"/>
    <n v="2"/>
    <n v="5"/>
    <n v="2"/>
    <n v="0"/>
  </r>
  <r>
    <n v="16"/>
    <x v="1"/>
    <n v="4.8"/>
    <s v="Both"/>
    <n v="7.1"/>
    <n v="0.6"/>
    <n v="3.36"/>
    <n v="0.7"/>
    <s v="high"/>
    <n v="7"/>
    <n v="6"/>
    <n v="9"/>
    <n v="0"/>
  </r>
  <r>
    <n v="16"/>
    <x v="1"/>
    <n v="5.7"/>
    <s v="Both"/>
    <n v="5.8"/>
    <n v="2.8"/>
    <n v="2.17"/>
    <n v="0.5"/>
    <s v="medium"/>
    <n v="3"/>
    <n v="9"/>
    <n v="2"/>
    <n v="0"/>
  </r>
  <r>
    <n v="16"/>
    <x v="1"/>
    <n v="6.6"/>
    <s v="Instagram"/>
    <n v="5.6"/>
    <n v="0.8"/>
    <n v="3.48"/>
    <n v="1.7"/>
    <s v="medium"/>
    <n v="4"/>
    <n v="3"/>
    <n v="4"/>
    <n v="0"/>
  </r>
  <r>
    <n v="16"/>
    <x v="1"/>
    <n v="3.8"/>
    <s v="TikTok"/>
    <n v="5.7"/>
    <n v="1.3"/>
    <n v="3.84"/>
    <n v="1.6"/>
    <s v="medium"/>
    <n v="3"/>
    <n v="4"/>
    <n v="10"/>
    <n v="0"/>
  </r>
  <r>
    <n v="16"/>
    <x v="1"/>
    <n v="3"/>
    <s v="Instagram"/>
    <n v="8.6"/>
    <n v="1.5"/>
    <n v="2.84"/>
    <n v="0.3"/>
    <s v="high"/>
    <n v="6"/>
    <n v="4"/>
    <n v="3"/>
    <n v="0"/>
  </r>
  <r>
    <n v="16"/>
    <x v="1"/>
    <n v="3.6"/>
    <s v="Both"/>
    <n v="8.9"/>
    <n v="1.9"/>
    <n v="2.11"/>
    <n v="1.7"/>
    <s v="low"/>
    <n v="9"/>
    <n v="5"/>
    <n v="2"/>
    <n v="0"/>
  </r>
  <r>
    <n v="16"/>
    <x v="1"/>
    <n v="2.2999999999999998"/>
    <s v="Both"/>
    <n v="4.0999999999999996"/>
    <n v="0.8"/>
    <n v="3.18"/>
    <n v="1.7"/>
    <s v="medium"/>
    <n v="5"/>
    <n v="3"/>
    <n v="8"/>
    <n v="0"/>
  </r>
  <r>
    <n v="16"/>
    <x v="1"/>
    <n v="4.8"/>
    <s v="Both"/>
    <n v="6.8"/>
    <n v="1"/>
    <n v="2.6"/>
    <n v="1.1000000000000001"/>
    <s v="medium"/>
    <n v="1"/>
    <n v="5"/>
    <n v="6"/>
    <n v="0"/>
  </r>
  <r>
    <n v="16"/>
    <x v="1"/>
    <n v="5.5"/>
    <s v="Instagram"/>
    <n v="8.3000000000000007"/>
    <n v="2.2999999999999998"/>
    <n v="3.47"/>
    <n v="1.6"/>
    <s v="medium"/>
    <n v="4"/>
    <n v="8"/>
    <n v="5"/>
    <n v="0"/>
  </r>
  <r>
    <n v="16"/>
    <x v="1"/>
    <n v="2.5"/>
    <s v="Instagram"/>
    <n v="6.8"/>
    <n v="1"/>
    <n v="3.77"/>
    <n v="1"/>
    <s v="high"/>
    <n v="3"/>
    <n v="9"/>
    <n v="9"/>
    <n v="0"/>
  </r>
  <r>
    <n v="16"/>
    <x v="1"/>
    <n v="1.9"/>
    <s v="Instagram"/>
    <n v="7.8"/>
    <n v="2.1"/>
    <n v="2.2599999999999998"/>
    <n v="0.3"/>
    <s v="high"/>
    <n v="7"/>
    <n v="7"/>
    <n v="5"/>
    <n v="0"/>
  </r>
  <r>
    <n v="16"/>
    <x v="1"/>
    <n v="7.6"/>
    <s v="TikTok"/>
    <n v="4.3"/>
    <n v="2.7"/>
    <n v="2.5099999999999998"/>
    <n v="0.3"/>
    <s v="medium"/>
    <n v="3"/>
    <n v="9"/>
    <n v="10"/>
    <n v="0"/>
  </r>
  <r>
    <n v="16"/>
    <x v="1"/>
    <n v="5.4"/>
    <s v="TikTok"/>
    <n v="8.6999999999999993"/>
    <n v="1.9"/>
    <n v="2.67"/>
    <n v="1.3"/>
    <s v="low"/>
    <n v="1"/>
    <n v="5"/>
    <n v="7"/>
    <n v="0"/>
  </r>
  <r>
    <n v="16"/>
    <x v="1"/>
    <n v="3.8"/>
    <s v="Instagram"/>
    <n v="6.8"/>
    <n v="2.4"/>
    <n v="3.1"/>
    <n v="1.6"/>
    <s v="low"/>
    <n v="6"/>
    <n v="10"/>
    <n v="4"/>
    <n v="0"/>
  </r>
  <r>
    <n v="16"/>
    <x v="1"/>
    <n v="4.9000000000000004"/>
    <s v="Instagram"/>
    <n v="6.8"/>
    <n v="1"/>
    <n v="3.18"/>
    <n v="1.9"/>
    <s v="high"/>
    <n v="7"/>
    <n v="4"/>
    <n v="8"/>
    <n v="0"/>
  </r>
  <r>
    <n v="16"/>
    <x v="1"/>
    <n v="4.2"/>
    <s v="Both"/>
    <n v="5.7"/>
    <n v="1"/>
    <n v="2.77"/>
    <n v="0.1"/>
    <s v="high"/>
    <n v="10"/>
    <n v="5"/>
    <n v="9"/>
    <n v="0"/>
  </r>
  <r>
    <n v="16"/>
    <x v="1"/>
    <n v="1.5"/>
    <s v="TikTok"/>
    <n v="6.7"/>
    <n v="0.5"/>
    <n v="2.78"/>
    <n v="1.2"/>
    <s v="low"/>
    <n v="1"/>
    <n v="9"/>
    <n v="6"/>
    <n v="0"/>
  </r>
  <r>
    <n v="16"/>
    <x v="1"/>
    <n v="7.2"/>
    <s v="Both"/>
    <n v="7.7"/>
    <n v="2.5"/>
    <n v="2.56"/>
    <n v="1.7"/>
    <s v="high"/>
    <n v="8"/>
    <n v="7"/>
    <n v="6"/>
    <n v="0"/>
  </r>
  <r>
    <n v="16"/>
    <x v="1"/>
    <n v="3.4"/>
    <s v="Both"/>
    <n v="8.9"/>
    <n v="2.6"/>
    <n v="2.54"/>
    <n v="1.8"/>
    <s v="high"/>
    <n v="6"/>
    <n v="2"/>
    <n v="5"/>
    <n v="0"/>
  </r>
  <r>
    <n v="16"/>
    <x v="1"/>
    <n v="1.5"/>
    <s v="TikTok"/>
    <n v="4.0999999999999996"/>
    <n v="1.3"/>
    <n v="3.67"/>
    <n v="1.2"/>
    <s v="high"/>
    <n v="10"/>
    <n v="6"/>
    <n v="6"/>
    <n v="0"/>
  </r>
  <r>
    <n v="16"/>
    <x v="1"/>
    <n v="7.9"/>
    <s v="Both"/>
    <n v="5.5"/>
    <n v="0.6"/>
    <n v="3.65"/>
    <n v="1.4"/>
    <s v="low"/>
    <n v="1"/>
    <n v="4"/>
    <n v="1"/>
    <n v="0"/>
  </r>
  <r>
    <n v="16"/>
    <x v="1"/>
    <n v="5.3"/>
    <s v="TikTok"/>
    <n v="8.4"/>
    <n v="2.2000000000000002"/>
    <n v="2.81"/>
    <n v="0.6"/>
    <s v="high"/>
    <n v="2"/>
    <n v="8"/>
    <n v="8"/>
    <n v="0"/>
  </r>
  <r>
    <n v="16"/>
    <x v="1"/>
    <n v="1.9"/>
    <s v="Both"/>
    <n v="5.8"/>
    <n v="2.1"/>
    <n v="2.27"/>
    <n v="0.6"/>
    <s v="medium"/>
    <n v="3"/>
    <n v="3"/>
    <n v="2"/>
    <n v="0"/>
  </r>
  <r>
    <n v="16"/>
    <x v="1"/>
    <n v="1.1000000000000001"/>
    <s v="Instagram"/>
    <n v="6.4"/>
    <n v="3"/>
    <n v="2.5099999999999998"/>
    <n v="0.1"/>
    <s v="medium"/>
    <n v="8"/>
    <n v="6"/>
    <n v="9"/>
    <n v="0"/>
  </r>
  <r>
    <n v="16"/>
    <x v="1"/>
    <n v="4.9000000000000004"/>
    <s v="Instagram"/>
    <n v="5.7"/>
    <n v="1.2"/>
    <n v="2.0699999999999998"/>
    <n v="0.1"/>
    <s v="medium"/>
    <n v="8"/>
    <n v="2"/>
    <n v="1"/>
    <n v="0"/>
  </r>
  <r>
    <n v="16"/>
    <x v="1"/>
    <n v="2"/>
    <s v="Both"/>
    <n v="7.8"/>
    <n v="2.8"/>
    <n v="2.1"/>
    <n v="0.6"/>
    <s v="medium"/>
    <n v="2"/>
    <n v="6"/>
    <n v="8"/>
    <n v="0"/>
  </r>
  <r>
    <n v="16"/>
    <x v="1"/>
    <n v="6.4"/>
    <s v="TikTok"/>
    <n v="5.4"/>
    <n v="1.4"/>
    <n v="2.42"/>
    <n v="1.9"/>
    <s v="medium"/>
    <n v="4"/>
    <n v="9"/>
    <n v="5"/>
    <n v="0"/>
  </r>
  <r>
    <n v="16"/>
    <x v="1"/>
    <n v="7.4"/>
    <s v="TikTok"/>
    <n v="7.5"/>
    <n v="1.7"/>
    <n v="3.16"/>
    <n v="1.8"/>
    <s v="medium"/>
    <n v="2"/>
    <n v="3"/>
    <n v="2"/>
    <n v="0"/>
  </r>
  <r>
    <n v="16"/>
    <x v="1"/>
    <n v="2.2999999999999998"/>
    <s v="TikTok"/>
    <n v="8.8000000000000007"/>
    <n v="1"/>
    <n v="2.5099999999999998"/>
    <n v="2"/>
    <s v="medium"/>
    <n v="6"/>
    <n v="10"/>
    <n v="10"/>
    <n v="0"/>
  </r>
  <r>
    <n v="16"/>
    <x v="1"/>
    <n v="5.8"/>
    <s v="Both"/>
    <n v="8.9"/>
    <n v="1.1000000000000001"/>
    <n v="2.08"/>
    <n v="1.9"/>
    <s v="medium"/>
    <n v="8"/>
    <n v="5"/>
    <n v="9"/>
    <n v="0"/>
  </r>
  <r>
    <n v="16"/>
    <x v="1"/>
    <n v="6.5"/>
    <s v="TikTok"/>
    <n v="7.4"/>
    <n v="1.9"/>
    <n v="2.2200000000000002"/>
    <n v="1.1000000000000001"/>
    <s v="medium"/>
    <n v="10"/>
    <n v="10"/>
    <n v="2"/>
    <n v="0"/>
  </r>
  <r>
    <n v="16"/>
    <x v="1"/>
    <n v="4.7"/>
    <s v="Instagram"/>
    <n v="8.1999999999999993"/>
    <n v="2.7"/>
    <n v="3.04"/>
    <n v="0.3"/>
    <s v="high"/>
    <n v="1"/>
    <n v="3"/>
    <n v="4"/>
    <n v="0"/>
  </r>
  <r>
    <n v="16"/>
    <x v="1"/>
    <n v="1.7"/>
    <s v="TikTok"/>
    <n v="4.9000000000000004"/>
    <n v="0.6"/>
    <n v="3.38"/>
    <n v="1.1000000000000001"/>
    <s v="medium"/>
    <n v="10"/>
    <n v="4"/>
    <n v="6"/>
    <n v="0"/>
  </r>
  <r>
    <n v="16"/>
    <x v="1"/>
    <n v="2.1"/>
    <s v="Instagram"/>
    <n v="7.7"/>
    <n v="1.1000000000000001"/>
    <n v="2.27"/>
    <n v="1.1000000000000001"/>
    <s v="medium"/>
    <n v="3"/>
    <n v="2"/>
    <n v="4"/>
    <n v="0"/>
  </r>
  <r>
    <n v="16"/>
    <x v="1"/>
    <n v="2.7"/>
    <s v="Both"/>
    <n v="7.2"/>
    <n v="0.6"/>
    <n v="3.98"/>
    <n v="1.7"/>
    <s v="low"/>
    <n v="6"/>
    <n v="1"/>
    <n v="5"/>
    <n v="0"/>
  </r>
  <r>
    <n v="16"/>
    <x v="1"/>
    <n v="2"/>
    <s v="Instagram"/>
    <n v="7.9"/>
    <n v="2.4"/>
    <n v="2.81"/>
    <n v="1.9"/>
    <s v="low"/>
    <n v="10"/>
    <n v="6"/>
    <n v="6"/>
    <n v="0"/>
  </r>
  <r>
    <n v="16"/>
    <x v="1"/>
    <n v="7.9"/>
    <s v="TikTok"/>
    <n v="8"/>
    <n v="1.6"/>
    <n v="3.47"/>
    <n v="1.5"/>
    <s v="high"/>
    <n v="3"/>
    <n v="5"/>
    <n v="6"/>
    <n v="0"/>
  </r>
  <r>
    <n v="16"/>
    <x v="1"/>
    <n v="6.9"/>
    <s v="Instagram"/>
    <n v="6.8"/>
    <n v="1.1000000000000001"/>
    <n v="3.33"/>
    <n v="1"/>
    <s v="medium"/>
    <n v="7"/>
    <n v="9"/>
    <n v="4"/>
    <n v="0"/>
  </r>
  <r>
    <n v="16"/>
    <x v="1"/>
    <n v="2"/>
    <s v="TikTok"/>
    <n v="4.4000000000000004"/>
    <n v="0.7"/>
    <n v="2.68"/>
    <n v="0.8"/>
    <s v="medium"/>
    <n v="1"/>
    <n v="4"/>
    <n v="10"/>
    <n v="0"/>
  </r>
  <r>
    <n v="16"/>
    <x v="1"/>
    <n v="3.6"/>
    <s v="Instagram"/>
    <n v="6.6"/>
    <n v="0.7"/>
    <n v="2.25"/>
    <n v="1.9"/>
    <s v="low"/>
    <n v="4"/>
    <n v="1"/>
    <n v="8"/>
    <n v="0"/>
  </r>
  <r>
    <n v="16"/>
    <x v="1"/>
    <n v="2"/>
    <s v="TikTok"/>
    <n v="7.8"/>
    <n v="0.5"/>
    <n v="2.81"/>
    <n v="1.4"/>
    <s v="high"/>
    <n v="10"/>
    <n v="2"/>
    <n v="4"/>
    <n v="0"/>
  </r>
  <r>
    <n v="16"/>
    <x v="1"/>
    <n v="5"/>
    <s v="TikTok"/>
    <n v="6.3"/>
    <n v="3"/>
    <n v="3.72"/>
    <n v="1.6"/>
    <s v="medium"/>
    <n v="5"/>
    <n v="10"/>
    <n v="3"/>
    <n v="0"/>
  </r>
  <r>
    <n v="16"/>
    <x v="1"/>
    <n v="4.0999999999999996"/>
    <s v="Both"/>
    <n v="5.5"/>
    <n v="1.9"/>
    <n v="2.65"/>
    <n v="1.5"/>
    <s v="low"/>
    <n v="5"/>
    <n v="7"/>
    <n v="9"/>
    <n v="0"/>
  </r>
  <r>
    <n v="16"/>
    <x v="1"/>
    <n v="1.7"/>
    <s v="Both"/>
    <n v="4.3"/>
    <n v="1.4"/>
    <n v="3.27"/>
    <n v="1.2"/>
    <s v="medium"/>
    <n v="10"/>
    <n v="4"/>
    <n v="10"/>
    <n v="0"/>
  </r>
  <r>
    <n v="16"/>
    <x v="1"/>
    <n v="5"/>
    <s v="TikTok"/>
    <n v="4.3"/>
    <n v="0.7"/>
    <n v="3.68"/>
    <n v="1.2"/>
    <s v="low"/>
    <n v="6"/>
    <n v="2"/>
    <n v="4"/>
    <n v="0"/>
  </r>
  <r>
    <n v="16"/>
    <x v="1"/>
    <n v="4.7"/>
    <s v="Both"/>
    <n v="8.1999999999999993"/>
    <n v="2.6"/>
    <n v="3.05"/>
    <n v="1"/>
    <s v="medium"/>
    <n v="4"/>
    <n v="7"/>
    <n v="2"/>
    <n v="0"/>
  </r>
  <r>
    <n v="16"/>
    <x v="1"/>
    <n v="6.3"/>
    <s v="Instagram"/>
    <n v="6.5"/>
    <n v="1"/>
    <n v="2.52"/>
    <n v="0.4"/>
    <s v="low"/>
    <n v="1"/>
    <n v="10"/>
    <n v="6"/>
    <n v="0"/>
  </r>
  <r>
    <n v="16"/>
    <x v="1"/>
    <n v="6.6"/>
    <s v="Both"/>
    <n v="8.9"/>
    <n v="2"/>
    <n v="3.44"/>
    <n v="1.7"/>
    <s v="low"/>
    <n v="10"/>
    <n v="9"/>
    <n v="3"/>
    <n v="0"/>
  </r>
  <r>
    <n v="16"/>
    <x v="1"/>
    <n v="4.5999999999999996"/>
    <s v="Instagram"/>
    <n v="8.1999999999999993"/>
    <n v="1.5"/>
    <n v="2.13"/>
    <n v="1"/>
    <s v="low"/>
    <n v="3"/>
    <n v="2"/>
    <n v="2"/>
    <n v="0"/>
  </r>
  <r>
    <n v="16"/>
    <x v="1"/>
    <n v="1.8"/>
    <s v="TikTok"/>
    <n v="7.4"/>
    <n v="2.2999999999999998"/>
    <n v="3.76"/>
    <n v="0.8"/>
    <s v="low"/>
    <n v="9"/>
    <n v="5"/>
    <n v="8"/>
    <n v="0"/>
  </r>
  <r>
    <n v="16"/>
    <x v="1"/>
    <n v="8"/>
    <s v="Instagram"/>
    <n v="8.1"/>
    <n v="2.5"/>
    <n v="2.7"/>
    <n v="1.7"/>
    <s v="medium"/>
    <n v="4"/>
    <n v="5"/>
    <n v="7"/>
    <n v="0"/>
  </r>
  <r>
    <n v="16"/>
    <x v="1"/>
    <n v="1.2"/>
    <s v="Instagram"/>
    <n v="7.3"/>
    <n v="1"/>
    <n v="2.36"/>
    <n v="1.1000000000000001"/>
    <s v="medium"/>
    <n v="5"/>
    <n v="3"/>
    <n v="6"/>
    <n v="0"/>
  </r>
  <r>
    <n v="16"/>
    <x v="1"/>
    <n v="2"/>
    <s v="Instagram"/>
    <n v="8.1999999999999993"/>
    <n v="1"/>
    <n v="3.15"/>
    <n v="0.9"/>
    <s v="medium"/>
    <n v="9"/>
    <n v="7"/>
    <n v="10"/>
    <n v="0"/>
  </r>
  <r>
    <n v="16"/>
    <x v="1"/>
    <n v="4.8"/>
    <s v="Both"/>
    <n v="5.4"/>
    <n v="0.9"/>
    <n v="2.06"/>
    <n v="1.9"/>
    <s v="low"/>
    <n v="8"/>
    <n v="3"/>
    <n v="2"/>
    <n v="0"/>
  </r>
  <r>
    <n v="16"/>
    <x v="1"/>
    <n v="1.8"/>
    <s v="Instagram"/>
    <n v="4.9000000000000004"/>
    <n v="2.2999999999999998"/>
    <n v="2.67"/>
    <n v="1.4"/>
    <s v="medium"/>
    <n v="3"/>
    <n v="8"/>
    <n v="6"/>
    <n v="0"/>
  </r>
  <r>
    <n v="16"/>
    <x v="1"/>
    <n v="6.1"/>
    <s v="TikTok"/>
    <n v="6.8"/>
    <n v="0.8"/>
    <n v="2.61"/>
    <n v="0.9"/>
    <s v="low"/>
    <n v="10"/>
    <n v="10"/>
    <n v="4"/>
    <n v="0"/>
  </r>
  <r>
    <n v="16"/>
    <x v="1"/>
    <n v="3.5"/>
    <s v="Both"/>
    <n v="4.4000000000000004"/>
    <n v="1.5"/>
    <n v="2.7"/>
    <n v="0.8"/>
    <s v="high"/>
    <n v="2"/>
    <n v="10"/>
    <n v="8"/>
    <n v="0"/>
  </r>
  <r>
    <n v="16"/>
    <x v="1"/>
    <n v="5.3"/>
    <s v="TikTok"/>
    <n v="6.8"/>
    <n v="0.7"/>
    <n v="3.9"/>
    <n v="1.5"/>
    <s v="low"/>
    <n v="5"/>
    <n v="8"/>
    <n v="3"/>
    <n v="0"/>
  </r>
  <r>
    <n v="16"/>
    <x v="1"/>
    <n v="4.5999999999999996"/>
    <s v="Both"/>
    <n v="5.3"/>
    <n v="1.3"/>
    <n v="3.76"/>
    <n v="0.5"/>
    <s v="medium"/>
    <n v="3"/>
    <n v="8"/>
    <n v="8"/>
    <n v="0"/>
  </r>
  <r>
    <n v="16"/>
    <x v="1"/>
    <n v="3.9"/>
    <s v="TikTok"/>
    <n v="7.5"/>
    <n v="2.1"/>
    <n v="3.24"/>
    <n v="0.9"/>
    <s v="low"/>
    <n v="4"/>
    <n v="3"/>
    <n v="2"/>
    <n v="0"/>
  </r>
  <r>
    <n v="16"/>
    <x v="1"/>
    <n v="7.6"/>
    <s v="Both"/>
    <n v="6.1"/>
    <n v="0.8"/>
    <n v="3.09"/>
    <n v="1.3"/>
    <s v="low"/>
    <n v="8"/>
    <n v="4"/>
    <n v="4"/>
    <n v="0"/>
  </r>
  <r>
    <n v="16"/>
    <x v="1"/>
    <n v="3.7"/>
    <s v="Instagram"/>
    <n v="7.6"/>
    <n v="1.2"/>
    <n v="3.2"/>
    <n v="1"/>
    <s v="medium"/>
    <n v="4"/>
    <n v="8"/>
    <n v="6"/>
    <n v="0"/>
  </r>
  <r>
    <n v="16"/>
    <x v="1"/>
    <n v="2.6"/>
    <s v="Instagram"/>
    <n v="5.0999999999999996"/>
    <n v="0.9"/>
    <n v="2.57"/>
    <n v="1.4"/>
    <s v="medium"/>
    <n v="8"/>
    <n v="5"/>
    <n v="8"/>
    <n v="0"/>
  </r>
  <r>
    <n v="16"/>
    <x v="1"/>
    <n v="7.4"/>
    <s v="Both"/>
    <n v="7.2"/>
    <n v="1.8"/>
    <n v="2.11"/>
    <n v="1.4"/>
    <s v="medium"/>
    <n v="3"/>
    <n v="7"/>
    <n v="3"/>
    <n v="0"/>
  </r>
  <r>
    <n v="16"/>
    <x v="1"/>
    <n v="7"/>
    <s v="Instagram"/>
    <n v="4.8"/>
    <n v="1.7"/>
    <n v="2.9"/>
    <n v="0.3"/>
    <s v="low"/>
    <n v="4"/>
    <n v="1"/>
    <n v="8"/>
    <n v="0"/>
  </r>
  <r>
    <n v="16"/>
    <x v="1"/>
    <n v="2.7"/>
    <s v="Both"/>
    <n v="7.5"/>
    <n v="2.8"/>
    <n v="3.53"/>
    <n v="0.9"/>
    <s v="medium"/>
    <n v="3"/>
    <n v="1"/>
    <n v="5"/>
    <n v="0"/>
  </r>
  <r>
    <n v="16"/>
    <x v="1"/>
    <n v="7"/>
    <s v="TikTok"/>
    <n v="7.4"/>
    <n v="2.6"/>
    <n v="2.92"/>
    <n v="1"/>
    <s v="medium"/>
    <n v="10"/>
    <n v="6"/>
    <n v="3"/>
    <n v="0"/>
  </r>
  <r>
    <n v="16"/>
    <x v="1"/>
    <n v="4.8"/>
    <s v="Instagram"/>
    <n v="8.6"/>
    <n v="1.8"/>
    <n v="2.44"/>
    <n v="1.7"/>
    <s v="high"/>
    <n v="8"/>
    <n v="7"/>
    <n v="3"/>
    <n v="0"/>
  </r>
  <r>
    <n v="16"/>
    <x v="1"/>
    <n v="2.2000000000000002"/>
    <s v="TikTok"/>
    <n v="5.0999999999999996"/>
    <n v="2.2999999999999998"/>
    <n v="3.6"/>
    <n v="1"/>
    <s v="high"/>
    <n v="4"/>
    <n v="7"/>
    <n v="6"/>
    <n v="0"/>
  </r>
  <r>
    <n v="16"/>
    <x v="1"/>
    <n v="7.9"/>
    <s v="Instagram"/>
    <n v="8.6999999999999993"/>
    <n v="2.5"/>
    <n v="2.29"/>
    <n v="0.7"/>
    <s v="high"/>
    <n v="7"/>
    <n v="7"/>
    <n v="4"/>
    <n v="0"/>
  </r>
  <r>
    <n v="16"/>
    <x v="1"/>
    <n v="3.9"/>
    <s v="TikTok"/>
    <n v="4.2"/>
    <n v="2.1"/>
    <n v="2.2799999999999998"/>
    <n v="1.1000000000000001"/>
    <s v="medium"/>
    <n v="6"/>
    <n v="5"/>
    <n v="7"/>
    <n v="0"/>
  </r>
  <r>
    <n v="16"/>
    <x v="1"/>
    <n v="7.2"/>
    <s v="Both"/>
    <n v="6.9"/>
    <n v="2.1"/>
    <n v="2.3199999999999998"/>
    <n v="1.1000000000000001"/>
    <s v="low"/>
    <n v="3"/>
    <n v="4"/>
    <n v="10"/>
    <n v="0"/>
  </r>
  <r>
    <n v="16"/>
    <x v="1"/>
    <n v="5.0999999999999996"/>
    <s v="TikTok"/>
    <n v="4.5999999999999996"/>
    <n v="1.1000000000000001"/>
    <n v="2.75"/>
    <n v="1.5"/>
    <s v="medium"/>
    <n v="6"/>
    <n v="3"/>
    <n v="6"/>
    <n v="0"/>
  </r>
  <r>
    <n v="16"/>
    <x v="1"/>
    <n v="7.3"/>
    <s v="TikTok"/>
    <n v="7"/>
    <n v="2.2000000000000002"/>
    <n v="2.0699999999999998"/>
    <n v="1"/>
    <s v="medium"/>
    <n v="3"/>
    <n v="7"/>
    <n v="1"/>
    <n v="0"/>
  </r>
  <r>
    <n v="16"/>
    <x v="1"/>
    <n v="7.1"/>
    <s v="TikTok"/>
    <n v="7.7"/>
    <n v="1.9"/>
    <n v="2.2400000000000002"/>
    <n v="0.6"/>
    <s v="high"/>
    <n v="8"/>
    <n v="10"/>
    <n v="5"/>
    <n v="0"/>
  </r>
  <r>
    <n v="16"/>
    <x v="1"/>
    <n v="5.3"/>
    <s v="TikTok"/>
    <n v="5.3"/>
    <n v="2.4"/>
    <n v="3.01"/>
    <n v="1.6"/>
    <s v="medium"/>
    <n v="2"/>
    <n v="9"/>
    <n v="1"/>
    <n v="0"/>
  </r>
  <r>
    <n v="16"/>
    <x v="1"/>
    <n v="2.2999999999999998"/>
    <s v="Both"/>
    <n v="8"/>
    <n v="1.9"/>
    <n v="2.12"/>
    <n v="0.4"/>
    <s v="high"/>
    <n v="7"/>
    <n v="4"/>
    <n v="4"/>
    <n v="0"/>
  </r>
  <r>
    <n v="17"/>
    <x v="1"/>
    <n v="2.5"/>
    <s v="Both"/>
    <n v="6.7"/>
    <n v="2"/>
    <n v="2.56"/>
    <n v="1.7"/>
    <s v="high"/>
    <n v="5"/>
    <n v="7"/>
    <n v="5"/>
    <n v="0"/>
  </r>
  <r>
    <n v="17"/>
    <x v="1"/>
    <n v="2.7"/>
    <s v="Instagram"/>
    <n v="8"/>
    <n v="2.6"/>
    <n v="3.53"/>
    <n v="1.9"/>
    <s v="high"/>
    <n v="1"/>
    <n v="8"/>
    <n v="7"/>
    <n v="0"/>
  </r>
  <r>
    <n v="17"/>
    <x v="1"/>
    <n v="5.8"/>
    <s v="Both"/>
    <n v="7.6"/>
    <n v="0.7"/>
    <n v="2.83"/>
    <n v="1"/>
    <s v="medium"/>
    <n v="7"/>
    <n v="6"/>
    <n v="8"/>
    <n v="0"/>
  </r>
  <r>
    <n v="17"/>
    <x v="1"/>
    <n v="7.7"/>
    <s v="TikTok"/>
    <n v="8.5"/>
    <n v="1.2"/>
    <n v="3.56"/>
    <n v="0"/>
    <s v="medium"/>
    <n v="7"/>
    <n v="10"/>
    <n v="7"/>
    <n v="0"/>
  </r>
  <r>
    <n v="17"/>
    <x v="1"/>
    <n v="6.5"/>
    <s v="Instagram"/>
    <n v="4.0999999999999996"/>
    <n v="2.7"/>
    <n v="3.66"/>
    <n v="1.1000000000000001"/>
    <s v="medium"/>
    <n v="6"/>
    <n v="10"/>
    <n v="10"/>
    <n v="0"/>
  </r>
  <r>
    <n v="17"/>
    <x v="1"/>
    <n v="3.9"/>
    <s v="Instagram"/>
    <n v="7.1"/>
    <n v="2.4"/>
    <n v="3.82"/>
    <n v="0.8"/>
    <s v="high"/>
    <n v="3"/>
    <n v="6"/>
    <n v="10"/>
    <n v="0"/>
  </r>
  <r>
    <n v="17"/>
    <x v="1"/>
    <n v="2.1"/>
    <s v="TikTok"/>
    <n v="4.7"/>
    <n v="2"/>
    <n v="2.99"/>
    <n v="1.9"/>
    <s v="low"/>
    <n v="5"/>
    <n v="1"/>
    <n v="8"/>
    <n v="0"/>
  </r>
  <r>
    <n v="17"/>
    <x v="1"/>
    <n v="8"/>
    <s v="Instagram"/>
    <n v="4.5999999999999996"/>
    <n v="2.6"/>
    <n v="3.06"/>
    <n v="0.1"/>
    <s v="high"/>
    <n v="9"/>
    <n v="2"/>
    <n v="6"/>
    <n v="0"/>
  </r>
  <r>
    <n v="17"/>
    <x v="1"/>
    <n v="5.0999999999999996"/>
    <s v="Both"/>
    <n v="5"/>
    <n v="2.2000000000000002"/>
    <n v="3.58"/>
    <n v="1.2"/>
    <s v="high"/>
    <n v="6"/>
    <n v="3"/>
    <n v="9"/>
    <n v="0"/>
  </r>
  <r>
    <n v="17"/>
    <x v="1"/>
    <n v="1.1000000000000001"/>
    <s v="Instagram"/>
    <n v="6.8"/>
    <n v="2"/>
    <n v="3.45"/>
    <n v="1.3"/>
    <s v="medium"/>
    <n v="7"/>
    <n v="1"/>
    <n v="2"/>
    <n v="0"/>
  </r>
  <r>
    <n v="17"/>
    <x v="1"/>
    <n v="2.4"/>
    <s v="TikTok"/>
    <n v="8.5"/>
    <n v="2.4"/>
    <n v="2.79"/>
    <n v="1.1000000000000001"/>
    <s v="low"/>
    <n v="1"/>
    <n v="6"/>
    <n v="7"/>
    <n v="0"/>
  </r>
  <r>
    <n v="17"/>
    <x v="1"/>
    <n v="6.7"/>
    <s v="Instagram"/>
    <n v="7.6"/>
    <n v="2.4"/>
    <n v="3.59"/>
    <n v="0.4"/>
    <s v="medium"/>
    <n v="9"/>
    <n v="5"/>
    <n v="5"/>
    <n v="0"/>
  </r>
  <r>
    <n v="17"/>
    <x v="1"/>
    <n v="1.5"/>
    <s v="TikTok"/>
    <n v="5.5"/>
    <n v="1.7"/>
    <n v="2.93"/>
    <n v="0.7"/>
    <s v="low"/>
    <n v="4"/>
    <n v="9"/>
    <n v="9"/>
    <n v="0"/>
  </r>
  <r>
    <n v="17"/>
    <x v="1"/>
    <n v="3.9"/>
    <s v="Both"/>
    <n v="7.7"/>
    <n v="1"/>
    <n v="2.1"/>
    <n v="1.8"/>
    <s v="high"/>
    <n v="7"/>
    <n v="4"/>
    <n v="5"/>
    <n v="0"/>
  </r>
  <r>
    <n v="17"/>
    <x v="1"/>
    <n v="7.2"/>
    <s v="TikTok"/>
    <n v="8.8000000000000007"/>
    <n v="2.5"/>
    <n v="3.97"/>
    <n v="1.9"/>
    <s v="low"/>
    <n v="1"/>
    <n v="3"/>
    <n v="9"/>
    <n v="0"/>
  </r>
  <r>
    <n v="17"/>
    <x v="1"/>
    <n v="7.8"/>
    <s v="TikTok"/>
    <n v="7.1"/>
    <n v="0.8"/>
    <n v="2.79"/>
    <n v="1.4"/>
    <s v="medium"/>
    <n v="9"/>
    <n v="4"/>
    <n v="2"/>
    <n v="0"/>
  </r>
  <r>
    <n v="17"/>
    <x v="1"/>
    <n v="4.9000000000000004"/>
    <s v="Instagram"/>
    <n v="8.6"/>
    <n v="3"/>
    <n v="3.62"/>
    <n v="1.2"/>
    <s v="low"/>
    <n v="6"/>
    <n v="6"/>
    <n v="9"/>
    <n v="0"/>
  </r>
  <r>
    <n v="17"/>
    <x v="1"/>
    <n v="7.2"/>
    <s v="Both"/>
    <n v="6.1"/>
    <n v="0.8"/>
    <n v="3.9"/>
    <n v="0.2"/>
    <s v="low"/>
    <n v="8"/>
    <n v="3"/>
    <n v="7"/>
    <n v="0"/>
  </r>
  <r>
    <n v="17"/>
    <x v="1"/>
    <n v="7.2"/>
    <s v="Instagram"/>
    <n v="8"/>
    <n v="1.9"/>
    <n v="2.66"/>
    <n v="1.4"/>
    <s v="medium"/>
    <n v="5"/>
    <n v="8"/>
    <n v="6"/>
    <n v="0"/>
  </r>
  <r>
    <n v="17"/>
    <x v="1"/>
    <n v="7.7"/>
    <s v="TikTok"/>
    <n v="4.7"/>
    <n v="2.8"/>
    <n v="3.5"/>
    <n v="1.5"/>
    <s v="low"/>
    <n v="8"/>
    <n v="4"/>
    <n v="8"/>
    <n v="0"/>
  </r>
  <r>
    <n v="17"/>
    <x v="1"/>
    <n v="8"/>
    <s v="Instagram"/>
    <n v="8.6999999999999993"/>
    <n v="1.5"/>
    <n v="3.7"/>
    <n v="2"/>
    <s v="high"/>
    <n v="10"/>
    <n v="9"/>
    <n v="5"/>
    <n v="0"/>
  </r>
  <r>
    <n v="17"/>
    <x v="1"/>
    <n v="3.7"/>
    <s v="TikTok"/>
    <n v="7.2"/>
    <n v="0.6"/>
    <n v="3.34"/>
    <n v="1.8"/>
    <s v="high"/>
    <n v="2"/>
    <n v="6"/>
    <n v="2"/>
    <n v="0"/>
  </r>
  <r>
    <n v="17"/>
    <x v="1"/>
    <n v="4"/>
    <s v="Both"/>
    <n v="4.3"/>
    <n v="1.8"/>
    <n v="2.17"/>
    <n v="0.9"/>
    <s v="high"/>
    <n v="8"/>
    <n v="8"/>
    <n v="3"/>
    <n v="0"/>
  </r>
  <r>
    <n v="17"/>
    <x v="1"/>
    <n v="1.3"/>
    <s v="Both"/>
    <n v="8.3000000000000007"/>
    <n v="1"/>
    <n v="3.95"/>
    <n v="1.2"/>
    <s v="medium"/>
    <n v="4"/>
    <n v="1"/>
    <n v="1"/>
    <n v="0"/>
  </r>
  <r>
    <n v="17"/>
    <x v="1"/>
    <n v="3.3"/>
    <s v="TikTok"/>
    <n v="5.7"/>
    <n v="2"/>
    <n v="3.71"/>
    <n v="0.1"/>
    <s v="low"/>
    <n v="6"/>
    <n v="6"/>
    <n v="8"/>
    <n v="0"/>
  </r>
  <r>
    <n v="17"/>
    <x v="1"/>
    <n v="2.4"/>
    <s v="TikTok"/>
    <n v="6"/>
    <n v="0.7"/>
    <n v="3.67"/>
    <n v="1.5"/>
    <s v="low"/>
    <n v="7"/>
    <n v="9"/>
    <n v="2"/>
    <n v="0"/>
  </r>
  <r>
    <n v="17"/>
    <x v="1"/>
    <n v="4.7"/>
    <s v="TikTok"/>
    <n v="5.0999999999999996"/>
    <n v="2"/>
    <n v="2.35"/>
    <n v="1.8"/>
    <s v="low"/>
    <n v="8"/>
    <n v="9"/>
    <n v="1"/>
    <n v="0"/>
  </r>
  <r>
    <n v="17"/>
    <x v="1"/>
    <n v="1.7"/>
    <s v="Both"/>
    <n v="8.6"/>
    <n v="0.9"/>
    <n v="2.36"/>
    <n v="1.7"/>
    <s v="low"/>
    <n v="9"/>
    <n v="1"/>
    <n v="3"/>
    <n v="0"/>
  </r>
  <r>
    <n v="17"/>
    <x v="1"/>
    <n v="6.8"/>
    <s v="Instagram"/>
    <n v="4.7"/>
    <n v="0.6"/>
    <n v="3.4"/>
    <n v="0.9"/>
    <s v="low"/>
    <n v="3"/>
    <n v="9"/>
    <n v="7"/>
    <n v="0"/>
  </r>
  <r>
    <n v="17"/>
    <x v="1"/>
    <n v="6.2"/>
    <s v="Instagram"/>
    <n v="7.4"/>
    <n v="0.6"/>
    <n v="3.38"/>
    <n v="1.5"/>
    <s v="low"/>
    <n v="4"/>
    <n v="7"/>
    <n v="9"/>
    <n v="0"/>
  </r>
  <r>
    <n v="17"/>
    <x v="1"/>
    <n v="4.5"/>
    <s v="Both"/>
    <n v="4.9000000000000004"/>
    <n v="0.5"/>
    <n v="3.44"/>
    <n v="1.2"/>
    <s v="medium"/>
    <n v="5"/>
    <n v="3"/>
    <n v="1"/>
    <n v="0"/>
  </r>
  <r>
    <n v="17"/>
    <x v="1"/>
    <n v="6.4"/>
    <s v="TikTok"/>
    <n v="8.6"/>
    <n v="2.2999999999999998"/>
    <n v="2.57"/>
    <n v="1.3"/>
    <s v="low"/>
    <n v="9"/>
    <n v="10"/>
    <n v="5"/>
    <n v="0"/>
  </r>
  <r>
    <n v="17"/>
    <x v="1"/>
    <n v="3.6"/>
    <s v="Both"/>
    <n v="6.1"/>
    <n v="2.8"/>
    <n v="2.39"/>
    <n v="0.6"/>
    <s v="low"/>
    <n v="6"/>
    <n v="8"/>
    <n v="5"/>
    <n v="0"/>
  </r>
  <r>
    <n v="17"/>
    <x v="1"/>
    <n v="5.3"/>
    <s v="Instagram"/>
    <n v="6.4"/>
    <n v="2.9"/>
    <n v="2.42"/>
    <n v="1.1000000000000001"/>
    <s v="low"/>
    <n v="3"/>
    <n v="8"/>
    <n v="3"/>
    <n v="0"/>
  </r>
  <r>
    <n v="17"/>
    <x v="1"/>
    <n v="6.6"/>
    <s v="TikTok"/>
    <n v="8.1999999999999993"/>
    <n v="0.7"/>
    <n v="2.88"/>
    <n v="0.8"/>
    <s v="low"/>
    <n v="1"/>
    <n v="7"/>
    <n v="7"/>
    <n v="0"/>
  </r>
  <r>
    <n v="17"/>
    <x v="1"/>
    <n v="2.9"/>
    <s v="Both"/>
    <n v="6.7"/>
    <n v="1.5"/>
    <n v="3.62"/>
    <n v="0.8"/>
    <s v="medium"/>
    <n v="10"/>
    <n v="6"/>
    <n v="4"/>
    <n v="0"/>
  </r>
  <r>
    <n v="17"/>
    <x v="1"/>
    <n v="3.8"/>
    <s v="Both"/>
    <n v="5.7"/>
    <n v="2"/>
    <n v="3.01"/>
    <n v="1"/>
    <s v="low"/>
    <n v="1"/>
    <n v="3"/>
    <n v="1"/>
    <n v="0"/>
  </r>
  <r>
    <n v="17"/>
    <x v="1"/>
    <n v="8"/>
    <s v="Instagram"/>
    <n v="6.9"/>
    <n v="2.2000000000000002"/>
    <n v="2.36"/>
    <n v="1.6"/>
    <s v="low"/>
    <n v="4"/>
    <n v="2"/>
    <n v="8"/>
    <n v="0"/>
  </r>
  <r>
    <n v="17"/>
    <x v="1"/>
    <n v="4"/>
    <s v="Both"/>
    <n v="8.5"/>
    <n v="1"/>
    <n v="2.16"/>
    <n v="0.1"/>
    <s v="low"/>
    <n v="1"/>
    <n v="7"/>
    <n v="5"/>
    <n v="0"/>
  </r>
  <r>
    <n v="17"/>
    <x v="1"/>
    <n v="7.6"/>
    <s v="Instagram"/>
    <n v="6"/>
    <n v="2"/>
    <n v="3.82"/>
    <n v="1.5"/>
    <s v="low"/>
    <n v="8"/>
    <n v="9"/>
    <n v="7"/>
    <n v="0"/>
  </r>
  <r>
    <n v="17"/>
    <x v="1"/>
    <n v="6"/>
    <s v="Both"/>
    <n v="5.3"/>
    <n v="2.7"/>
    <n v="3.2"/>
    <n v="1.4"/>
    <s v="medium"/>
    <n v="8"/>
    <n v="2"/>
    <n v="4"/>
    <n v="0"/>
  </r>
  <r>
    <n v="17"/>
    <x v="1"/>
    <n v="5.9"/>
    <s v="Instagram"/>
    <n v="7.4"/>
    <n v="1.7"/>
    <n v="2.5"/>
    <n v="0.7"/>
    <s v="high"/>
    <n v="6"/>
    <n v="7"/>
    <n v="1"/>
    <n v="0"/>
  </r>
  <r>
    <n v="17"/>
    <x v="1"/>
    <n v="3.3"/>
    <s v="Both"/>
    <n v="5.2"/>
    <n v="1.8"/>
    <n v="2.1"/>
    <n v="1.2"/>
    <s v="low"/>
    <n v="2"/>
    <n v="3"/>
    <n v="9"/>
    <n v="0"/>
  </r>
  <r>
    <n v="17"/>
    <x v="1"/>
    <n v="1.5"/>
    <s v="Both"/>
    <n v="8"/>
    <n v="0.5"/>
    <n v="3.01"/>
    <n v="0.4"/>
    <s v="medium"/>
    <n v="10"/>
    <n v="2"/>
    <n v="3"/>
    <n v="0"/>
  </r>
  <r>
    <n v="17"/>
    <x v="1"/>
    <n v="4.4000000000000004"/>
    <s v="Both"/>
    <n v="8.1999999999999993"/>
    <n v="2.7"/>
    <n v="3.13"/>
    <n v="0.3"/>
    <s v="medium"/>
    <n v="3"/>
    <n v="1"/>
    <n v="2"/>
    <n v="0"/>
  </r>
  <r>
    <n v="17"/>
    <x v="1"/>
    <n v="4.5999999999999996"/>
    <s v="TikTok"/>
    <n v="5.0999999999999996"/>
    <n v="2.5"/>
    <n v="2.13"/>
    <n v="1"/>
    <s v="medium"/>
    <n v="2"/>
    <n v="5"/>
    <n v="6"/>
    <n v="0"/>
  </r>
  <r>
    <n v="17"/>
    <x v="1"/>
    <n v="3.8"/>
    <s v="Instagram"/>
    <n v="7.7"/>
    <n v="0.7"/>
    <n v="3.45"/>
    <n v="1"/>
    <s v="low"/>
    <n v="2"/>
    <n v="8"/>
    <n v="9"/>
    <n v="0"/>
  </r>
  <r>
    <n v="17"/>
    <x v="1"/>
    <n v="4.2"/>
    <s v="TikTok"/>
    <n v="7.3"/>
    <n v="2.6"/>
    <n v="3.2"/>
    <n v="0.2"/>
    <s v="high"/>
    <n v="7"/>
    <n v="1"/>
    <n v="3"/>
    <n v="0"/>
  </r>
  <r>
    <n v="17"/>
    <x v="1"/>
    <n v="4.9000000000000004"/>
    <s v="Instagram"/>
    <n v="6.4"/>
    <n v="2.5"/>
    <n v="2.64"/>
    <n v="1.9"/>
    <s v="medium"/>
    <n v="6"/>
    <n v="2"/>
    <n v="10"/>
    <n v="0"/>
  </r>
  <r>
    <n v="17"/>
    <x v="1"/>
    <n v="5.0999999999999996"/>
    <s v="TikTok"/>
    <n v="5.0999999999999996"/>
    <n v="2.9"/>
    <n v="3.99"/>
    <n v="0.6"/>
    <s v="medium"/>
    <n v="4"/>
    <n v="2"/>
    <n v="9"/>
    <n v="0"/>
  </r>
  <r>
    <n v="17"/>
    <x v="1"/>
    <n v="5.2"/>
    <s v="Instagram"/>
    <n v="4.7"/>
    <n v="2.4"/>
    <n v="2.77"/>
    <n v="1.3"/>
    <s v="high"/>
    <n v="9"/>
    <n v="6"/>
    <n v="9"/>
    <n v="0"/>
  </r>
  <r>
    <n v="17"/>
    <x v="1"/>
    <n v="4.8"/>
    <s v="TikTok"/>
    <n v="6"/>
    <n v="2.1"/>
    <n v="2.39"/>
    <n v="1.8"/>
    <s v="high"/>
    <n v="5"/>
    <n v="8"/>
    <n v="7"/>
    <n v="0"/>
  </r>
  <r>
    <n v="17"/>
    <x v="1"/>
    <n v="7.6"/>
    <s v="Both"/>
    <n v="4.9000000000000004"/>
    <n v="0.6"/>
    <n v="2.56"/>
    <n v="0.8"/>
    <s v="low"/>
    <n v="4"/>
    <n v="1"/>
    <n v="9"/>
    <n v="0"/>
  </r>
  <r>
    <n v="17"/>
    <x v="1"/>
    <n v="1.7"/>
    <s v="Both"/>
    <n v="7"/>
    <n v="0.8"/>
    <n v="3.39"/>
    <n v="0.9"/>
    <s v="high"/>
    <n v="7"/>
    <n v="7"/>
    <n v="10"/>
    <n v="0"/>
  </r>
  <r>
    <n v="17"/>
    <x v="1"/>
    <n v="7.3"/>
    <s v="Both"/>
    <n v="8.5"/>
    <n v="1.5"/>
    <n v="3.54"/>
    <n v="1.2"/>
    <s v="low"/>
    <n v="3"/>
    <n v="3"/>
    <n v="7"/>
    <n v="0"/>
  </r>
  <r>
    <n v="17"/>
    <x v="1"/>
    <n v="4.8"/>
    <s v="TikTok"/>
    <n v="5.6"/>
    <n v="1.6"/>
    <n v="2"/>
    <n v="1.3"/>
    <s v="low"/>
    <n v="3"/>
    <n v="8"/>
    <n v="4"/>
    <n v="0"/>
  </r>
  <r>
    <n v="17"/>
    <x v="1"/>
    <n v="7.3"/>
    <s v="Instagram"/>
    <n v="5.8"/>
    <n v="2.9"/>
    <n v="3.93"/>
    <n v="0.9"/>
    <s v="medium"/>
    <n v="6"/>
    <n v="2"/>
    <n v="9"/>
    <n v="0"/>
  </r>
  <r>
    <n v="17"/>
    <x v="1"/>
    <n v="5.7"/>
    <s v="TikTok"/>
    <n v="8.6999999999999993"/>
    <n v="2"/>
    <n v="3.14"/>
    <n v="1.7"/>
    <s v="low"/>
    <n v="1"/>
    <n v="9"/>
    <n v="8"/>
    <n v="0"/>
  </r>
  <r>
    <n v="17"/>
    <x v="1"/>
    <n v="3.8"/>
    <s v="Instagram"/>
    <n v="4.7"/>
    <n v="1.2"/>
    <n v="3.7"/>
    <n v="1.4"/>
    <s v="high"/>
    <n v="2"/>
    <n v="2"/>
    <n v="5"/>
    <n v="0"/>
  </r>
  <r>
    <n v="17"/>
    <x v="1"/>
    <n v="5.4"/>
    <s v="Both"/>
    <n v="4.9000000000000004"/>
    <n v="1.5"/>
    <n v="3.4"/>
    <n v="0"/>
    <s v="medium"/>
    <n v="2"/>
    <n v="2"/>
    <n v="1"/>
    <n v="0"/>
  </r>
  <r>
    <n v="17"/>
    <x v="1"/>
    <n v="2.2000000000000002"/>
    <s v="TikTok"/>
    <n v="7.1"/>
    <n v="1.1000000000000001"/>
    <n v="2.5"/>
    <n v="1.5"/>
    <s v="low"/>
    <n v="2"/>
    <n v="1"/>
    <n v="2"/>
    <n v="0"/>
  </r>
  <r>
    <n v="17"/>
    <x v="1"/>
    <n v="2.7"/>
    <s v="Instagram"/>
    <n v="7.5"/>
    <n v="1.5"/>
    <n v="3.23"/>
    <n v="1.4"/>
    <s v="low"/>
    <n v="5"/>
    <n v="7"/>
    <n v="3"/>
    <n v="0"/>
  </r>
  <r>
    <n v="17"/>
    <x v="1"/>
    <n v="1.8"/>
    <s v="Instagram"/>
    <n v="6.9"/>
    <n v="2.7"/>
    <n v="2.5299999999999998"/>
    <n v="1.7"/>
    <s v="high"/>
    <n v="2"/>
    <n v="2"/>
    <n v="7"/>
    <n v="0"/>
  </r>
  <r>
    <n v="17"/>
    <x v="1"/>
    <n v="6.6"/>
    <s v="TikTok"/>
    <n v="5.3"/>
    <n v="1.1000000000000001"/>
    <n v="3.5"/>
    <n v="1.7"/>
    <s v="medium"/>
    <n v="1"/>
    <n v="10"/>
    <n v="7"/>
    <n v="0"/>
  </r>
  <r>
    <n v="17"/>
    <x v="1"/>
    <n v="3.5"/>
    <s v="Both"/>
    <n v="4.5999999999999996"/>
    <n v="0.7"/>
    <n v="3.9"/>
    <n v="0.6"/>
    <s v="high"/>
    <n v="7"/>
    <n v="3"/>
    <n v="1"/>
    <n v="0"/>
  </r>
  <r>
    <n v="17"/>
    <x v="1"/>
    <n v="3.5"/>
    <s v="Instagram"/>
    <n v="4.3"/>
    <n v="2.2000000000000002"/>
    <n v="3.19"/>
    <n v="1"/>
    <s v="high"/>
    <n v="4"/>
    <n v="5"/>
    <n v="9"/>
    <n v="0"/>
  </r>
  <r>
    <n v="17"/>
    <x v="1"/>
    <n v="4.7"/>
    <s v="TikTok"/>
    <n v="7.2"/>
    <n v="2.7"/>
    <n v="2.06"/>
    <n v="1.4"/>
    <s v="low"/>
    <n v="3"/>
    <n v="1"/>
    <n v="4"/>
    <n v="0"/>
  </r>
  <r>
    <n v="17"/>
    <x v="1"/>
    <n v="6.9"/>
    <s v="Both"/>
    <n v="4.5999999999999996"/>
    <n v="2.5"/>
    <n v="2.04"/>
    <n v="0.8"/>
    <s v="high"/>
    <n v="10"/>
    <n v="9"/>
    <n v="2"/>
    <n v="1"/>
  </r>
  <r>
    <n v="17"/>
    <x v="1"/>
    <n v="7.5"/>
    <s v="TikTok"/>
    <n v="5.6"/>
    <n v="2.2999999999999998"/>
    <n v="2.37"/>
    <n v="0"/>
    <s v="high"/>
    <n v="3"/>
    <n v="10"/>
    <n v="8"/>
    <n v="0"/>
  </r>
  <r>
    <n v="17"/>
    <x v="1"/>
    <n v="5.9"/>
    <s v="Both"/>
    <n v="6.6"/>
    <n v="1.3"/>
    <n v="2.11"/>
    <n v="1.4"/>
    <s v="low"/>
    <n v="10"/>
    <n v="4"/>
    <n v="9"/>
    <n v="0"/>
  </r>
  <r>
    <n v="17"/>
    <x v="1"/>
    <n v="6.6"/>
    <s v="TikTok"/>
    <n v="5.2"/>
    <n v="2.2000000000000002"/>
    <n v="2.98"/>
    <n v="0.8"/>
    <s v="high"/>
    <n v="6"/>
    <n v="8"/>
    <n v="7"/>
    <n v="0"/>
  </r>
  <r>
    <n v="17"/>
    <x v="1"/>
    <n v="3.1"/>
    <s v="TikTok"/>
    <n v="7.7"/>
    <n v="2.2000000000000002"/>
    <n v="3.72"/>
    <n v="1.4"/>
    <s v="medium"/>
    <n v="1"/>
    <n v="5"/>
    <n v="8"/>
    <n v="0"/>
  </r>
  <r>
    <n v="17"/>
    <x v="1"/>
    <n v="2"/>
    <s v="Both"/>
    <n v="4.5"/>
    <n v="1.7"/>
    <n v="2.65"/>
    <n v="0"/>
    <s v="medium"/>
    <n v="9"/>
    <n v="4"/>
    <n v="2"/>
    <n v="0"/>
  </r>
  <r>
    <n v="18"/>
    <x v="1"/>
    <n v="4.0999999999999996"/>
    <s v="Both"/>
    <n v="7.4"/>
    <n v="2.4"/>
    <n v="2.38"/>
    <n v="1.5"/>
    <s v="medium"/>
    <n v="8"/>
    <n v="4"/>
    <n v="9"/>
    <n v="0"/>
  </r>
  <r>
    <n v="18"/>
    <x v="1"/>
    <n v="5.3"/>
    <s v="Instagram"/>
    <n v="4.9000000000000004"/>
    <n v="1.2"/>
    <n v="3.69"/>
    <n v="1.2"/>
    <s v="low"/>
    <n v="5"/>
    <n v="4"/>
    <n v="5"/>
    <n v="0"/>
  </r>
  <r>
    <n v="18"/>
    <x v="1"/>
    <n v="6.8"/>
    <s v="TikTok"/>
    <n v="8.6"/>
    <n v="1.1000000000000001"/>
    <n v="2.36"/>
    <n v="1.6"/>
    <s v="high"/>
    <n v="1"/>
    <n v="10"/>
    <n v="10"/>
    <n v="0"/>
  </r>
  <r>
    <n v="18"/>
    <x v="1"/>
    <n v="4.5"/>
    <s v="TikTok"/>
    <n v="4.0999999999999996"/>
    <n v="1.9"/>
    <n v="3.42"/>
    <n v="0.1"/>
    <s v="medium"/>
    <n v="6"/>
    <n v="7"/>
    <n v="8"/>
    <n v="0"/>
  </r>
  <r>
    <n v="18"/>
    <x v="1"/>
    <n v="2.9"/>
    <s v="Instagram"/>
    <n v="4.5"/>
    <n v="2.5"/>
    <n v="3.16"/>
    <n v="1.3"/>
    <s v="low"/>
    <n v="3"/>
    <n v="7"/>
    <n v="8"/>
    <n v="0"/>
  </r>
  <r>
    <n v="18"/>
    <x v="1"/>
    <n v="6.8"/>
    <s v="Instagram"/>
    <n v="6.5"/>
    <n v="2.7"/>
    <n v="2.97"/>
    <n v="1.9"/>
    <s v="low"/>
    <n v="4"/>
    <n v="4"/>
    <n v="5"/>
    <n v="0"/>
  </r>
  <r>
    <n v="18"/>
    <x v="1"/>
    <n v="4.5"/>
    <s v="TikTok"/>
    <n v="5"/>
    <n v="2.5"/>
    <n v="2.65"/>
    <n v="0.7"/>
    <s v="medium"/>
    <n v="8"/>
    <n v="9"/>
    <n v="1"/>
    <n v="0"/>
  </r>
  <r>
    <n v="18"/>
    <x v="1"/>
    <n v="1.6"/>
    <s v="TikTok"/>
    <n v="5.0999999999999996"/>
    <n v="2.7"/>
    <n v="3.57"/>
    <n v="0.8"/>
    <s v="high"/>
    <n v="3"/>
    <n v="9"/>
    <n v="7"/>
    <n v="0"/>
  </r>
  <r>
    <n v="18"/>
    <x v="1"/>
    <n v="1.1000000000000001"/>
    <s v="Both"/>
    <n v="7.2"/>
    <n v="1"/>
    <n v="3.13"/>
    <n v="0.6"/>
    <s v="medium"/>
    <n v="2"/>
    <n v="1"/>
    <n v="4"/>
    <n v="0"/>
  </r>
  <r>
    <n v="18"/>
    <x v="1"/>
    <n v="7.5"/>
    <s v="Instagram"/>
    <n v="7.4"/>
    <n v="1.8"/>
    <n v="3.47"/>
    <n v="0"/>
    <s v="low"/>
    <n v="9"/>
    <n v="4"/>
    <n v="2"/>
    <n v="0"/>
  </r>
  <r>
    <n v="18"/>
    <x v="1"/>
    <n v="6.2"/>
    <s v="Instagram"/>
    <n v="4.0999999999999996"/>
    <n v="2.8"/>
    <n v="3.41"/>
    <n v="1.1000000000000001"/>
    <s v="medium"/>
    <n v="7"/>
    <n v="8"/>
    <n v="1"/>
    <n v="1"/>
  </r>
  <r>
    <n v="18"/>
    <x v="1"/>
    <n v="6.2"/>
    <s v="TikTok"/>
    <n v="8.6"/>
    <n v="1.5"/>
    <n v="3.22"/>
    <n v="1.6"/>
    <s v="low"/>
    <n v="4"/>
    <n v="5"/>
    <n v="7"/>
    <n v="0"/>
  </r>
  <r>
    <n v="18"/>
    <x v="1"/>
    <n v="7.4"/>
    <s v="TikTok"/>
    <n v="6.4"/>
    <n v="2.2000000000000002"/>
    <n v="3.51"/>
    <n v="1"/>
    <s v="high"/>
    <n v="4"/>
    <n v="5"/>
    <n v="4"/>
    <n v="0"/>
  </r>
  <r>
    <n v="18"/>
    <x v="1"/>
    <n v="5.8"/>
    <s v="Instagram"/>
    <n v="6.7"/>
    <n v="1.9"/>
    <n v="3"/>
    <n v="1.9"/>
    <s v="low"/>
    <n v="5"/>
    <n v="8"/>
    <n v="2"/>
    <n v="0"/>
  </r>
  <r>
    <n v="18"/>
    <x v="1"/>
    <n v="3.2"/>
    <s v="Both"/>
    <n v="8.8000000000000007"/>
    <n v="1.2"/>
    <n v="3.71"/>
    <n v="1.1000000000000001"/>
    <s v="medium"/>
    <n v="7"/>
    <n v="6"/>
    <n v="10"/>
    <n v="0"/>
  </r>
  <r>
    <n v="18"/>
    <x v="1"/>
    <n v="1.2"/>
    <s v="TikTok"/>
    <n v="8"/>
    <n v="1.7"/>
    <n v="3.12"/>
    <n v="0.1"/>
    <s v="low"/>
    <n v="6"/>
    <n v="4"/>
    <n v="2"/>
    <n v="0"/>
  </r>
  <r>
    <n v="18"/>
    <x v="1"/>
    <n v="3.1"/>
    <s v="Instagram"/>
    <n v="5.7"/>
    <n v="2.9"/>
    <n v="3.1"/>
    <n v="0.6"/>
    <s v="medium"/>
    <n v="9"/>
    <n v="4"/>
    <n v="2"/>
    <n v="0"/>
  </r>
  <r>
    <n v="18"/>
    <x v="1"/>
    <n v="4.5"/>
    <s v="Instagram"/>
    <n v="8.1"/>
    <n v="1.6"/>
    <n v="3.72"/>
    <n v="1.2"/>
    <s v="low"/>
    <n v="1"/>
    <n v="2"/>
    <n v="1"/>
    <n v="0"/>
  </r>
  <r>
    <n v="18"/>
    <x v="1"/>
    <n v="2.9"/>
    <s v="TikTok"/>
    <n v="7.5"/>
    <n v="0.9"/>
    <n v="2.62"/>
    <n v="2"/>
    <s v="high"/>
    <n v="3"/>
    <n v="1"/>
    <n v="9"/>
    <n v="0"/>
  </r>
  <r>
    <n v="18"/>
    <x v="1"/>
    <n v="1.3"/>
    <s v="Instagram"/>
    <n v="5.8"/>
    <n v="1.3"/>
    <n v="3.35"/>
    <n v="1.9"/>
    <s v="medium"/>
    <n v="9"/>
    <n v="4"/>
    <n v="9"/>
    <n v="0"/>
  </r>
  <r>
    <n v="18"/>
    <x v="1"/>
    <n v="7.1"/>
    <s v="Instagram"/>
    <n v="8"/>
    <n v="2.9"/>
    <n v="2.59"/>
    <n v="1.2"/>
    <s v="high"/>
    <n v="10"/>
    <n v="8"/>
    <n v="5"/>
    <n v="0"/>
  </r>
  <r>
    <n v="18"/>
    <x v="1"/>
    <n v="7.7"/>
    <s v="Instagram"/>
    <n v="7.3"/>
    <n v="1.8"/>
    <n v="3.13"/>
    <n v="2"/>
    <s v="medium"/>
    <n v="7"/>
    <n v="9"/>
    <n v="7"/>
    <n v="0"/>
  </r>
  <r>
    <n v="18"/>
    <x v="1"/>
    <n v="5.7"/>
    <s v="Both"/>
    <n v="8.4"/>
    <n v="2.4"/>
    <n v="2.84"/>
    <n v="0.7"/>
    <s v="low"/>
    <n v="5"/>
    <n v="4"/>
    <n v="9"/>
    <n v="0"/>
  </r>
  <r>
    <n v="18"/>
    <x v="1"/>
    <n v="6.1"/>
    <s v="Both"/>
    <n v="4.4000000000000004"/>
    <n v="2.1"/>
    <n v="2.23"/>
    <n v="1"/>
    <s v="low"/>
    <n v="8"/>
    <n v="2"/>
    <n v="5"/>
    <n v="0"/>
  </r>
  <r>
    <n v="18"/>
    <x v="1"/>
    <n v="3.2"/>
    <s v="TikTok"/>
    <n v="5.0999999999999996"/>
    <n v="1.2"/>
    <n v="3.54"/>
    <n v="1.3"/>
    <s v="low"/>
    <n v="6"/>
    <n v="2"/>
    <n v="8"/>
    <n v="0"/>
  </r>
  <r>
    <n v="18"/>
    <x v="1"/>
    <n v="7.7"/>
    <s v="TikTok"/>
    <n v="4.7"/>
    <n v="1.4"/>
    <n v="3.04"/>
    <n v="0.6"/>
    <s v="medium"/>
    <n v="9"/>
    <n v="6"/>
    <n v="6"/>
    <n v="0"/>
  </r>
  <r>
    <n v="18"/>
    <x v="1"/>
    <n v="6.4"/>
    <s v="TikTok"/>
    <n v="7.4"/>
    <n v="1.5"/>
    <n v="2.92"/>
    <n v="0.6"/>
    <s v="low"/>
    <n v="9"/>
    <n v="2"/>
    <n v="5"/>
    <n v="0"/>
  </r>
  <r>
    <n v="18"/>
    <x v="1"/>
    <n v="1.2"/>
    <s v="Instagram"/>
    <n v="6.4"/>
    <n v="1.3"/>
    <n v="3.03"/>
    <n v="1"/>
    <s v="low"/>
    <n v="5"/>
    <n v="9"/>
    <n v="10"/>
    <n v="0"/>
  </r>
  <r>
    <n v="18"/>
    <x v="1"/>
    <n v="1.6"/>
    <s v="TikTok"/>
    <n v="6.2"/>
    <n v="1.9"/>
    <n v="2.0499999999999998"/>
    <n v="0.3"/>
    <s v="low"/>
    <n v="8"/>
    <n v="9"/>
    <n v="9"/>
    <n v="0"/>
  </r>
  <r>
    <n v="18"/>
    <x v="1"/>
    <n v="1.7"/>
    <s v="Both"/>
    <n v="5.6"/>
    <n v="1.4"/>
    <n v="2.85"/>
    <n v="1"/>
    <s v="high"/>
    <n v="3"/>
    <n v="3"/>
    <n v="7"/>
    <n v="0"/>
  </r>
  <r>
    <n v="18"/>
    <x v="1"/>
    <n v="6"/>
    <s v="Both"/>
    <n v="6.1"/>
    <n v="0.9"/>
    <n v="2.68"/>
    <n v="0.3"/>
    <s v="medium"/>
    <n v="2"/>
    <n v="10"/>
    <n v="10"/>
    <n v="0"/>
  </r>
  <r>
    <n v="18"/>
    <x v="1"/>
    <n v="3.5"/>
    <s v="TikTok"/>
    <n v="6.3"/>
    <n v="2.9"/>
    <n v="3.35"/>
    <n v="1.6"/>
    <s v="high"/>
    <n v="1"/>
    <n v="4"/>
    <n v="2"/>
    <n v="0"/>
  </r>
  <r>
    <n v="18"/>
    <x v="1"/>
    <n v="4.2"/>
    <s v="TikTok"/>
    <n v="6.5"/>
    <n v="1.4"/>
    <n v="2.91"/>
    <n v="1.5"/>
    <s v="low"/>
    <n v="5"/>
    <n v="6"/>
    <n v="4"/>
    <n v="0"/>
  </r>
  <r>
    <n v="18"/>
    <x v="1"/>
    <n v="5.3"/>
    <s v="Both"/>
    <n v="5.0999999999999996"/>
    <n v="1.2"/>
    <n v="3.32"/>
    <n v="1.8"/>
    <s v="low"/>
    <n v="7"/>
    <n v="3"/>
    <n v="8"/>
    <n v="0"/>
  </r>
  <r>
    <n v="18"/>
    <x v="1"/>
    <n v="6.3"/>
    <s v="Both"/>
    <n v="7.9"/>
    <n v="1.7"/>
    <n v="2.85"/>
    <n v="0.3"/>
    <s v="medium"/>
    <n v="1"/>
    <n v="1"/>
    <n v="2"/>
    <n v="0"/>
  </r>
  <r>
    <n v="18"/>
    <x v="1"/>
    <n v="4.5"/>
    <s v="Instagram"/>
    <n v="4.4000000000000004"/>
    <n v="1.9"/>
    <n v="2.2599999999999998"/>
    <n v="0"/>
    <s v="low"/>
    <n v="7"/>
    <n v="8"/>
    <n v="10"/>
    <n v="0"/>
  </r>
  <r>
    <n v="18"/>
    <x v="1"/>
    <n v="5"/>
    <s v="Both"/>
    <n v="5.8"/>
    <n v="1.3"/>
    <n v="2.12"/>
    <n v="0.1"/>
    <s v="low"/>
    <n v="1"/>
    <n v="9"/>
    <n v="2"/>
    <n v="0"/>
  </r>
  <r>
    <n v="18"/>
    <x v="1"/>
    <n v="1.8"/>
    <s v="TikTok"/>
    <n v="5.2"/>
    <n v="1.4"/>
    <n v="2.68"/>
    <n v="0.1"/>
    <s v="high"/>
    <n v="6"/>
    <n v="2"/>
    <n v="10"/>
    <n v="0"/>
  </r>
  <r>
    <n v="18"/>
    <x v="1"/>
    <n v="2.6"/>
    <s v="Both"/>
    <n v="7.8"/>
    <n v="1.9"/>
    <n v="3.15"/>
    <n v="0.4"/>
    <s v="medium"/>
    <n v="8"/>
    <n v="3"/>
    <n v="2"/>
    <n v="0"/>
  </r>
  <r>
    <n v="18"/>
    <x v="1"/>
    <n v="4.8"/>
    <s v="TikTok"/>
    <n v="8.5"/>
    <n v="2.8"/>
    <n v="3.77"/>
    <n v="1.3"/>
    <s v="low"/>
    <n v="5"/>
    <n v="4"/>
    <n v="3"/>
    <n v="0"/>
  </r>
  <r>
    <n v="18"/>
    <x v="1"/>
    <n v="2.9"/>
    <s v="TikTok"/>
    <n v="7.5"/>
    <n v="0.6"/>
    <n v="2.25"/>
    <n v="1"/>
    <s v="high"/>
    <n v="4"/>
    <n v="7"/>
    <n v="4"/>
    <n v="0"/>
  </r>
  <r>
    <n v="18"/>
    <x v="1"/>
    <n v="5"/>
    <s v="Both"/>
    <n v="7.6"/>
    <n v="2"/>
    <n v="3.94"/>
    <n v="0.5"/>
    <s v="low"/>
    <n v="4"/>
    <n v="3"/>
    <n v="3"/>
    <n v="0"/>
  </r>
  <r>
    <n v="18"/>
    <x v="1"/>
    <n v="1.9"/>
    <s v="Instagram"/>
    <n v="5.6"/>
    <n v="2.2999999999999998"/>
    <n v="2.8"/>
    <n v="1.9"/>
    <s v="medium"/>
    <n v="8"/>
    <n v="1"/>
    <n v="8"/>
    <n v="0"/>
  </r>
  <r>
    <n v="18"/>
    <x v="1"/>
    <n v="5.9"/>
    <s v="Instagram"/>
    <n v="4.4000000000000004"/>
    <n v="2.7"/>
    <n v="2.09"/>
    <n v="1.8"/>
    <s v="high"/>
    <n v="1"/>
    <n v="6"/>
    <n v="6"/>
    <n v="0"/>
  </r>
  <r>
    <n v="18"/>
    <x v="1"/>
    <n v="1.2"/>
    <s v="Both"/>
    <n v="4.0999999999999996"/>
    <n v="1.1000000000000001"/>
    <n v="3.04"/>
    <n v="1.6"/>
    <s v="low"/>
    <n v="1"/>
    <n v="3"/>
    <n v="6"/>
    <n v="0"/>
  </r>
  <r>
    <n v="18"/>
    <x v="1"/>
    <n v="3.2"/>
    <s v="Instagram"/>
    <n v="6"/>
    <n v="1.5"/>
    <n v="3.36"/>
    <n v="1.5"/>
    <s v="high"/>
    <n v="9"/>
    <n v="7"/>
    <n v="10"/>
    <n v="0"/>
  </r>
  <r>
    <n v="18"/>
    <x v="1"/>
    <n v="2.2000000000000002"/>
    <s v="Both"/>
    <n v="4.5"/>
    <n v="2"/>
    <n v="2.4900000000000002"/>
    <n v="0.8"/>
    <s v="high"/>
    <n v="1"/>
    <n v="7"/>
    <n v="6"/>
    <n v="0"/>
  </r>
  <r>
    <n v="18"/>
    <x v="1"/>
    <n v="2.6"/>
    <s v="TikTok"/>
    <n v="7.9"/>
    <n v="2.2999999999999998"/>
    <n v="2.4300000000000002"/>
    <n v="0.1"/>
    <s v="high"/>
    <n v="5"/>
    <n v="1"/>
    <n v="6"/>
    <n v="0"/>
  </r>
  <r>
    <n v="18"/>
    <x v="1"/>
    <n v="6.3"/>
    <s v="Both"/>
    <n v="6.9"/>
    <n v="1"/>
    <n v="3.22"/>
    <n v="0.8"/>
    <s v="medium"/>
    <n v="4"/>
    <n v="6"/>
    <n v="1"/>
    <n v="0"/>
  </r>
  <r>
    <n v="18"/>
    <x v="1"/>
    <n v="2.5"/>
    <s v="Instagram"/>
    <n v="4.2"/>
    <n v="1.4"/>
    <n v="3.9"/>
    <n v="0.7"/>
    <s v="high"/>
    <n v="5"/>
    <n v="2"/>
    <n v="3"/>
    <n v="0"/>
  </r>
  <r>
    <n v="18"/>
    <x v="1"/>
    <n v="7.9"/>
    <s v="TikTok"/>
    <n v="7.5"/>
    <n v="2"/>
    <n v="2.77"/>
    <n v="0.9"/>
    <s v="low"/>
    <n v="10"/>
    <n v="4"/>
    <n v="4"/>
    <n v="0"/>
  </r>
  <r>
    <n v="18"/>
    <x v="1"/>
    <n v="1"/>
    <s v="Instagram"/>
    <n v="7.1"/>
    <n v="0.8"/>
    <n v="2.4700000000000002"/>
    <n v="1.9"/>
    <s v="high"/>
    <n v="4"/>
    <n v="2"/>
    <n v="4"/>
    <n v="0"/>
  </r>
  <r>
    <n v="18"/>
    <x v="1"/>
    <n v="2"/>
    <s v="TikTok"/>
    <n v="8.4"/>
    <n v="1.5"/>
    <n v="2.83"/>
    <n v="1.2"/>
    <s v="low"/>
    <n v="9"/>
    <n v="4"/>
    <n v="5"/>
    <n v="0"/>
  </r>
  <r>
    <n v="18"/>
    <x v="1"/>
    <n v="6.7"/>
    <s v="Instagram"/>
    <n v="8.8000000000000007"/>
    <n v="1.9"/>
    <n v="2.5499999999999998"/>
    <n v="1"/>
    <s v="low"/>
    <n v="5"/>
    <n v="8"/>
    <n v="3"/>
    <n v="0"/>
  </r>
  <r>
    <n v="18"/>
    <x v="1"/>
    <n v="3.6"/>
    <s v="Instagram"/>
    <n v="4.7"/>
    <n v="2.5"/>
    <n v="2.73"/>
    <n v="1.2"/>
    <s v="medium"/>
    <n v="9"/>
    <n v="7"/>
    <n v="6"/>
    <n v="0"/>
  </r>
  <r>
    <n v="18"/>
    <x v="1"/>
    <n v="3.7"/>
    <s v="Instagram"/>
    <n v="7"/>
    <n v="1.4"/>
    <n v="2.0499999999999998"/>
    <n v="0.4"/>
    <s v="medium"/>
    <n v="10"/>
    <n v="9"/>
    <n v="5"/>
    <n v="0"/>
  </r>
  <r>
    <n v="18"/>
    <x v="1"/>
    <n v="5.5"/>
    <s v="Both"/>
    <n v="5.2"/>
    <n v="1.4"/>
    <n v="3.24"/>
    <n v="0.9"/>
    <s v="medium"/>
    <n v="10"/>
    <n v="5"/>
    <n v="7"/>
    <n v="0"/>
  </r>
  <r>
    <n v="18"/>
    <x v="1"/>
    <n v="5.5"/>
    <s v="Instagram"/>
    <n v="5"/>
    <n v="0.9"/>
    <n v="2.93"/>
    <n v="1.1000000000000001"/>
    <s v="low"/>
    <n v="4"/>
    <n v="10"/>
    <n v="10"/>
    <n v="0"/>
  </r>
  <r>
    <n v="18"/>
    <x v="1"/>
    <n v="5.7"/>
    <s v="TikTok"/>
    <n v="8"/>
    <n v="2.5"/>
    <n v="3.4"/>
    <n v="0.1"/>
    <s v="low"/>
    <n v="5"/>
    <n v="2"/>
    <n v="1"/>
    <n v="0"/>
  </r>
  <r>
    <n v="18"/>
    <x v="1"/>
    <n v="2.8"/>
    <s v="Instagram"/>
    <n v="6.9"/>
    <n v="2.2999999999999998"/>
    <n v="3.11"/>
    <n v="0.1"/>
    <s v="medium"/>
    <n v="7"/>
    <n v="1"/>
    <n v="9"/>
    <n v="0"/>
  </r>
  <r>
    <n v="18"/>
    <x v="1"/>
    <n v="7.5"/>
    <s v="TikTok"/>
    <n v="5.0999999999999996"/>
    <n v="2.6"/>
    <n v="3.82"/>
    <n v="0.7"/>
    <s v="low"/>
    <n v="7"/>
    <n v="3"/>
    <n v="8"/>
    <n v="0"/>
  </r>
  <r>
    <n v="18"/>
    <x v="1"/>
    <n v="2.7"/>
    <s v="Instagram"/>
    <n v="7.9"/>
    <n v="1.2"/>
    <n v="2.75"/>
    <n v="1.9"/>
    <s v="medium"/>
    <n v="5"/>
    <n v="8"/>
    <n v="3"/>
    <n v="0"/>
  </r>
  <r>
    <n v="18"/>
    <x v="1"/>
    <n v="2.5"/>
    <s v="Both"/>
    <n v="5.7"/>
    <n v="2.1"/>
    <n v="3.33"/>
    <n v="0.6"/>
    <s v="low"/>
    <n v="8"/>
    <n v="4"/>
    <n v="6"/>
    <n v="0"/>
  </r>
  <r>
    <n v="18"/>
    <x v="1"/>
    <n v="1.6"/>
    <s v="TikTok"/>
    <n v="5.8"/>
    <n v="0.6"/>
    <n v="3.63"/>
    <n v="1.1000000000000001"/>
    <s v="high"/>
    <n v="6"/>
    <n v="9"/>
    <n v="7"/>
    <n v="0"/>
  </r>
  <r>
    <n v="18"/>
    <x v="1"/>
    <n v="4.5999999999999996"/>
    <s v="Instagram"/>
    <n v="4.0999999999999996"/>
    <n v="1.4"/>
    <n v="2.2799999999999998"/>
    <n v="0.4"/>
    <s v="medium"/>
    <n v="4"/>
    <n v="10"/>
    <n v="10"/>
    <n v="0"/>
  </r>
  <r>
    <n v="18"/>
    <x v="1"/>
    <n v="2.5"/>
    <s v="TikTok"/>
    <n v="4.5999999999999996"/>
    <n v="2.2000000000000002"/>
    <n v="2.0499999999999998"/>
    <n v="0.7"/>
    <s v="medium"/>
    <n v="9"/>
    <n v="5"/>
    <n v="10"/>
    <n v="0"/>
  </r>
  <r>
    <n v="18"/>
    <x v="1"/>
    <n v="6.8"/>
    <s v="Both"/>
    <n v="5.4"/>
    <n v="0.9"/>
    <n v="2.64"/>
    <n v="0.3"/>
    <s v="high"/>
    <n v="9"/>
    <n v="1"/>
    <n v="8"/>
    <n v="0"/>
  </r>
  <r>
    <n v="18"/>
    <x v="1"/>
    <n v="7.9"/>
    <s v="Instagram"/>
    <n v="4.0999999999999996"/>
    <n v="2.8"/>
    <n v="3.25"/>
    <n v="1.4"/>
    <s v="high"/>
    <n v="4"/>
    <n v="2"/>
    <n v="4"/>
    <n v="0"/>
  </r>
  <r>
    <n v="18"/>
    <x v="1"/>
    <n v="6.1"/>
    <s v="TikTok"/>
    <n v="5.8"/>
    <n v="1.8"/>
    <n v="3.59"/>
    <n v="0.2"/>
    <s v="low"/>
    <n v="2"/>
    <n v="5"/>
    <n v="4"/>
    <n v="0"/>
  </r>
  <r>
    <n v="18"/>
    <x v="1"/>
    <n v="1.5"/>
    <s v="Both"/>
    <n v="5.6"/>
    <n v="2.9"/>
    <n v="2.57"/>
    <n v="0.6"/>
    <s v="high"/>
    <n v="5"/>
    <n v="8"/>
    <n v="4"/>
    <n v="0"/>
  </r>
  <r>
    <n v="18"/>
    <x v="1"/>
    <n v="2.4"/>
    <s v="Both"/>
    <n v="6.8"/>
    <n v="1"/>
    <n v="2.86"/>
    <n v="1.5"/>
    <s v="high"/>
    <n v="9"/>
    <n v="10"/>
    <n v="8"/>
    <n v="0"/>
  </r>
  <r>
    <n v="18"/>
    <x v="1"/>
    <n v="4.3"/>
    <s v="TikTok"/>
    <n v="8.4"/>
    <n v="2.1"/>
    <n v="2.69"/>
    <n v="0.2"/>
    <s v="low"/>
    <n v="1"/>
    <n v="10"/>
    <n v="8"/>
    <n v="0"/>
  </r>
  <r>
    <n v="18"/>
    <x v="1"/>
    <n v="1.3"/>
    <s v="Instagram"/>
    <n v="4.5"/>
    <n v="2.2999999999999998"/>
    <n v="2.2799999999999998"/>
    <n v="1"/>
    <s v="low"/>
    <n v="2"/>
    <n v="7"/>
    <n v="8"/>
    <n v="0"/>
  </r>
  <r>
    <n v="18"/>
    <x v="1"/>
    <n v="7.7"/>
    <s v="Both"/>
    <n v="6.6"/>
    <n v="1.6"/>
    <n v="4"/>
    <n v="1.9"/>
    <s v="high"/>
    <n v="3"/>
    <n v="3"/>
    <n v="9"/>
    <n v="0"/>
  </r>
  <r>
    <n v="18"/>
    <x v="1"/>
    <n v="5.8"/>
    <s v="TikTok"/>
    <n v="7.5"/>
    <n v="2.2000000000000002"/>
    <n v="3.65"/>
    <n v="1.4"/>
    <s v="medium"/>
    <n v="4"/>
    <n v="4"/>
    <n v="8"/>
    <n v="0"/>
  </r>
  <r>
    <n v="18"/>
    <x v="1"/>
    <n v="1.6"/>
    <s v="Instagram"/>
    <n v="8.6"/>
    <n v="2.6"/>
    <n v="3.53"/>
    <n v="0.1"/>
    <s v="medium"/>
    <n v="8"/>
    <n v="8"/>
    <n v="10"/>
    <n v="0"/>
  </r>
  <r>
    <n v="18"/>
    <x v="1"/>
    <n v="5.3"/>
    <s v="Both"/>
    <n v="8.1999999999999993"/>
    <n v="1.9"/>
    <n v="3.87"/>
    <n v="1.9"/>
    <s v="low"/>
    <n v="2"/>
    <n v="9"/>
    <n v="8"/>
    <n v="0"/>
  </r>
  <r>
    <n v="18"/>
    <x v="1"/>
    <n v="5"/>
    <s v="Instagram"/>
    <n v="4.3"/>
    <n v="1.1000000000000001"/>
    <n v="2.2200000000000002"/>
    <n v="0.1"/>
    <s v="high"/>
    <n v="7"/>
    <n v="2"/>
    <n v="2"/>
    <n v="0"/>
  </r>
  <r>
    <n v="18"/>
    <x v="1"/>
    <n v="1.8"/>
    <s v="Both"/>
    <n v="4.9000000000000004"/>
    <n v="2.7"/>
    <n v="2.12"/>
    <n v="0.2"/>
    <s v="low"/>
    <n v="1"/>
    <n v="3"/>
    <n v="8"/>
    <n v="0"/>
  </r>
  <r>
    <n v="18"/>
    <x v="1"/>
    <n v="7.5"/>
    <s v="TikTok"/>
    <n v="7.6"/>
    <n v="1.8"/>
    <n v="3.19"/>
    <n v="1.7"/>
    <s v="high"/>
    <n v="2"/>
    <n v="6"/>
    <n v="6"/>
    <n v="0"/>
  </r>
  <r>
    <n v="18"/>
    <x v="1"/>
    <n v="4.2"/>
    <s v="Instagram"/>
    <n v="5.5"/>
    <n v="1.8"/>
    <n v="3.83"/>
    <n v="1.9"/>
    <s v="low"/>
    <n v="3"/>
    <n v="8"/>
    <n v="8"/>
    <n v="0"/>
  </r>
  <r>
    <n v="18"/>
    <x v="1"/>
    <n v="4"/>
    <s v="Both"/>
    <n v="8"/>
    <n v="2"/>
    <n v="3.04"/>
    <n v="1.4"/>
    <s v="high"/>
    <n v="3"/>
    <n v="1"/>
    <n v="8"/>
    <n v="0"/>
  </r>
  <r>
    <n v="18"/>
    <x v="1"/>
    <n v="7.9"/>
    <s v="Both"/>
    <n v="7"/>
    <n v="2.7"/>
    <n v="3.9"/>
    <n v="1"/>
    <s v="medium"/>
    <n v="1"/>
    <n v="2"/>
    <n v="10"/>
    <n v="0"/>
  </r>
  <r>
    <n v="18"/>
    <x v="1"/>
    <n v="2.6"/>
    <s v="Both"/>
    <n v="8.6"/>
    <n v="2.7"/>
    <n v="3.28"/>
    <n v="0.8"/>
    <s v="high"/>
    <n v="5"/>
    <n v="4"/>
    <n v="6"/>
    <n v="0"/>
  </r>
  <r>
    <n v="18"/>
    <x v="1"/>
    <n v="4.5999999999999996"/>
    <s v="Both"/>
    <n v="4.3"/>
    <n v="2.9"/>
    <n v="2.95"/>
    <n v="0.6"/>
    <s v="medium"/>
    <n v="7"/>
    <n v="9"/>
    <n v="8"/>
    <n v="0"/>
  </r>
  <r>
    <n v="18"/>
    <x v="1"/>
    <n v="1.2"/>
    <s v="Both"/>
    <n v="6.8"/>
    <n v="2.6"/>
    <n v="2.85"/>
    <n v="1.8"/>
    <s v="medium"/>
    <n v="4"/>
    <n v="3"/>
    <n v="9"/>
    <n v="0"/>
  </r>
  <r>
    <n v="18"/>
    <x v="1"/>
    <n v="5.6"/>
    <s v="Both"/>
    <n v="8"/>
    <n v="2.4"/>
    <n v="2.95"/>
    <n v="0"/>
    <s v="low"/>
    <n v="2"/>
    <n v="10"/>
    <n v="3"/>
    <n v="0"/>
  </r>
  <r>
    <n v="18"/>
    <x v="1"/>
    <n v="4.3"/>
    <s v="Instagram"/>
    <n v="6.7"/>
    <n v="2.5"/>
    <n v="3.19"/>
    <n v="1"/>
    <s v="high"/>
    <n v="5"/>
    <n v="5"/>
    <n v="5"/>
    <n v="0"/>
  </r>
  <r>
    <n v="18"/>
    <x v="1"/>
    <n v="4.0999999999999996"/>
    <s v="Instagram"/>
    <n v="6.7"/>
    <n v="2.1"/>
    <n v="2.5"/>
    <n v="0.1"/>
    <s v="medium"/>
    <n v="8"/>
    <n v="1"/>
    <n v="5"/>
    <n v="0"/>
  </r>
  <r>
    <n v="18"/>
    <x v="1"/>
    <n v="1.6"/>
    <s v="Both"/>
    <n v="5.4"/>
    <n v="2"/>
    <n v="3.2"/>
    <n v="1.8"/>
    <s v="low"/>
    <n v="8"/>
    <n v="8"/>
    <n v="3"/>
    <n v="0"/>
  </r>
  <r>
    <n v="18"/>
    <x v="1"/>
    <n v="2"/>
    <s v="Instagram"/>
    <n v="8.9"/>
    <n v="0.8"/>
    <n v="2.96"/>
    <n v="0.5"/>
    <s v="medium"/>
    <n v="6"/>
    <n v="2"/>
    <n v="2"/>
    <n v="0"/>
  </r>
  <r>
    <n v="19"/>
    <x v="1"/>
    <n v="2"/>
    <s v="TikTok"/>
    <n v="7.1"/>
    <n v="0.9"/>
    <n v="3.26"/>
    <n v="1.6"/>
    <s v="high"/>
    <n v="7"/>
    <n v="5"/>
    <n v="9"/>
    <n v="0"/>
  </r>
  <r>
    <n v="19"/>
    <x v="1"/>
    <n v="1.6"/>
    <s v="Instagram"/>
    <n v="8.6"/>
    <n v="2.4"/>
    <n v="3.81"/>
    <n v="0.4"/>
    <s v="low"/>
    <n v="10"/>
    <n v="4"/>
    <n v="1"/>
    <n v="0"/>
  </r>
  <r>
    <n v="19"/>
    <x v="1"/>
    <n v="6.5"/>
    <s v="Both"/>
    <n v="8.1"/>
    <n v="2.2999999999999998"/>
    <n v="2.21"/>
    <n v="0.4"/>
    <s v="high"/>
    <n v="8"/>
    <n v="8"/>
    <n v="6"/>
    <n v="0"/>
  </r>
  <r>
    <n v="19"/>
    <x v="1"/>
    <n v="2.2999999999999998"/>
    <s v="Instagram"/>
    <n v="6.9"/>
    <n v="2.2999999999999998"/>
    <n v="2.17"/>
    <n v="1.6"/>
    <s v="medium"/>
    <n v="3"/>
    <n v="6"/>
    <n v="10"/>
    <n v="0"/>
  </r>
  <r>
    <n v="19"/>
    <x v="1"/>
    <n v="1.3"/>
    <s v="Instagram"/>
    <n v="4.5"/>
    <n v="0.7"/>
    <n v="2.5099999999999998"/>
    <n v="0.8"/>
    <s v="low"/>
    <n v="10"/>
    <n v="9"/>
    <n v="7"/>
    <n v="0"/>
  </r>
  <r>
    <n v="19"/>
    <x v="1"/>
    <n v="2.4"/>
    <s v="Both"/>
    <n v="7.4"/>
    <n v="1.2"/>
    <n v="2.5"/>
    <n v="1.8"/>
    <s v="high"/>
    <n v="2"/>
    <n v="5"/>
    <n v="2"/>
    <n v="0"/>
  </r>
  <r>
    <n v="19"/>
    <x v="1"/>
    <n v="2"/>
    <s v="TikTok"/>
    <n v="5.3"/>
    <n v="1.7"/>
    <n v="2.91"/>
    <n v="0.8"/>
    <s v="low"/>
    <n v="9"/>
    <n v="5"/>
    <n v="9"/>
    <n v="0"/>
  </r>
  <r>
    <n v="19"/>
    <x v="1"/>
    <n v="4.7"/>
    <s v="TikTok"/>
    <n v="8.1999999999999993"/>
    <n v="1.8"/>
    <n v="2.2599999999999998"/>
    <n v="1"/>
    <s v="low"/>
    <n v="7"/>
    <n v="4"/>
    <n v="7"/>
    <n v="0"/>
  </r>
  <r>
    <n v="19"/>
    <x v="1"/>
    <n v="3.5"/>
    <s v="TikTok"/>
    <n v="8.4"/>
    <n v="1.7"/>
    <n v="2.46"/>
    <n v="0.1"/>
    <s v="high"/>
    <n v="6"/>
    <n v="9"/>
    <n v="3"/>
    <n v="0"/>
  </r>
  <r>
    <n v="19"/>
    <x v="1"/>
    <n v="4.9000000000000004"/>
    <s v="TikTok"/>
    <n v="4.5"/>
    <n v="2.9"/>
    <n v="3.88"/>
    <n v="0.8"/>
    <s v="low"/>
    <n v="5"/>
    <n v="5"/>
    <n v="6"/>
    <n v="0"/>
  </r>
  <r>
    <n v="19"/>
    <x v="1"/>
    <n v="2.2999999999999998"/>
    <s v="TikTok"/>
    <n v="6.5"/>
    <n v="3"/>
    <n v="3.5"/>
    <n v="0.1"/>
    <s v="high"/>
    <n v="9"/>
    <n v="10"/>
    <n v="8"/>
    <n v="0"/>
  </r>
  <r>
    <n v="19"/>
    <x v="1"/>
    <n v="6"/>
    <s v="Both"/>
    <n v="7.1"/>
    <n v="0.9"/>
    <n v="2.98"/>
    <n v="0.1"/>
    <s v="low"/>
    <n v="1"/>
    <n v="6"/>
    <n v="5"/>
    <n v="0"/>
  </r>
  <r>
    <n v="19"/>
    <x v="1"/>
    <n v="1.2"/>
    <s v="TikTok"/>
    <n v="5"/>
    <n v="1.5"/>
    <n v="2.09"/>
    <n v="0.6"/>
    <s v="medium"/>
    <n v="5"/>
    <n v="2"/>
    <n v="1"/>
    <n v="0"/>
  </r>
  <r>
    <n v="19"/>
    <x v="1"/>
    <n v="5.3"/>
    <s v="Instagram"/>
    <n v="6.7"/>
    <n v="0.7"/>
    <n v="3.59"/>
    <n v="1.8"/>
    <s v="high"/>
    <n v="4"/>
    <n v="8"/>
    <n v="8"/>
    <n v="0"/>
  </r>
  <r>
    <n v="19"/>
    <x v="1"/>
    <n v="2.7"/>
    <s v="Both"/>
    <n v="7.7"/>
    <n v="0.7"/>
    <n v="2.2200000000000002"/>
    <n v="0.4"/>
    <s v="medium"/>
    <n v="10"/>
    <n v="8"/>
    <n v="7"/>
    <n v="0"/>
  </r>
  <r>
    <n v="19"/>
    <x v="1"/>
    <n v="5.9"/>
    <s v="Both"/>
    <n v="7.2"/>
    <n v="0.9"/>
    <n v="3.99"/>
    <n v="1.7"/>
    <s v="low"/>
    <n v="7"/>
    <n v="9"/>
    <n v="3"/>
    <n v="0"/>
  </r>
  <r>
    <n v="19"/>
    <x v="1"/>
    <n v="4.4000000000000004"/>
    <s v="TikTok"/>
    <n v="4.3"/>
    <n v="0.8"/>
    <n v="2.44"/>
    <n v="1"/>
    <s v="high"/>
    <n v="9"/>
    <n v="9"/>
    <n v="7"/>
    <n v="0"/>
  </r>
  <r>
    <n v="19"/>
    <x v="1"/>
    <n v="4.5999999999999996"/>
    <s v="Both"/>
    <n v="8.9"/>
    <n v="1.9"/>
    <n v="2.5"/>
    <n v="0.4"/>
    <s v="medium"/>
    <n v="8"/>
    <n v="1"/>
    <n v="3"/>
    <n v="0"/>
  </r>
  <r>
    <n v="19"/>
    <x v="1"/>
    <n v="1.8"/>
    <s v="Instagram"/>
    <n v="6.5"/>
    <n v="2.6"/>
    <n v="2.75"/>
    <n v="1.7"/>
    <s v="high"/>
    <n v="7"/>
    <n v="6"/>
    <n v="1"/>
    <n v="0"/>
  </r>
  <r>
    <n v="19"/>
    <x v="1"/>
    <n v="7"/>
    <s v="Instagram"/>
    <n v="8.9"/>
    <n v="2.8"/>
    <n v="2.84"/>
    <n v="0.4"/>
    <s v="high"/>
    <n v="6"/>
    <n v="8"/>
    <n v="6"/>
    <n v="0"/>
  </r>
  <r>
    <n v="19"/>
    <x v="1"/>
    <n v="4.4000000000000004"/>
    <s v="Both"/>
    <n v="6.4"/>
    <n v="0.9"/>
    <n v="2.72"/>
    <n v="0.2"/>
    <s v="medium"/>
    <n v="6"/>
    <n v="9"/>
    <n v="8"/>
    <n v="0"/>
  </r>
  <r>
    <n v="19"/>
    <x v="1"/>
    <n v="6.4"/>
    <s v="Both"/>
    <n v="6.7"/>
    <n v="2.4"/>
    <n v="2.2000000000000002"/>
    <n v="1.3"/>
    <s v="low"/>
    <n v="5"/>
    <n v="2"/>
    <n v="2"/>
    <n v="0"/>
  </r>
  <r>
    <n v="19"/>
    <x v="1"/>
    <n v="6.6"/>
    <s v="Instagram"/>
    <n v="4.4000000000000004"/>
    <n v="1.1000000000000001"/>
    <n v="2.29"/>
    <n v="1"/>
    <s v="low"/>
    <n v="6"/>
    <n v="8"/>
    <n v="5"/>
    <n v="0"/>
  </r>
  <r>
    <n v="19"/>
    <x v="1"/>
    <n v="1.5"/>
    <s v="Instagram"/>
    <n v="7.3"/>
    <n v="2.7"/>
    <n v="2.61"/>
    <n v="0.9"/>
    <s v="low"/>
    <n v="5"/>
    <n v="7"/>
    <n v="10"/>
    <n v="0"/>
  </r>
  <r>
    <n v="19"/>
    <x v="1"/>
    <n v="1.8"/>
    <s v="TikTok"/>
    <n v="6"/>
    <n v="2.2999999999999998"/>
    <n v="3.22"/>
    <n v="1"/>
    <s v="medium"/>
    <n v="5"/>
    <n v="6"/>
    <n v="8"/>
    <n v="0"/>
  </r>
  <r>
    <n v="19"/>
    <x v="1"/>
    <n v="5"/>
    <s v="Both"/>
    <n v="9"/>
    <n v="2.4"/>
    <n v="2.5299999999999998"/>
    <n v="0.4"/>
    <s v="medium"/>
    <n v="7"/>
    <n v="2"/>
    <n v="10"/>
    <n v="0"/>
  </r>
  <r>
    <n v="19"/>
    <x v="1"/>
    <n v="4.8"/>
    <s v="TikTok"/>
    <n v="5"/>
    <n v="2.6"/>
    <n v="3.25"/>
    <n v="1.6"/>
    <s v="low"/>
    <n v="4"/>
    <n v="6"/>
    <n v="1"/>
    <n v="0"/>
  </r>
  <r>
    <n v="19"/>
    <x v="1"/>
    <n v="6.9"/>
    <s v="Instagram"/>
    <n v="5"/>
    <n v="1.2"/>
    <n v="2.56"/>
    <n v="1.6"/>
    <s v="high"/>
    <n v="3"/>
    <n v="10"/>
    <n v="8"/>
    <n v="0"/>
  </r>
  <r>
    <n v="19"/>
    <x v="1"/>
    <n v="6.6"/>
    <s v="Both"/>
    <n v="6"/>
    <n v="2.1"/>
    <n v="2.84"/>
    <n v="1.5"/>
    <s v="low"/>
    <n v="9"/>
    <n v="4"/>
    <n v="5"/>
    <n v="0"/>
  </r>
  <r>
    <n v="19"/>
    <x v="1"/>
    <n v="1.5"/>
    <s v="TikTok"/>
    <n v="6.8"/>
    <n v="2.5"/>
    <n v="2.13"/>
    <n v="0.2"/>
    <s v="medium"/>
    <n v="9"/>
    <n v="8"/>
    <n v="10"/>
    <n v="0"/>
  </r>
  <r>
    <n v="19"/>
    <x v="1"/>
    <n v="1.8"/>
    <s v="TikTok"/>
    <n v="7.7"/>
    <n v="2.2000000000000002"/>
    <n v="3.77"/>
    <n v="0.3"/>
    <s v="medium"/>
    <n v="4"/>
    <n v="6"/>
    <n v="7"/>
    <n v="0"/>
  </r>
  <r>
    <n v="19"/>
    <x v="1"/>
    <n v="2"/>
    <s v="Instagram"/>
    <n v="4.0999999999999996"/>
    <n v="1.3"/>
    <n v="3.71"/>
    <n v="1.6"/>
    <s v="low"/>
    <n v="7"/>
    <n v="7"/>
    <n v="8"/>
    <n v="0"/>
  </r>
  <r>
    <n v="19"/>
    <x v="1"/>
    <n v="5.9"/>
    <s v="Both"/>
    <n v="7"/>
    <n v="2.2999999999999998"/>
    <n v="3"/>
    <n v="1.6"/>
    <s v="low"/>
    <n v="3"/>
    <n v="5"/>
    <n v="10"/>
    <n v="0"/>
  </r>
  <r>
    <n v="19"/>
    <x v="1"/>
    <n v="2.9"/>
    <s v="Both"/>
    <n v="4"/>
    <n v="0.5"/>
    <n v="3.16"/>
    <n v="0.2"/>
    <s v="high"/>
    <n v="7"/>
    <n v="6"/>
    <n v="3"/>
    <n v="0"/>
  </r>
  <r>
    <n v="19"/>
    <x v="1"/>
    <n v="3.5"/>
    <s v="TikTok"/>
    <n v="5.8"/>
    <n v="1.8"/>
    <n v="3.3"/>
    <n v="0.9"/>
    <s v="low"/>
    <n v="7"/>
    <n v="6"/>
    <n v="9"/>
    <n v="0"/>
  </r>
  <r>
    <n v="19"/>
    <x v="1"/>
    <n v="6.9"/>
    <s v="TikTok"/>
    <n v="8.5"/>
    <n v="1.5"/>
    <n v="3.55"/>
    <n v="1.3"/>
    <s v="low"/>
    <n v="5"/>
    <n v="6"/>
    <n v="1"/>
    <n v="0"/>
  </r>
  <r>
    <n v="19"/>
    <x v="1"/>
    <n v="7"/>
    <s v="Instagram"/>
    <n v="8.3000000000000007"/>
    <n v="2.1"/>
    <n v="3.09"/>
    <n v="1.5"/>
    <s v="low"/>
    <n v="9"/>
    <n v="7"/>
    <n v="3"/>
    <n v="0"/>
  </r>
  <r>
    <n v="19"/>
    <x v="1"/>
    <n v="3.2"/>
    <s v="Instagram"/>
    <n v="6.2"/>
    <n v="2.6"/>
    <n v="3.72"/>
    <n v="1.9"/>
    <s v="high"/>
    <n v="9"/>
    <n v="5"/>
    <n v="7"/>
    <n v="0"/>
  </r>
  <r>
    <n v="19"/>
    <x v="1"/>
    <n v="5.8"/>
    <s v="Both"/>
    <n v="7.5"/>
    <n v="1.9"/>
    <n v="2.08"/>
    <n v="0.1"/>
    <s v="high"/>
    <n v="2"/>
    <n v="1"/>
    <n v="3"/>
    <n v="0"/>
  </r>
  <r>
    <n v="19"/>
    <x v="1"/>
    <n v="1.5"/>
    <s v="TikTok"/>
    <n v="6.7"/>
    <n v="1"/>
    <n v="3.9"/>
    <n v="0.4"/>
    <s v="low"/>
    <n v="4"/>
    <n v="3"/>
    <n v="3"/>
    <n v="0"/>
  </r>
  <r>
    <n v="19"/>
    <x v="1"/>
    <n v="5.7"/>
    <s v="Instagram"/>
    <n v="4.8"/>
    <n v="2.2000000000000002"/>
    <n v="3.66"/>
    <n v="0.9"/>
    <s v="low"/>
    <n v="3"/>
    <n v="7"/>
    <n v="5"/>
    <n v="0"/>
  </r>
  <r>
    <n v="19"/>
    <x v="1"/>
    <n v="5.2"/>
    <s v="TikTok"/>
    <n v="6.9"/>
    <n v="2.2999999999999998"/>
    <n v="2.09"/>
    <n v="0.2"/>
    <s v="high"/>
    <n v="6"/>
    <n v="4"/>
    <n v="8"/>
    <n v="0"/>
  </r>
  <r>
    <n v="19"/>
    <x v="1"/>
    <n v="7.2"/>
    <s v="TikTok"/>
    <n v="6.6"/>
    <n v="2.9"/>
    <n v="2.74"/>
    <n v="0.3"/>
    <s v="medium"/>
    <n v="1"/>
    <n v="10"/>
    <n v="9"/>
    <n v="0"/>
  </r>
  <r>
    <n v="19"/>
    <x v="1"/>
    <n v="2.1"/>
    <s v="TikTok"/>
    <n v="5.2"/>
    <n v="2.5"/>
    <n v="3.1"/>
    <n v="0.3"/>
    <s v="low"/>
    <n v="9"/>
    <n v="9"/>
    <n v="3"/>
    <n v="0"/>
  </r>
  <r>
    <n v="19"/>
    <x v="1"/>
    <n v="5.2"/>
    <s v="Instagram"/>
    <n v="4.3"/>
    <n v="1.3"/>
    <n v="2.29"/>
    <n v="1.3"/>
    <s v="medium"/>
    <n v="10"/>
    <n v="8"/>
    <n v="10"/>
    <n v="1"/>
  </r>
  <r>
    <n v="19"/>
    <x v="1"/>
    <n v="7.7"/>
    <s v="Instagram"/>
    <n v="4.2"/>
    <n v="2.6"/>
    <n v="2.2000000000000002"/>
    <n v="1.8"/>
    <s v="low"/>
    <n v="8"/>
    <n v="9"/>
    <n v="4"/>
    <n v="1"/>
  </r>
  <r>
    <n v="19"/>
    <x v="1"/>
    <n v="2.7"/>
    <s v="Instagram"/>
    <n v="6.3"/>
    <n v="1.3"/>
    <n v="3.91"/>
    <n v="1.2"/>
    <s v="high"/>
    <n v="7"/>
    <n v="5"/>
    <n v="7"/>
    <n v="0"/>
  </r>
  <r>
    <n v="19"/>
    <x v="1"/>
    <n v="7.2"/>
    <s v="Instagram"/>
    <n v="5"/>
    <n v="2.2000000000000002"/>
    <n v="2.5"/>
    <n v="0.7"/>
    <s v="high"/>
    <n v="6"/>
    <n v="9"/>
    <n v="2"/>
    <n v="0"/>
  </r>
  <r>
    <n v="19"/>
    <x v="1"/>
    <n v="6.6"/>
    <s v="TikTok"/>
    <n v="8.8000000000000007"/>
    <n v="0.9"/>
    <n v="3.84"/>
    <n v="0.3"/>
    <s v="high"/>
    <n v="10"/>
    <n v="10"/>
    <n v="6"/>
    <n v="0"/>
  </r>
  <r>
    <n v="19"/>
    <x v="1"/>
    <n v="2.1"/>
    <s v="Instagram"/>
    <n v="8.8000000000000007"/>
    <n v="2.2999999999999998"/>
    <n v="2.2200000000000002"/>
    <n v="1.2"/>
    <s v="high"/>
    <n v="5"/>
    <n v="5"/>
    <n v="3"/>
    <n v="0"/>
  </r>
  <r>
    <n v="19"/>
    <x v="1"/>
    <n v="7"/>
    <s v="TikTok"/>
    <n v="4.5"/>
    <n v="2.2999999999999998"/>
    <n v="3.26"/>
    <n v="1.7"/>
    <s v="high"/>
    <n v="9"/>
    <n v="10"/>
    <n v="3"/>
    <n v="1"/>
  </r>
  <r>
    <n v="19"/>
    <x v="1"/>
    <n v="6.8"/>
    <s v="TikTok"/>
    <n v="8.4"/>
    <n v="2"/>
    <n v="2.6"/>
    <n v="1.5"/>
    <s v="low"/>
    <n v="7"/>
    <n v="2"/>
    <n v="2"/>
    <n v="0"/>
  </r>
  <r>
    <n v="19"/>
    <x v="1"/>
    <n v="4.7"/>
    <s v="Both"/>
    <n v="8.1999999999999993"/>
    <n v="1.2"/>
    <n v="2.83"/>
    <n v="1.2"/>
    <s v="high"/>
    <n v="5"/>
    <n v="9"/>
    <n v="9"/>
    <n v="0"/>
  </r>
  <r>
    <n v="19"/>
    <x v="1"/>
    <n v="5.9"/>
    <s v="TikTok"/>
    <n v="7.4"/>
    <n v="0.7"/>
    <n v="3.27"/>
    <n v="1.7"/>
    <s v="high"/>
    <n v="1"/>
    <n v="9"/>
    <n v="9"/>
    <n v="0"/>
  </r>
  <r>
    <n v="19"/>
    <x v="1"/>
    <n v="7.7"/>
    <s v="TikTok"/>
    <n v="8.4"/>
    <n v="2.8"/>
    <n v="3.43"/>
    <n v="0.2"/>
    <s v="medium"/>
    <n v="7"/>
    <n v="6"/>
    <n v="6"/>
    <n v="0"/>
  </r>
  <r>
    <n v="19"/>
    <x v="1"/>
    <n v="6"/>
    <s v="Instagram"/>
    <n v="4.2"/>
    <n v="0.9"/>
    <n v="2.41"/>
    <n v="0.8"/>
    <s v="medium"/>
    <n v="7"/>
    <n v="9"/>
    <n v="9"/>
    <n v="1"/>
  </r>
  <r>
    <n v="19"/>
    <x v="1"/>
    <n v="3.8"/>
    <s v="Instagram"/>
    <n v="7.1"/>
    <n v="2.5"/>
    <n v="3.81"/>
    <n v="0.9"/>
    <s v="low"/>
    <n v="6"/>
    <n v="9"/>
    <n v="4"/>
    <n v="0"/>
  </r>
  <r>
    <n v="19"/>
    <x v="1"/>
    <n v="6.8"/>
    <s v="Instagram"/>
    <n v="8.4"/>
    <n v="2.1"/>
    <n v="3.15"/>
    <n v="2"/>
    <s v="medium"/>
    <n v="4"/>
    <n v="10"/>
    <n v="1"/>
    <n v="0"/>
  </r>
  <r>
    <n v="19"/>
    <x v="1"/>
    <n v="2.4"/>
    <s v="Both"/>
    <n v="7.5"/>
    <n v="1.8"/>
    <n v="2.35"/>
    <n v="1.4"/>
    <s v="low"/>
    <n v="3"/>
    <n v="8"/>
    <n v="6"/>
    <n v="0"/>
  </r>
  <r>
    <n v="19"/>
    <x v="1"/>
    <n v="6.5"/>
    <s v="Instagram"/>
    <n v="6"/>
    <n v="1.5"/>
    <n v="2.12"/>
    <n v="1.7"/>
    <s v="medium"/>
    <n v="8"/>
    <n v="5"/>
    <n v="7"/>
    <n v="0"/>
  </r>
  <r>
    <n v="19"/>
    <x v="1"/>
    <n v="5.2"/>
    <s v="Instagram"/>
    <n v="7.6"/>
    <n v="1.3"/>
    <n v="3.89"/>
    <n v="1.5"/>
    <s v="high"/>
    <n v="4"/>
    <n v="5"/>
    <n v="8"/>
    <n v="0"/>
  </r>
  <r>
    <n v="19"/>
    <x v="1"/>
    <n v="5.6"/>
    <s v="TikTok"/>
    <n v="6.5"/>
    <n v="1.4"/>
    <n v="3.19"/>
    <n v="0"/>
    <s v="high"/>
    <n v="9"/>
    <n v="9"/>
    <n v="7"/>
    <n v="0"/>
  </r>
  <r>
    <n v="19"/>
    <x v="1"/>
    <n v="3.9"/>
    <s v="Both"/>
    <n v="4.8"/>
    <n v="2.8"/>
    <n v="3.98"/>
    <n v="1.9"/>
    <s v="medium"/>
    <n v="7"/>
    <n v="5"/>
    <n v="3"/>
    <n v="0"/>
  </r>
  <r>
    <n v="19"/>
    <x v="1"/>
    <n v="1.6"/>
    <s v="Both"/>
    <n v="4.4000000000000004"/>
    <n v="1.4"/>
    <n v="2.0299999999999998"/>
    <n v="1.1000000000000001"/>
    <s v="high"/>
    <n v="2"/>
    <n v="9"/>
    <n v="5"/>
    <n v="0"/>
  </r>
  <r>
    <n v="19"/>
    <x v="1"/>
    <n v="6"/>
    <s v="Both"/>
    <n v="5.6"/>
    <n v="1.1000000000000001"/>
    <n v="2.4300000000000002"/>
    <n v="1.7"/>
    <s v="medium"/>
    <n v="1"/>
    <n v="3"/>
    <n v="3"/>
    <n v="0"/>
  </r>
  <r>
    <n v="19"/>
    <x v="1"/>
    <n v="5.4"/>
    <s v="Instagram"/>
    <n v="4.9000000000000004"/>
    <n v="0.6"/>
    <n v="3.17"/>
    <n v="0"/>
    <s v="low"/>
    <n v="5"/>
    <n v="6"/>
    <n v="10"/>
    <n v="0"/>
  </r>
  <r>
    <n v="19"/>
    <x v="1"/>
    <n v="4.8"/>
    <s v="Both"/>
    <n v="7.5"/>
    <n v="1"/>
    <n v="2.68"/>
    <n v="1.5"/>
    <s v="low"/>
    <n v="9"/>
    <n v="4"/>
    <n v="6"/>
    <n v="0"/>
  </r>
  <r>
    <n v="19"/>
    <x v="1"/>
    <n v="2.1"/>
    <s v="Both"/>
    <n v="5.6"/>
    <n v="2.4"/>
    <n v="3.56"/>
    <n v="1"/>
    <s v="high"/>
    <n v="9"/>
    <n v="3"/>
    <n v="4"/>
    <n v="0"/>
  </r>
  <r>
    <n v="19"/>
    <x v="1"/>
    <n v="6.1"/>
    <s v="Instagram"/>
    <n v="7.1"/>
    <n v="2.2999999999999998"/>
    <n v="3.22"/>
    <n v="0.5"/>
    <s v="low"/>
    <n v="4"/>
    <n v="3"/>
    <n v="7"/>
    <n v="0"/>
  </r>
  <r>
    <n v="19"/>
    <x v="1"/>
    <n v="2.5"/>
    <s v="TikTok"/>
    <n v="7.1"/>
    <n v="1.9"/>
    <n v="2.35"/>
    <n v="1.1000000000000001"/>
    <s v="low"/>
    <n v="4"/>
    <n v="4"/>
    <n v="8"/>
    <n v="0"/>
  </r>
  <r>
    <n v="19"/>
    <x v="1"/>
    <n v="7.4"/>
    <s v="TikTok"/>
    <n v="6.1"/>
    <n v="1.1000000000000001"/>
    <n v="2.15"/>
    <n v="1.6"/>
    <s v="high"/>
    <n v="4"/>
    <n v="4"/>
    <n v="1"/>
    <n v="0"/>
  </r>
  <r>
    <n v="19"/>
    <x v="1"/>
    <n v="2.1"/>
    <s v="TikTok"/>
    <n v="6.8"/>
    <n v="2.2000000000000002"/>
    <n v="2.33"/>
    <n v="1"/>
    <s v="medium"/>
    <n v="7"/>
    <n v="6"/>
    <n v="7"/>
    <n v="0"/>
  </r>
  <r>
    <n v="19"/>
    <x v="1"/>
    <n v="6.3"/>
    <s v="TikTok"/>
    <n v="5.7"/>
    <n v="1.4"/>
    <n v="2.0299999999999998"/>
    <n v="1.1000000000000001"/>
    <s v="low"/>
    <n v="4"/>
    <n v="6"/>
    <n v="1"/>
    <n v="0"/>
  </r>
  <r>
    <n v="19"/>
    <x v="1"/>
    <n v="3.8"/>
    <s v="TikTok"/>
    <n v="7.4"/>
    <n v="2.6"/>
    <n v="2.25"/>
    <n v="0.5"/>
    <s v="low"/>
    <n v="7"/>
    <n v="4"/>
    <n v="8"/>
    <n v="0"/>
  </r>
  <r>
    <n v="19"/>
    <x v="1"/>
    <n v="4.7"/>
    <s v="Both"/>
    <n v="8.6999999999999993"/>
    <n v="2"/>
    <n v="3.23"/>
    <n v="1.7"/>
    <s v="low"/>
    <n v="4"/>
    <n v="10"/>
    <n v="3"/>
    <n v="0"/>
  </r>
  <r>
    <n v="19"/>
    <x v="1"/>
    <n v="3.3"/>
    <s v="TikTok"/>
    <n v="8.5"/>
    <n v="1.2"/>
    <n v="3.29"/>
    <n v="0.5"/>
    <s v="medium"/>
    <n v="6"/>
    <n v="2"/>
    <n v="9"/>
    <n v="0"/>
  </r>
  <r>
    <n v="19"/>
    <x v="1"/>
    <n v="5.3"/>
    <s v="TikTok"/>
    <n v="8.4"/>
    <n v="0.6"/>
    <n v="3.08"/>
    <n v="0.4"/>
    <s v="medium"/>
    <n v="9"/>
    <n v="4"/>
    <n v="6"/>
    <n v="0"/>
  </r>
  <r>
    <n v="19"/>
    <x v="1"/>
    <n v="3.6"/>
    <s v="Instagram"/>
    <n v="6.5"/>
    <n v="1.1000000000000001"/>
    <n v="3.65"/>
    <n v="1.1000000000000001"/>
    <s v="low"/>
    <n v="5"/>
    <n v="9"/>
    <n v="10"/>
    <n v="0"/>
  </r>
  <r>
    <n v="19"/>
    <x v="1"/>
    <n v="5.5"/>
    <s v="TikTok"/>
    <n v="5.0999999999999996"/>
    <n v="2.7"/>
    <n v="2.56"/>
    <n v="1.4"/>
    <s v="low"/>
    <n v="2"/>
    <n v="3"/>
    <n v="7"/>
    <n v="0"/>
  </r>
  <r>
    <n v="19"/>
    <x v="1"/>
    <n v="7.1"/>
    <s v="TikTok"/>
    <n v="8.4"/>
    <n v="1.8"/>
    <n v="2.93"/>
    <n v="1.3"/>
    <s v="medium"/>
    <n v="1"/>
    <n v="6"/>
    <n v="8"/>
    <n v="0"/>
  </r>
  <r>
    <n v="19"/>
    <x v="1"/>
    <n v="4.5999999999999996"/>
    <s v="Both"/>
    <n v="4.5999999999999996"/>
    <n v="2.5"/>
    <n v="2.4"/>
    <n v="1"/>
    <s v="high"/>
    <n v="10"/>
    <n v="10"/>
    <n v="8"/>
    <n v="0"/>
  </r>
  <r>
    <n v="19"/>
    <x v="1"/>
    <n v="1.5"/>
    <s v="TikTok"/>
    <n v="5.8"/>
    <n v="1.1000000000000001"/>
    <n v="3.29"/>
    <n v="1.7"/>
    <s v="high"/>
    <n v="6"/>
    <n v="4"/>
    <n v="2"/>
    <n v="0"/>
  </r>
  <r>
    <n v="19"/>
    <x v="1"/>
    <n v="5.7"/>
    <s v="TikTok"/>
    <n v="6.4"/>
    <n v="0.9"/>
    <n v="3.57"/>
    <n v="1.5"/>
    <s v="high"/>
    <n v="3"/>
    <n v="7"/>
    <n v="2"/>
    <n v="0"/>
  </r>
  <r>
    <n v="19"/>
    <x v="1"/>
    <n v="1.4"/>
    <s v="Both"/>
    <n v="4.7"/>
    <n v="0.5"/>
    <n v="3.57"/>
    <n v="1.7"/>
    <s v="high"/>
    <n v="1"/>
    <n v="5"/>
    <n v="6"/>
    <n v="0"/>
  </r>
  <r>
    <n v="19"/>
    <x v="1"/>
    <n v="2.9"/>
    <s v="Instagram"/>
    <n v="8.6999999999999993"/>
    <n v="0.9"/>
    <n v="2.99"/>
    <n v="0.8"/>
    <s v="medium"/>
    <n v="7"/>
    <n v="8"/>
    <n v="2"/>
    <n v="0"/>
  </r>
  <r>
    <n v="19"/>
    <x v="1"/>
    <n v="1.6"/>
    <s v="TikTok"/>
    <n v="8.6"/>
    <n v="1.4"/>
    <n v="2.69"/>
    <n v="1.6"/>
    <s v="medium"/>
    <n v="4"/>
    <n v="3"/>
    <n v="4"/>
    <n v="0"/>
  </r>
  <r>
    <n v="19"/>
    <x v="1"/>
    <n v="2"/>
    <s v="TikTok"/>
    <n v="4.3"/>
    <n v="0.8"/>
    <n v="3.4"/>
    <n v="0.7"/>
    <s v="low"/>
    <n v="8"/>
    <n v="1"/>
    <n v="1"/>
    <n v="0"/>
  </r>
  <r>
    <n v="19"/>
    <x v="1"/>
    <n v="5.3"/>
    <s v="Instagram"/>
    <n v="4.7"/>
    <n v="2.8"/>
    <n v="2.82"/>
    <n v="0.3"/>
    <s v="high"/>
    <n v="1"/>
    <n v="9"/>
    <n v="6"/>
    <n v="0"/>
  </r>
  <r>
    <n v="19"/>
    <x v="1"/>
    <n v="4"/>
    <s v="Instagram"/>
    <n v="7.8"/>
    <n v="0.6"/>
    <n v="3.61"/>
    <n v="1.7"/>
    <s v="high"/>
    <n v="2"/>
    <n v="7"/>
    <n v="9"/>
    <n v="0"/>
  </r>
  <r>
    <n v="19"/>
    <x v="1"/>
    <n v="1.4"/>
    <s v="Both"/>
    <n v="4.5"/>
    <n v="2.2999999999999998"/>
    <n v="3.9"/>
    <n v="0"/>
    <s v="medium"/>
    <n v="2"/>
    <n v="8"/>
    <n v="10"/>
    <n v="0"/>
  </r>
  <r>
    <n v="19"/>
    <x v="1"/>
    <n v="2.4"/>
    <s v="TikTok"/>
    <n v="9"/>
    <n v="2.4"/>
    <n v="3.13"/>
    <n v="0.5"/>
    <s v="high"/>
    <n v="5"/>
    <n v="3"/>
    <n v="3"/>
    <n v="0"/>
  </r>
  <r>
    <n v="19"/>
    <x v="1"/>
    <n v="8"/>
    <s v="TikTok"/>
    <n v="4.7"/>
    <n v="0.5"/>
    <n v="2.1800000000000002"/>
    <n v="0.6"/>
    <s v="medium"/>
    <n v="8"/>
    <n v="8"/>
    <n v="6"/>
    <n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8F32BBB-B5CB-4F19-9FF8-799FFA494DC6}"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3">
  <location ref="A3:B5" firstHeaderRow="1" firstDataRow="1" firstDataCol="1"/>
  <pivotFields count="13">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2">
        <item x="0"/>
        <item x="1"/>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s>
  <rowFields count="1">
    <field x="1"/>
  </rowFields>
  <rowItems count="2">
    <i>
      <x/>
    </i>
    <i>
      <x v="1"/>
    </i>
  </rowItems>
  <colItems count="1">
    <i/>
  </colItems>
  <dataFields count="1">
    <dataField name="Sum of depression_label" fld="12"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xt>
  </extLst>
</pivotTableDefinition>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B497B3AD-EDFE-4176-9F7A-4BAA1B028480}" sourceName="age">
  <extLst>
    <x:ext xmlns:x15="http://schemas.microsoft.com/office/spreadsheetml/2010/11/main" uri="{2F2917AC-EB37-4324-AD4E-5DD8C200BD13}">
      <x15:tableSlicerCache tableId="2" column="1"/>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98A0B588-B6E1-47D5-8D5B-3EC61BC1F5B0}" sourceName="gender">
  <extLst>
    <x:ext xmlns:x15="http://schemas.microsoft.com/office/spreadsheetml/2010/11/main" uri="{2F2917AC-EB37-4324-AD4E-5DD8C200BD13}">
      <x15:tableSlicerCache tableId="2" column="2"/>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ression_label" xr10:uid="{0EAB38C4-FA36-4480-A288-4B7370C7592F}" sourceName="depression_label">
  <extLst>
    <x:ext xmlns:x15="http://schemas.microsoft.com/office/spreadsheetml/2010/11/main" uri="{2F2917AC-EB37-4324-AD4E-5DD8C200BD13}">
      <x15:tableSlicerCache tableId="2" column="13"/>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tform_usage" xr10:uid="{CA1D3B60-98B9-4B1E-B8CA-9ECE79020722}" sourceName="platform_usage">
  <extLst>
    <x:ext xmlns:x15="http://schemas.microsoft.com/office/spreadsheetml/2010/11/main" uri="{2F2917AC-EB37-4324-AD4E-5DD8C200BD13}">
      <x15:tableSlicerCache tableId="2" column="4"/>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7C7F38BB-5343-45DE-9873-6E2464847CCE}" cache="Slicer_age" caption="age" rowHeight="251883"/>
  <slicer name="gender" xr10:uid="{F4A0B327-9B31-4A52-8305-2B4D7628B4BC}" cache="Slicer_gender" caption="gender" rowHeight="251883"/>
  <slicer name="depression_label" xr10:uid="{3A93D354-A574-4C3A-BDB9-83BD90B05B8A}" cache="Slicer_depression_label" caption="depression_label" rowHeight="251883"/>
  <slicer name="platform_usage" xr10:uid="{67C0EDA9-C58F-4F4F-B654-A4946FB1C4BD}" cache="Slicer_platform_usage" caption="platform_usage"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BDCA910-08FF-40B9-9E3C-C5FD80BE7D55}" name="mental" displayName="mental" ref="A1:M1201" totalsRowShown="0">
  <autoFilter ref="A1:M1201" xr:uid="{DBDCA910-08FF-40B9-9E3C-C5FD80BE7D55}"/>
  <tableColumns count="13">
    <tableColumn id="1" xr3:uid="{EDB46A49-820E-482B-B9CA-0BBE49AE0DB8}" name="age"/>
    <tableColumn id="2" xr3:uid="{EAFB488D-720E-4501-9554-08A5C7B10614}" name="gender"/>
    <tableColumn id="3" xr3:uid="{9216E487-6182-438E-B07D-4895AE0A15C1}" name="daily_social_media_hours"/>
    <tableColumn id="4" xr3:uid="{C1572FD7-5ED2-4B66-A73C-19523FCF6DF6}" name="platform_usage"/>
    <tableColumn id="5" xr3:uid="{D074A930-2928-4E4B-9EB3-A7112887C788}" name="sleep_hours"/>
    <tableColumn id="6" xr3:uid="{844BBE90-4AA8-4C08-8DE8-C97D69A54595}" name="screen_time_before_sleep"/>
    <tableColumn id="7" xr3:uid="{F5C40CCE-9712-436F-A721-F8BE570AF200}" name="academic_performance"/>
    <tableColumn id="8" xr3:uid="{17D54F87-ABA5-46C6-A1AF-238692F5E506}" name="physical_activity"/>
    <tableColumn id="9" xr3:uid="{0F67BF01-9EA8-44AF-BFD4-28DAB5911203}" name="social_interaction_level"/>
    <tableColumn id="10" xr3:uid="{CB4EDEE5-699F-4C14-99ED-C7C00FDEC019}" name="stress_level"/>
    <tableColumn id="11" xr3:uid="{8F95C6B2-425A-4E9D-B9D9-66BC4DA4483C}" name="anxiety_level"/>
    <tableColumn id="12" xr3:uid="{3696EA34-7F4E-4A73-99E2-D2AF0C87F778}" name="addiction_level"/>
    <tableColumn id="13" xr3:uid="{3F7621FA-0CB5-474B-8E4D-EE8F2404490D}" name="depression_label"/>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4B15C7E-52BA-448F-8913-3FAF6C771992}" name="rounded" displayName="rounded" ref="A1:Q1202" totalsRowCount="1">
  <autoFilter ref="A1:Q1201" xr:uid="{24B15C7E-52BA-448F-8913-3FAF6C771992}"/>
  <tableColumns count="17">
    <tableColumn id="1" xr3:uid="{8F11D528-7177-48AA-8ABF-BFE920BD6611}" name="age" totalsRowLabel="Total"/>
    <tableColumn id="2" xr3:uid="{9C77E794-71C3-4C38-972F-5498FC4A2AE5}" name="gender"/>
    <tableColumn id="3" xr3:uid="{0829B6A7-8762-4A40-8E15-E941B3044E18}" name="daily_social_media_hours" totalsRowFunction="custom" dataDxfId="7" totalsRowDxfId="4">
      <totalsRowFormula>MEDIAN(C2:C1201)</totalsRowFormula>
    </tableColumn>
    <tableColumn id="4" xr3:uid="{FECE843B-A36E-443F-A8DB-952F269B09A5}" name="platform_usage"/>
    <tableColumn id="5" xr3:uid="{5C464FEA-669C-4BBE-8FC7-E0369EB74E75}" name="sleep_hours" dataDxfId="6"/>
    <tableColumn id="6" xr3:uid="{AB8DDA77-AD24-49C0-9796-9F5AFDECBF40}" name="screen_time_before_sleep" dataDxfId="5"/>
    <tableColumn id="7" xr3:uid="{833C94E5-44F1-48BF-AACB-2C86D5423E5E}" name="academic_performance"/>
    <tableColumn id="8" xr3:uid="{54CFD9CE-C1AF-4E81-AFF8-A31CAF0D5BBB}" name="physical_activity"/>
    <tableColumn id="9" xr3:uid="{815309DF-CFF0-42E4-87B1-6D6E0ECF0B44}" name="social_interaction_level"/>
    <tableColumn id="10" xr3:uid="{6DEC5830-4BAF-43FD-B995-F2D84A2E9AF5}" name="stress_level"/>
    <tableColumn id="11" xr3:uid="{69D60843-51C6-426E-88C7-73A4C6F93AF5}" name="anxiety_level"/>
    <tableColumn id="12" xr3:uid="{8343E217-5189-4802-891C-51B4E65A1A50}" name="addiction_level"/>
    <tableColumn id="13" xr3:uid="{85CECCE2-7B04-45D5-9434-636DB9D46A1B}" name="depression_label" totalsRowFunction="sum"/>
    <tableColumn id="14" xr3:uid="{BF390BA8-E522-4627-AB63-2DAC44A7DC78}" name="social_interaction_2" dataDxfId="3">
      <calculatedColumnFormula>_xlfn.IFS(rounded[[#This Row],[social_interaction_level]] = "low", 1,rounded[[#This Row],[social_interaction_level]] = "medium", 2,rounded[[#This Row],[social_interaction_level]] = "high", 3)</calculatedColumnFormula>
    </tableColumn>
    <tableColumn id="15" xr3:uid="{8A64ECE7-8CB3-4205-8337-E159B931D936}" name="behavioral_composite" dataDxfId="2">
      <calculatedColumnFormula>SUM(J2+K2+L2)</calculatedColumnFormula>
    </tableColumn>
    <tableColumn id="16" xr3:uid="{8978ECFD-A4A9-4E6F-8903-F3BB61EEEC11}" name="text_depression" dataDxfId="1">
      <calculatedColumnFormula array="1">_xlfn.SWITCH(rounded[[#This Row],[depression_label]], 0, "Not Depressed", 1, "Depressed")</calculatedColumnFormula>
    </tableColumn>
    <tableColumn id="17" xr3:uid="{DAD197F2-388E-438E-AB6B-B8969C2E3CFF}" name="capitalize_gender" dataDxfId="0">
      <calculatedColumnFormula array="1">_xlfn.SWITCH(rounded[[#This Row],[gender]], "male", "Male", "female", "Female")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2.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D93391-7438-4785-93BD-2121663ECB34}">
  <sheetPr codeName="Sheet1"/>
  <dimension ref="A1:M1201"/>
  <sheetViews>
    <sheetView workbookViewId="0">
      <selection activeCell="J11" sqref="J11"/>
    </sheetView>
  </sheetViews>
  <sheetFormatPr defaultRowHeight="14.5" x14ac:dyDescent="0.35"/>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14</v>
      </c>
      <c r="B2" t="s">
        <v>13</v>
      </c>
      <c r="C2">
        <v>7.9</v>
      </c>
      <c r="D2" t="s">
        <v>14</v>
      </c>
      <c r="E2">
        <v>7.4</v>
      </c>
      <c r="F2">
        <v>2.9</v>
      </c>
      <c r="G2">
        <v>3.01</v>
      </c>
      <c r="H2">
        <v>1.5</v>
      </c>
      <c r="I2" t="s">
        <v>15</v>
      </c>
      <c r="J2">
        <v>2</v>
      </c>
      <c r="K2">
        <v>2</v>
      </c>
      <c r="L2">
        <v>1</v>
      </c>
      <c r="M2">
        <v>0</v>
      </c>
    </row>
    <row r="3" spans="1:13" x14ac:dyDescent="0.35">
      <c r="A3">
        <v>19</v>
      </c>
      <c r="B3" t="s">
        <v>16</v>
      </c>
      <c r="C3">
        <v>1.9</v>
      </c>
      <c r="D3" t="s">
        <v>17</v>
      </c>
      <c r="E3">
        <v>8</v>
      </c>
      <c r="F3">
        <v>2.9</v>
      </c>
      <c r="G3">
        <v>3.22</v>
      </c>
      <c r="H3">
        <v>0.8</v>
      </c>
      <c r="I3" t="s">
        <v>18</v>
      </c>
      <c r="J3">
        <v>8</v>
      </c>
      <c r="K3">
        <v>1</v>
      </c>
      <c r="L3">
        <v>10</v>
      </c>
      <c r="M3">
        <v>0</v>
      </c>
    </row>
    <row r="4" spans="1:13" x14ac:dyDescent="0.35">
      <c r="A4">
        <v>17</v>
      </c>
      <c r="B4" t="s">
        <v>16</v>
      </c>
      <c r="C4">
        <v>1.3</v>
      </c>
      <c r="D4" t="s">
        <v>14</v>
      </c>
      <c r="E4">
        <v>7.6</v>
      </c>
      <c r="F4">
        <v>0.5</v>
      </c>
      <c r="G4">
        <v>3.92</v>
      </c>
      <c r="H4">
        <v>0</v>
      </c>
      <c r="I4" t="s">
        <v>18</v>
      </c>
      <c r="J4">
        <v>2</v>
      </c>
      <c r="K4">
        <v>4</v>
      </c>
      <c r="L4">
        <v>2</v>
      </c>
      <c r="M4">
        <v>0</v>
      </c>
    </row>
    <row r="5" spans="1:13" x14ac:dyDescent="0.35">
      <c r="A5">
        <v>15</v>
      </c>
      <c r="B5" t="s">
        <v>13</v>
      </c>
      <c r="C5">
        <v>7.4</v>
      </c>
      <c r="D5" t="s">
        <v>17</v>
      </c>
      <c r="E5">
        <v>6.9</v>
      </c>
      <c r="F5">
        <v>1.6</v>
      </c>
      <c r="G5">
        <v>3.48</v>
      </c>
      <c r="H5">
        <v>0.8</v>
      </c>
      <c r="I5" t="s">
        <v>19</v>
      </c>
      <c r="J5">
        <v>1</v>
      </c>
      <c r="K5">
        <v>7</v>
      </c>
      <c r="L5">
        <v>9</v>
      </c>
      <c r="M5">
        <v>0</v>
      </c>
    </row>
    <row r="6" spans="1:13" x14ac:dyDescent="0.35">
      <c r="A6">
        <v>15</v>
      </c>
      <c r="B6" t="s">
        <v>16</v>
      </c>
      <c r="C6">
        <v>4.7</v>
      </c>
      <c r="D6" t="s">
        <v>20</v>
      </c>
      <c r="E6">
        <v>4.9000000000000004</v>
      </c>
      <c r="F6">
        <v>3</v>
      </c>
      <c r="G6">
        <v>2.37</v>
      </c>
      <c r="H6">
        <v>1.4</v>
      </c>
      <c r="I6" t="s">
        <v>19</v>
      </c>
      <c r="J6">
        <v>3</v>
      </c>
      <c r="K6">
        <v>5</v>
      </c>
      <c r="L6">
        <v>2</v>
      </c>
      <c r="M6">
        <v>0</v>
      </c>
    </row>
    <row r="7" spans="1:13" x14ac:dyDescent="0.35">
      <c r="A7">
        <v>19</v>
      </c>
      <c r="B7" t="s">
        <v>16</v>
      </c>
      <c r="C7">
        <v>7.4</v>
      </c>
      <c r="D7" t="s">
        <v>20</v>
      </c>
      <c r="E7">
        <v>4.4000000000000004</v>
      </c>
      <c r="F7">
        <v>2.4</v>
      </c>
      <c r="G7">
        <v>2.63</v>
      </c>
      <c r="H7">
        <v>0.6</v>
      </c>
      <c r="I7" t="s">
        <v>18</v>
      </c>
      <c r="J7">
        <v>3</v>
      </c>
      <c r="K7">
        <v>5</v>
      </c>
      <c r="L7">
        <v>7</v>
      </c>
      <c r="M7">
        <v>0</v>
      </c>
    </row>
    <row r="8" spans="1:13" x14ac:dyDescent="0.35">
      <c r="A8">
        <v>18</v>
      </c>
      <c r="B8" t="s">
        <v>16</v>
      </c>
      <c r="C8">
        <v>2.5</v>
      </c>
      <c r="D8" t="s">
        <v>14</v>
      </c>
      <c r="E8">
        <v>6.4</v>
      </c>
      <c r="F8">
        <v>2.4</v>
      </c>
      <c r="G8">
        <v>2.63</v>
      </c>
      <c r="H8">
        <v>0.7</v>
      </c>
      <c r="I8" t="s">
        <v>15</v>
      </c>
      <c r="J8">
        <v>2</v>
      </c>
      <c r="K8">
        <v>2</v>
      </c>
      <c r="L8">
        <v>5</v>
      </c>
      <c r="M8">
        <v>0</v>
      </c>
    </row>
    <row r="9" spans="1:13" x14ac:dyDescent="0.35">
      <c r="A9">
        <v>16</v>
      </c>
      <c r="B9" t="s">
        <v>13</v>
      </c>
      <c r="C9">
        <v>4</v>
      </c>
      <c r="D9" t="s">
        <v>20</v>
      </c>
      <c r="E9">
        <v>4.2</v>
      </c>
      <c r="F9">
        <v>0.5</v>
      </c>
      <c r="G9">
        <v>2.4</v>
      </c>
      <c r="H9">
        <v>1.3</v>
      </c>
      <c r="I9" t="s">
        <v>15</v>
      </c>
      <c r="J9">
        <v>6</v>
      </c>
      <c r="K9">
        <v>10</v>
      </c>
      <c r="L9">
        <v>5</v>
      </c>
      <c r="M9">
        <v>0</v>
      </c>
    </row>
    <row r="10" spans="1:13" x14ac:dyDescent="0.35">
      <c r="A10">
        <v>19</v>
      </c>
      <c r="B10" t="s">
        <v>16</v>
      </c>
      <c r="C10">
        <v>3.3</v>
      </c>
      <c r="D10" t="s">
        <v>17</v>
      </c>
      <c r="E10">
        <v>5</v>
      </c>
      <c r="F10">
        <v>2.1</v>
      </c>
      <c r="G10">
        <v>2.04</v>
      </c>
      <c r="H10">
        <v>0.9</v>
      </c>
      <c r="I10" t="s">
        <v>18</v>
      </c>
      <c r="J10">
        <v>1</v>
      </c>
      <c r="K10">
        <v>10</v>
      </c>
      <c r="L10">
        <v>9</v>
      </c>
      <c r="M10">
        <v>0</v>
      </c>
    </row>
    <row r="11" spans="1:13" x14ac:dyDescent="0.35">
      <c r="A11">
        <v>15</v>
      </c>
      <c r="B11" t="s">
        <v>13</v>
      </c>
      <c r="C11">
        <v>1.9</v>
      </c>
      <c r="D11" t="s">
        <v>17</v>
      </c>
      <c r="E11">
        <v>4.9000000000000004</v>
      </c>
      <c r="F11">
        <v>1.5</v>
      </c>
      <c r="G11">
        <v>3.77</v>
      </c>
      <c r="H11">
        <v>1.1000000000000001</v>
      </c>
      <c r="I11" t="s">
        <v>18</v>
      </c>
      <c r="J11">
        <v>1</v>
      </c>
      <c r="K11">
        <v>1</v>
      </c>
      <c r="L11">
        <v>4</v>
      </c>
      <c r="M11">
        <v>0</v>
      </c>
    </row>
    <row r="12" spans="1:13" x14ac:dyDescent="0.35">
      <c r="A12">
        <v>16</v>
      </c>
      <c r="B12" t="s">
        <v>13</v>
      </c>
      <c r="C12">
        <v>7.2</v>
      </c>
      <c r="D12" t="s">
        <v>20</v>
      </c>
      <c r="E12">
        <v>5.8</v>
      </c>
      <c r="F12">
        <v>2.9</v>
      </c>
      <c r="G12">
        <v>3.16</v>
      </c>
      <c r="H12">
        <v>1.2</v>
      </c>
      <c r="I12" t="s">
        <v>19</v>
      </c>
      <c r="J12">
        <v>5</v>
      </c>
      <c r="K12">
        <v>8</v>
      </c>
      <c r="L12">
        <v>9</v>
      </c>
      <c r="M12">
        <v>0</v>
      </c>
    </row>
    <row r="13" spans="1:13" x14ac:dyDescent="0.35">
      <c r="A13">
        <v>13</v>
      </c>
      <c r="B13" t="s">
        <v>13</v>
      </c>
      <c r="C13">
        <v>4.9000000000000004</v>
      </c>
      <c r="D13" t="s">
        <v>14</v>
      </c>
      <c r="E13">
        <v>4.7</v>
      </c>
      <c r="F13">
        <v>2.5</v>
      </c>
      <c r="G13">
        <v>3.92</v>
      </c>
      <c r="H13">
        <v>1.2</v>
      </c>
      <c r="I13" t="s">
        <v>15</v>
      </c>
      <c r="J13">
        <v>1</v>
      </c>
      <c r="K13">
        <v>10</v>
      </c>
      <c r="L13">
        <v>8</v>
      </c>
      <c r="M13">
        <v>0</v>
      </c>
    </row>
    <row r="14" spans="1:13" x14ac:dyDescent="0.35">
      <c r="A14">
        <v>16</v>
      </c>
      <c r="B14" t="s">
        <v>13</v>
      </c>
      <c r="C14">
        <v>6.2</v>
      </c>
      <c r="D14" t="s">
        <v>20</v>
      </c>
      <c r="E14">
        <v>7.2</v>
      </c>
      <c r="F14">
        <v>2.6</v>
      </c>
      <c r="G14">
        <v>2.02</v>
      </c>
      <c r="H14">
        <v>1.7</v>
      </c>
      <c r="I14" t="s">
        <v>19</v>
      </c>
      <c r="J14">
        <v>5</v>
      </c>
      <c r="K14">
        <v>7</v>
      </c>
      <c r="L14">
        <v>6</v>
      </c>
      <c r="M14">
        <v>0</v>
      </c>
    </row>
    <row r="15" spans="1:13" x14ac:dyDescent="0.35">
      <c r="A15">
        <v>17</v>
      </c>
      <c r="B15" t="s">
        <v>16</v>
      </c>
      <c r="C15">
        <v>6.8</v>
      </c>
      <c r="D15" t="s">
        <v>17</v>
      </c>
      <c r="E15">
        <v>5.7</v>
      </c>
      <c r="F15">
        <v>1.1000000000000001</v>
      </c>
      <c r="G15">
        <v>3.29</v>
      </c>
      <c r="H15">
        <v>1.3</v>
      </c>
      <c r="I15" t="s">
        <v>19</v>
      </c>
      <c r="J15">
        <v>1</v>
      </c>
      <c r="K15">
        <v>10</v>
      </c>
      <c r="L15">
        <v>10</v>
      </c>
      <c r="M15">
        <v>0</v>
      </c>
    </row>
    <row r="16" spans="1:13" x14ac:dyDescent="0.35">
      <c r="A16">
        <v>15</v>
      </c>
      <c r="B16" t="s">
        <v>13</v>
      </c>
      <c r="C16">
        <v>5.7</v>
      </c>
      <c r="D16" t="s">
        <v>17</v>
      </c>
      <c r="E16">
        <v>5.9</v>
      </c>
      <c r="F16">
        <v>0.8</v>
      </c>
      <c r="G16">
        <v>3.5</v>
      </c>
      <c r="H16">
        <v>0.7</v>
      </c>
      <c r="I16" t="s">
        <v>15</v>
      </c>
      <c r="J16">
        <v>1</v>
      </c>
      <c r="K16">
        <v>9</v>
      </c>
      <c r="L16">
        <v>1</v>
      </c>
      <c r="M16">
        <v>0</v>
      </c>
    </row>
    <row r="17" spans="1:13" x14ac:dyDescent="0.35">
      <c r="A17">
        <v>14</v>
      </c>
      <c r="B17" t="s">
        <v>16</v>
      </c>
      <c r="C17">
        <v>3.6</v>
      </c>
      <c r="D17" t="s">
        <v>20</v>
      </c>
      <c r="E17">
        <v>5.3</v>
      </c>
      <c r="F17">
        <v>0.6</v>
      </c>
      <c r="G17">
        <v>2.99</v>
      </c>
      <c r="H17">
        <v>0.3</v>
      </c>
      <c r="I17" t="s">
        <v>18</v>
      </c>
      <c r="J17">
        <v>4</v>
      </c>
      <c r="K17">
        <v>10</v>
      </c>
      <c r="L17">
        <v>2</v>
      </c>
      <c r="M17">
        <v>0</v>
      </c>
    </row>
    <row r="18" spans="1:13" x14ac:dyDescent="0.35">
      <c r="A18">
        <v>13</v>
      </c>
      <c r="B18" t="s">
        <v>13</v>
      </c>
      <c r="C18">
        <v>1.5</v>
      </c>
      <c r="D18" t="s">
        <v>20</v>
      </c>
      <c r="E18">
        <v>4.2</v>
      </c>
      <c r="F18">
        <v>1.4</v>
      </c>
      <c r="G18">
        <v>2.59</v>
      </c>
      <c r="H18">
        <v>0.5</v>
      </c>
      <c r="I18" t="s">
        <v>18</v>
      </c>
      <c r="J18">
        <v>4</v>
      </c>
      <c r="K18">
        <v>5</v>
      </c>
      <c r="L18">
        <v>8</v>
      </c>
      <c r="M18">
        <v>0</v>
      </c>
    </row>
    <row r="19" spans="1:13" x14ac:dyDescent="0.35">
      <c r="A19">
        <v>16</v>
      </c>
      <c r="B19" t="s">
        <v>13</v>
      </c>
      <c r="C19">
        <v>3.1</v>
      </c>
      <c r="D19" t="s">
        <v>20</v>
      </c>
      <c r="E19">
        <v>6.1</v>
      </c>
      <c r="F19">
        <v>0.8</v>
      </c>
      <c r="G19">
        <v>2.11</v>
      </c>
      <c r="H19">
        <v>1.9</v>
      </c>
      <c r="I19" t="s">
        <v>18</v>
      </c>
      <c r="J19">
        <v>10</v>
      </c>
      <c r="K19">
        <v>7</v>
      </c>
      <c r="L19">
        <v>10</v>
      </c>
      <c r="M19">
        <v>0</v>
      </c>
    </row>
    <row r="20" spans="1:13" x14ac:dyDescent="0.35">
      <c r="A20">
        <v>16</v>
      </c>
      <c r="B20" t="s">
        <v>16</v>
      </c>
      <c r="C20">
        <v>6.7</v>
      </c>
      <c r="D20" t="s">
        <v>20</v>
      </c>
      <c r="E20">
        <v>6.8</v>
      </c>
      <c r="F20">
        <v>1.9</v>
      </c>
      <c r="G20">
        <v>3.08</v>
      </c>
      <c r="H20">
        <v>1.4</v>
      </c>
      <c r="I20" t="s">
        <v>18</v>
      </c>
      <c r="J20">
        <v>10</v>
      </c>
      <c r="K20">
        <v>9</v>
      </c>
      <c r="L20">
        <v>1</v>
      </c>
      <c r="M20">
        <v>0</v>
      </c>
    </row>
    <row r="21" spans="1:13" x14ac:dyDescent="0.35">
      <c r="A21">
        <v>14</v>
      </c>
      <c r="B21" t="s">
        <v>16</v>
      </c>
      <c r="C21">
        <v>1.2</v>
      </c>
      <c r="D21" t="s">
        <v>14</v>
      </c>
      <c r="E21">
        <v>7.6</v>
      </c>
      <c r="F21">
        <v>1</v>
      </c>
      <c r="G21">
        <v>3.85</v>
      </c>
      <c r="H21">
        <v>0.8</v>
      </c>
      <c r="I21" t="s">
        <v>18</v>
      </c>
      <c r="J21">
        <v>8</v>
      </c>
      <c r="K21">
        <v>4</v>
      </c>
      <c r="L21">
        <v>6</v>
      </c>
      <c r="M21">
        <v>0</v>
      </c>
    </row>
    <row r="22" spans="1:13" x14ac:dyDescent="0.35">
      <c r="A22">
        <v>16</v>
      </c>
      <c r="B22" t="s">
        <v>13</v>
      </c>
      <c r="C22">
        <v>3.4</v>
      </c>
      <c r="D22" t="s">
        <v>17</v>
      </c>
      <c r="E22">
        <v>4.5999999999999996</v>
      </c>
      <c r="F22">
        <v>2.1</v>
      </c>
      <c r="G22">
        <v>2.2400000000000002</v>
      </c>
      <c r="H22">
        <v>0.4</v>
      </c>
      <c r="I22" t="s">
        <v>18</v>
      </c>
      <c r="J22">
        <v>4</v>
      </c>
      <c r="K22">
        <v>1</v>
      </c>
      <c r="L22">
        <v>3</v>
      </c>
      <c r="M22">
        <v>0</v>
      </c>
    </row>
    <row r="23" spans="1:13" x14ac:dyDescent="0.35">
      <c r="A23">
        <v>18</v>
      </c>
      <c r="B23" t="s">
        <v>13</v>
      </c>
      <c r="C23">
        <v>4.0999999999999996</v>
      </c>
      <c r="D23" t="s">
        <v>20</v>
      </c>
      <c r="E23">
        <v>7.4</v>
      </c>
      <c r="F23">
        <v>2.4</v>
      </c>
      <c r="G23">
        <v>2.38</v>
      </c>
      <c r="H23">
        <v>1.5</v>
      </c>
      <c r="I23" t="s">
        <v>19</v>
      </c>
      <c r="J23">
        <v>8</v>
      </c>
      <c r="K23">
        <v>4</v>
      </c>
      <c r="L23">
        <v>9</v>
      </c>
      <c r="M23">
        <v>0</v>
      </c>
    </row>
    <row r="24" spans="1:13" x14ac:dyDescent="0.35">
      <c r="A24">
        <v>18</v>
      </c>
      <c r="B24" t="s">
        <v>13</v>
      </c>
      <c r="C24">
        <v>5.3</v>
      </c>
      <c r="D24" t="s">
        <v>14</v>
      </c>
      <c r="E24">
        <v>4.9000000000000004</v>
      </c>
      <c r="F24">
        <v>1.2</v>
      </c>
      <c r="G24">
        <v>3.69</v>
      </c>
      <c r="H24">
        <v>1.2</v>
      </c>
      <c r="I24" t="s">
        <v>15</v>
      </c>
      <c r="J24">
        <v>5</v>
      </c>
      <c r="K24">
        <v>4</v>
      </c>
      <c r="L24">
        <v>5</v>
      </c>
      <c r="M24">
        <v>0</v>
      </c>
    </row>
    <row r="25" spans="1:13" x14ac:dyDescent="0.35">
      <c r="A25">
        <v>18</v>
      </c>
      <c r="B25" t="s">
        <v>16</v>
      </c>
      <c r="C25">
        <v>2.2999999999999998</v>
      </c>
      <c r="D25" t="s">
        <v>17</v>
      </c>
      <c r="E25">
        <v>7.6</v>
      </c>
      <c r="F25">
        <v>0.5</v>
      </c>
      <c r="G25">
        <v>2.96</v>
      </c>
      <c r="H25">
        <v>1.7</v>
      </c>
      <c r="I25" t="s">
        <v>19</v>
      </c>
      <c r="J25">
        <v>9</v>
      </c>
      <c r="K25">
        <v>8</v>
      </c>
      <c r="L25">
        <v>7</v>
      </c>
      <c r="M25">
        <v>0</v>
      </c>
    </row>
    <row r="26" spans="1:13" x14ac:dyDescent="0.35">
      <c r="A26">
        <v>18</v>
      </c>
      <c r="B26" t="s">
        <v>16</v>
      </c>
      <c r="C26">
        <v>2.4</v>
      </c>
      <c r="D26" t="s">
        <v>20</v>
      </c>
      <c r="E26">
        <v>6.7</v>
      </c>
      <c r="F26">
        <v>1.9</v>
      </c>
      <c r="G26">
        <v>2.5299999999999998</v>
      </c>
      <c r="H26">
        <v>0.4</v>
      </c>
      <c r="I26" t="s">
        <v>18</v>
      </c>
      <c r="J26">
        <v>8</v>
      </c>
      <c r="K26">
        <v>8</v>
      </c>
      <c r="L26">
        <v>2</v>
      </c>
      <c r="M26">
        <v>0</v>
      </c>
    </row>
    <row r="27" spans="1:13" x14ac:dyDescent="0.35">
      <c r="A27">
        <v>13</v>
      </c>
      <c r="B27" t="s">
        <v>16</v>
      </c>
      <c r="C27">
        <v>1.5</v>
      </c>
      <c r="D27" t="s">
        <v>20</v>
      </c>
      <c r="E27">
        <v>7.2</v>
      </c>
      <c r="F27">
        <v>2.5</v>
      </c>
      <c r="G27">
        <v>2.15</v>
      </c>
      <c r="H27">
        <v>1.3</v>
      </c>
      <c r="I27" t="s">
        <v>19</v>
      </c>
      <c r="J27">
        <v>4</v>
      </c>
      <c r="K27">
        <v>6</v>
      </c>
      <c r="L27">
        <v>2</v>
      </c>
      <c r="M27">
        <v>0</v>
      </c>
    </row>
    <row r="28" spans="1:13" x14ac:dyDescent="0.35">
      <c r="A28">
        <v>14</v>
      </c>
      <c r="B28" t="s">
        <v>16</v>
      </c>
      <c r="C28">
        <v>5.7</v>
      </c>
      <c r="D28" t="s">
        <v>20</v>
      </c>
      <c r="E28">
        <v>8.6999999999999993</v>
      </c>
      <c r="F28">
        <v>0.6</v>
      </c>
      <c r="G28">
        <v>2.64</v>
      </c>
      <c r="H28">
        <v>0.1</v>
      </c>
      <c r="I28" t="s">
        <v>15</v>
      </c>
      <c r="J28">
        <v>8</v>
      </c>
      <c r="K28">
        <v>9</v>
      </c>
      <c r="L28">
        <v>4</v>
      </c>
      <c r="M28">
        <v>0</v>
      </c>
    </row>
    <row r="29" spans="1:13" x14ac:dyDescent="0.35">
      <c r="A29">
        <v>19</v>
      </c>
      <c r="B29" t="s">
        <v>13</v>
      </c>
      <c r="C29">
        <v>2</v>
      </c>
      <c r="D29" t="s">
        <v>17</v>
      </c>
      <c r="E29">
        <v>7.1</v>
      </c>
      <c r="F29">
        <v>0.9</v>
      </c>
      <c r="G29">
        <v>3.26</v>
      </c>
      <c r="H29">
        <v>1.6</v>
      </c>
      <c r="I29" t="s">
        <v>18</v>
      </c>
      <c r="J29">
        <v>7</v>
      </c>
      <c r="K29">
        <v>5</v>
      </c>
      <c r="L29">
        <v>9</v>
      </c>
      <c r="M29">
        <v>0</v>
      </c>
    </row>
    <row r="30" spans="1:13" x14ac:dyDescent="0.35">
      <c r="A30">
        <v>14</v>
      </c>
      <c r="B30" t="s">
        <v>13</v>
      </c>
      <c r="C30">
        <v>2.5</v>
      </c>
      <c r="D30" t="s">
        <v>17</v>
      </c>
      <c r="E30">
        <v>5.6</v>
      </c>
      <c r="F30">
        <v>2.9</v>
      </c>
      <c r="G30">
        <v>2.2400000000000002</v>
      </c>
      <c r="H30">
        <v>0.5</v>
      </c>
      <c r="I30" t="s">
        <v>15</v>
      </c>
      <c r="J30">
        <v>3</v>
      </c>
      <c r="K30">
        <v>9</v>
      </c>
      <c r="L30">
        <v>5</v>
      </c>
      <c r="M30">
        <v>0</v>
      </c>
    </row>
    <row r="31" spans="1:13" x14ac:dyDescent="0.35">
      <c r="A31">
        <v>16</v>
      </c>
      <c r="B31" t="s">
        <v>16</v>
      </c>
      <c r="C31">
        <v>3.4</v>
      </c>
      <c r="D31" t="s">
        <v>17</v>
      </c>
      <c r="E31">
        <v>7.8</v>
      </c>
      <c r="F31">
        <v>2.8</v>
      </c>
      <c r="G31">
        <v>3.83</v>
      </c>
      <c r="H31">
        <v>1.8</v>
      </c>
      <c r="I31" t="s">
        <v>19</v>
      </c>
      <c r="J31">
        <v>6</v>
      </c>
      <c r="K31">
        <v>6</v>
      </c>
      <c r="L31">
        <v>4</v>
      </c>
      <c r="M31">
        <v>0</v>
      </c>
    </row>
    <row r="32" spans="1:13" x14ac:dyDescent="0.35">
      <c r="A32">
        <v>13</v>
      </c>
      <c r="B32" t="s">
        <v>13</v>
      </c>
      <c r="C32">
        <v>6.6</v>
      </c>
      <c r="D32" t="s">
        <v>17</v>
      </c>
      <c r="E32">
        <v>5.7</v>
      </c>
      <c r="F32">
        <v>2.5</v>
      </c>
      <c r="G32">
        <v>2.67</v>
      </c>
      <c r="H32">
        <v>1.1000000000000001</v>
      </c>
      <c r="I32" t="s">
        <v>15</v>
      </c>
      <c r="J32">
        <v>2</v>
      </c>
      <c r="K32">
        <v>1</v>
      </c>
      <c r="L32">
        <v>10</v>
      </c>
      <c r="M32">
        <v>0</v>
      </c>
    </row>
    <row r="33" spans="1:13" x14ac:dyDescent="0.35">
      <c r="A33">
        <v>13</v>
      </c>
      <c r="B33" t="s">
        <v>16</v>
      </c>
      <c r="C33">
        <v>1.6</v>
      </c>
      <c r="D33" t="s">
        <v>14</v>
      </c>
      <c r="E33">
        <v>8.6999999999999993</v>
      </c>
      <c r="F33">
        <v>2.5</v>
      </c>
      <c r="G33">
        <v>3.69</v>
      </c>
      <c r="H33">
        <v>0.4</v>
      </c>
      <c r="I33" t="s">
        <v>18</v>
      </c>
      <c r="J33">
        <v>8</v>
      </c>
      <c r="K33">
        <v>2</v>
      </c>
      <c r="L33">
        <v>9</v>
      </c>
      <c r="M33">
        <v>0</v>
      </c>
    </row>
    <row r="34" spans="1:13" x14ac:dyDescent="0.35">
      <c r="A34">
        <v>16</v>
      </c>
      <c r="B34" t="s">
        <v>13</v>
      </c>
      <c r="C34">
        <v>2.7</v>
      </c>
      <c r="D34" t="s">
        <v>14</v>
      </c>
      <c r="E34">
        <v>4.2</v>
      </c>
      <c r="F34">
        <v>2.4</v>
      </c>
      <c r="G34">
        <v>3.05</v>
      </c>
      <c r="H34">
        <v>0.2</v>
      </c>
      <c r="I34" t="s">
        <v>18</v>
      </c>
      <c r="J34">
        <v>1</v>
      </c>
      <c r="K34">
        <v>8</v>
      </c>
      <c r="L34">
        <v>4</v>
      </c>
      <c r="M34">
        <v>0</v>
      </c>
    </row>
    <row r="35" spans="1:13" x14ac:dyDescent="0.35">
      <c r="A35">
        <v>14</v>
      </c>
      <c r="B35" t="s">
        <v>13</v>
      </c>
      <c r="C35">
        <v>4.0999999999999996</v>
      </c>
      <c r="D35" t="s">
        <v>17</v>
      </c>
      <c r="E35">
        <v>8</v>
      </c>
      <c r="F35">
        <v>3</v>
      </c>
      <c r="G35">
        <v>2.31</v>
      </c>
      <c r="H35">
        <v>0.8</v>
      </c>
      <c r="I35" t="s">
        <v>15</v>
      </c>
      <c r="J35">
        <v>8</v>
      </c>
      <c r="K35">
        <v>4</v>
      </c>
      <c r="L35">
        <v>1</v>
      </c>
      <c r="M35">
        <v>0</v>
      </c>
    </row>
    <row r="36" spans="1:13" x14ac:dyDescent="0.35">
      <c r="A36">
        <v>13</v>
      </c>
      <c r="B36" t="s">
        <v>16</v>
      </c>
      <c r="C36">
        <v>6.6</v>
      </c>
      <c r="D36" t="s">
        <v>17</v>
      </c>
      <c r="E36">
        <v>7.3</v>
      </c>
      <c r="F36">
        <v>1.6</v>
      </c>
      <c r="G36">
        <v>3.27</v>
      </c>
      <c r="H36">
        <v>0.1</v>
      </c>
      <c r="I36" t="s">
        <v>19</v>
      </c>
      <c r="J36">
        <v>10</v>
      </c>
      <c r="K36">
        <v>2</v>
      </c>
      <c r="L36">
        <v>1</v>
      </c>
      <c r="M36">
        <v>0</v>
      </c>
    </row>
    <row r="37" spans="1:13" x14ac:dyDescent="0.35">
      <c r="A37">
        <v>17</v>
      </c>
      <c r="B37" t="s">
        <v>16</v>
      </c>
      <c r="C37">
        <v>5</v>
      </c>
      <c r="D37" t="s">
        <v>20</v>
      </c>
      <c r="E37">
        <v>4.9000000000000004</v>
      </c>
      <c r="F37">
        <v>2.1</v>
      </c>
      <c r="G37">
        <v>2.0099999999999998</v>
      </c>
      <c r="H37">
        <v>1</v>
      </c>
      <c r="I37" t="s">
        <v>15</v>
      </c>
      <c r="J37">
        <v>9</v>
      </c>
      <c r="K37">
        <v>4</v>
      </c>
      <c r="L37">
        <v>9</v>
      </c>
      <c r="M37">
        <v>0</v>
      </c>
    </row>
    <row r="38" spans="1:13" x14ac:dyDescent="0.35">
      <c r="A38">
        <v>19</v>
      </c>
      <c r="B38" t="s">
        <v>16</v>
      </c>
      <c r="C38">
        <v>4.5999999999999996</v>
      </c>
      <c r="D38" t="s">
        <v>14</v>
      </c>
      <c r="E38">
        <v>5.5</v>
      </c>
      <c r="F38">
        <v>2.5</v>
      </c>
      <c r="G38">
        <v>3.96</v>
      </c>
      <c r="H38">
        <v>0.8</v>
      </c>
      <c r="I38" t="s">
        <v>18</v>
      </c>
      <c r="J38">
        <v>3</v>
      </c>
      <c r="K38">
        <v>10</v>
      </c>
      <c r="L38">
        <v>7</v>
      </c>
      <c r="M38">
        <v>0</v>
      </c>
    </row>
    <row r="39" spans="1:13" x14ac:dyDescent="0.35">
      <c r="A39">
        <v>17</v>
      </c>
      <c r="B39" t="s">
        <v>16</v>
      </c>
      <c r="C39">
        <v>4.8</v>
      </c>
      <c r="D39" t="s">
        <v>14</v>
      </c>
      <c r="E39">
        <v>4.4000000000000004</v>
      </c>
      <c r="F39">
        <v>1.3</v>
      </c>
      <c r="G39">
        <v>2.02</v>
      </c>
      <c r="H39">
        <v>0.5</v>
      </c>
      <c r="I39" t="s">
        <v>15</v>
      </c>
      <c r="J39">
        <v>5</v>
      </c>
      <c r="K39">
        <v>10</v>
      </c>
      <c r="L39">
        <v>6</v>
      </c>
      <c r="M39">
        <v>0</v>
      </c>
    </row>
    <row r="40" spans="1:13" x14ac:dyDescent="0.35">
      <c r="A40">
        <v>17</v>
      </c>
      <c r="B40" t="s">
        <v>16</v>
      </c>
      <c r="C40">
        <v>1.3</v>
      </c>
      <c r="D40" t="s">
        <v>17</v>
      </c>
      <c r="E40">
        <v>8</v>
      </c>
      <c r="F40">
        <v>2</v>
      </c>
      <c r="G40">
        <v>2.84</v>
      </c>
      <c r="H40">
        <v>1.8</v>
      </c>
      <c r="I40" t="s">
        <v>18</v>
      </c>
      <c r="J40">
        <v>1</v>
      </c>
      <c r="K40">
        <v>7</v>
      </c>
      <c r="L40">
        <v>8</v>
      </c>
      <c r="M40">
        <v>0</v>
      </c>
    </row>
    <row r="41" spans="1:13" x14ac:dyDescent="0.35">
      <c r="A41">
        <v>17</v>
      </c>
      <c r="B41" t="s">
        <v>16</v>
      </c>
      <c r="C41">
        <v>6.3</v>
      </c>
      <c r="D41" t="s">
        <v>14</v>
      </c>
      <c r="E41">
        <v>4</v>
      </c>
      <c r="F41">
        <v>1</v>
      </c>
      <c r="G41">
        <v>2.4300000000000002</v>
      </c>
      <c r="H41">
        <v>1.2</v>
      </c>
      <c r="I41" t="s">
        <v>18</v>
      </c>
      <c r="J41">
        <v>1</v>
      </c>
      <c r="K41">
        <v>10</v>
      </c>
      <c r="L41">
        <v>9</v>
      </c>
      <c r="M41">
        <v>0</v>
      </c>
    </row>
    <row r="42" spans="1:13" x14ac:dyDescent="0.35">
      <c r="A42">
        <v>14</v>
      </c>
      <c r="B42" t="s">
        <v>13</v>
      </c>
      <c r="C42">
        <v>6.4</v>
      </c>
      <c r="D42" t="s">
        <v>14</v>
      </c>
      <c r="E42">
        <v>5.7</v>
      </c>
      <c r="F42">
        <v>0.9</v>
      </c>
      <c r="G42">
        <v>2.06</v>
      </c>
      <c r="H42">
        <v>1.8</v>
      </c>
      <c r="I42" t="s">
        <v>18</v>
      </c>
      <c r="J42">
        <v>10</v>
      </c>
      <c r="K42">
        <v>4</v>
      </c>
      <c r="L42">
        <v>2</v>
      </c>
      <c r="M42">
        <v>0</v>
      </c>
    </row>
    <row r="43" spans="1:13" x14ac:dyDescent="0.35">
      <c r="A43">
        <v>19</v>
      </c>
      <c r="B43" t="s">
        <v>13</v>
      </c>
      <c r="C43">
        <v>1.6</v>
      </c>
      <c r="D43" t="s">
        <v>14</v>
      </c>
      <c r="E43">
        <v>8.6</v>
      </c>
      <c r="F43">
        <v>2.4</v>
      </c>
      <c r="G43">
        <v>3.81</v>
      </c>
      <c r="H43">
        <v>0.4</v>
      </c>
      <c r="I43" t="s">
        <v>15</v>
      </c>
      <c r="J43">
        <v>10</v>
      </c>
      <c r="K43">
        <v>4</v>
      </c>
      <c r="L43">
        <v>1</v>
      </c>
      <c r="M43">
        <v>0</v>
      </c>
    </row>
    <row r="44" spans="1:13" x14ac:dyDescent="0.35">
      <c r="A44">
        <v>14</v>
      </c>
      <c r="B44" t="s">
        <v>16</v>
      </c>
      <c r="C44">
        <v>7.3</v>
      </c>
      <c r="D44" t="s">
        <v>14</v>
      </c>
      <c r="E44">
        <v>7.7</v>
      </c>
      <c r="F44">
        <v>1.4</v>
      </c>
      <c r="G44">
        <v>3.42</v>
      </c>
      <c r="H44">
        <v>0.3</v>
      </c>
      <c r="I44" t="s">
        <v>19</v>
      </c>
      <c r="J44">
        <v>6</v>
      </c>
      <c r="K44">
        <v>1</v>
      </c>
      <c r="L44">
        <v>8</v>
      </c>
      <c r="M44">
        <v>0</v>
      </c>
    </row>
    <row r="45" spans="1:13" x14ac:dyDescent="0.35">
      <c r="A45">
        <v>15</v>
      </c>
      <c r="B45" t="s">
        <v>13</v>
      </c>
      <c r="C45">
        <v>4</v>
      </c>
      <c r="D45" t="s">
        <v>20</v>
      </c>
      <c r="E45">
        <v>8.8000000000000007</v>
      </c>
      <c r="F45">
        <v>1.3</v>
      </c>
      <c r="G45">
        <v>3.59</v>
      </c>
      <c r="H45">
        <v>1.9</v>
      </c>
      <c r="I45" t="s">
        <v>19</v>
      </c>
      <c r="J45">
        <v>10</v>
      </c>
      <c r="K45">
        <v>6</v>
      </c>
      <c r="L45">
        <v>10</v>
      </c>
      <c r="M45">
        <v>0</v>
      </c>
    </row>
    <row r="46" spans="1:13" x14ac:dyDescent="0.35">
      <c r="A46">
        <v>14</v>
      </c>
      <c r="B46" t="s">
        <v>13</v>
      </c>
      <c r="C46">
        <v>5.2</v>
      </c>
      <c r="D46" t="s">
        <v>20</v>
      </c>
      <c r="E46">
        <v>4.0999999999999996</v>
      </c>
      <c r="F46">
        <v>2.1</v>
      </c>
      <c r="G46">
        <v>3.07</v>
      </c>
      <c r="H46">
        <v>0.2</v>
      </c>
      <c r="I46" t="s">
        <v>19</v>
      </c>
      <c r="J46">
        <v>9</v>
      </c>
      <c r="K46">
        <v>3</v>
      </c>
      <c r="L46">
        <v>8</v>
      </c>
      <c r="M46">
        <v>0</v>
      </c>
    </row>
    <row r="47" spans="1:13" x14ac:dyDescent="0.35">
      <c r="A47">
        <v>14</v>
      </c>
      <c r="B47" t="s">
        <v>16</v>
      </c>
      <c r="C47">
        <v>4.5</v>
      </c>
      <c r="D47" t="s">
        <v>17</v>
      </c>
      <c r="E47">
        <v>4.8</v>
      </c>
      <c r="F47">
        <v>0.9</v>
      </c>
      <c r="G47">
        <v>2.2200000000000002</v>
      </c>
      <c r="H47">
        <v>0.8</v>
      </c>
      <c r="I47" t="s">
        <v>15</v>
      </c>
      <c r="J47">
        <v>1</v>
      </c>
      <c r="K47">
        <v>4</v>
      </c>
      <c r="L47">
        <v>10</v>
      </c>
      <c r="M47">
        <v>0</v>
      </c>
    </row>
    <row r="48" spans="1:13" x14ac:dyDescent="0.35">
      <c r="A48">
        <v>18</v>
      </c>
      <c r="B48" t="s">
        <v>13</v>
      </c>
      <c r="C48">
        <v>6.8</v>
      </c>
      <c r="D48" t="s">
        <v>17</v>
      </c>
      <c r="E48">
        <v>8.6</v>
      </c>
      <c r="F48">
        <v>1.1000000000000001</v>
      </c>
      <c r="G48">
        <v>2.36</v>
      </c>
      <c r="H48">
        <v>1.6</v>
      </c>
      <c r="I48" t="s">
        <v>18</v>
      </c>
      <c r="J48">
        <v>1</v>
      </c>
      <c r="K48">
        <v>10</v>
      </c>
      <c r="L48">
        <v>10</v>
      </c>
      <c r="M48">
        <v>0</v>
      </c>
    </row>
    <row r="49" spans="1:13" x14ac:dyDescent="0.35">
      <c r="A49">
        <v>13</v>
      </c>
      <c r="B49" t="s">
        <v>16</v>
      </c>
      <c r="C49">
        <v>3.5</v>
      </c>
      <c r="D49" t="s">
        <v>14</v>
      </c>
      <c r="E49">
        <v>5.0999999999999996</v>
      </c>
      <c r="F49">
        <v>1.1000000000000001</v>
      </c>
      <c r="G49">
        <v>2.27</v>
      </c>
      <c r="H49">
        <v>1.8</v>
      </c>
      <c r="I49" t="s">
        <v>19</v>
      </c>
      <c r="J49">
        <v>2</v>
      </c>
      <c r="K49">
        <v>5</v>
      </c>
      <c r="L49">
        <v>6</v>
      </c>
      <c r="M49">
        <v>0</v>
      </c>
    </row>
    <row r="50" spans="1:13" x14ac:dyDescent="0.35">
      <c r="A50">
        <v>16</v>
      </c>
      <c r="B50" t="s">
        <v>13</v>
      </c>
      <c r="C50">
        <v>2.2999999999999998</v>
      </c>
      <c r="D50" t="s">
        <v>17</v>
      </c>
      <c r="E50">
        <v>6.3</v>
      </c>
      <c r="F50">
        <v>3</v>
      </c>
      <c r="G50">
        <v>3.24</v>
      </c>
      <c r="H50">
        <v>1.9</v>
      </c>
      <c r="I50" t="s">
        <v>19</v>
      </c>
      <c r="J50">
        <v>4</v>
      </c>
      <c r="K50">
        <v>4</v>
      </c>
      <c r="L50">
        <v>9</v>
      </c>
      <c r="M50">
        <v>0</v>
      </c>
    </row>
    <row r="51" spans="1:13" x14ac:dyDescent="0.35">
      <c r="A51">
        <v>14</v>
      </c>
      <c r="B51" t="s">
        <v>13</v>
      </c>
      <c r="C51">
        <v>1.2</v>
      </c>
      <c r="D51" t="s">
        <v>14</v>
      </c>
      <c r="E51">
        <v>8.5</v>
      </c>
      <c r="F51">
        <v>1.8</v>
      </c>
      <c r="G51">
        <v>3.65</v>
      </c>
      <c r="H51">
        <v>1.8</v>
      </c>
      <c r="I51" t="s">
        <v>18</v>
      </c>
      <c r="J51">
        <v>5</v>
      </c>
      <c r="K51">
        <v>10</v>
      </c>
      <c r="L51">
        <v>10</v>
      </c>
      <c r="M51">
        <v>0</v>
      </c>
    </row>
    <row r="52" spans="1:13" x14ac:dyDescent="0.35">
      <c r="A52">
        <v>13</v>
      </c>
      <c r="B52" t="s">
        <v>13</v>
      </c>
      <c r="C52">
        <v>6.2</v>
      </c>
      <c r="D52" t="s">
        <v>20</v>
      </c>
      <c r="E52">
        <v>7.1</v>
      </c>
      <c r="F52">
        <v>2.2000000000000002</v>
      </c>
      <c r="G52">
        <v>3.43</v>
      </c>
      <c r="H52">
        <v>0.2</v>
      </c>
      <c r="I52" t="s">
        <v>19</v>
      </c>
      <c r="J52">
        <v>5</v>
      </c>
      <c r="K52">
        <v>2</v>
      </c>
      <c r="L52">
        <v>2</v>
      </c>
      <c r="M52">
        <v>0</v>
      </c>
    </row>
    <row r="53" spans="1:13" x14ac:dyDescent="0.35">
      <c r="A53">
        <v>18</v>
      </c>
      <c r="B53" t="s">
        <v>13</v>
      </c>
      <c r="C53">
        <v>4.5</v>
      </c>
      <c r="D53" t="s">
        <v>17</v>
      </c>
      <c r="E53">
        <v>4.0999999999999996</v>
      </c>
      <c r="F53">
        <v>1.9</v>
      </c>
      <c r="G53">
        <v>3.42</v>
      </c>
      <c r="H53">
        <v>0.1</v>
      </c>
      <c r="I53" t="s">
        <v>19</v>
      </c>
      <c r="J53">
        <v>6</v>
      </c>
      <c r="K53">
        <v>7</v>
      </c>
      <c r="L53">
        <v>8</v>
      </c>
      <c r="M53">
        <v>0</v>
      </c>
    </row>
    <row r="54" spans="1:13" x14ac:dyDescent="0.35">
      <c r="A54">
        <v>18</v>
      </c>
      <c r="B54" t="s">
        <v>13</v>
      </c>
      <c r="C54">
        <v>2.9</v>
      </c>
      <c r="D54" t="s">
        <v>14</v>
      </c>
      <c r="E54">
        <v>4.5</v>
      </c>
      <c r="F54">
        <v>2.5</v>
      </c>
      <c r="G54">
        <v>3.16</v>
      </c>
      <c r="H54">
        <v>1.3</v>
      </c>
      <c r="I54" t="s">
        <v>15</v>
      </c>
      <c r="J54">
        <v>3</v>
      </c>
      <c r="K54">
        <v>7</v>
      </c>
      <c r="L54">
        <v>8</v>
      </c>
      <c r="M54">
        <v>0</v>
      </c>
    </row>
    <row r="55" spans="1:13" x14ac:dyDescent="0.35">
      <c r="A55">
        <v>13</v>
      </c>
      <c r="B55" t="s">
        <v>16</v>
      </c>
      <c r="C55">
        <v>5.8</v>
      </c>
      <c r="D55" t="s">
        <v>17</v>
      </c>
      <c r="E55">
        <v>8.5</v>
      </c>
      <c r="F55">
        <v>2.2999999999999998</v>
      </c>
      <c r="G55">
        <v>3.3</v>
      </c>
      <c r="H55">
        <v>1.9</v>
      </c>
      <c r="I55" t="s">
        <v>18</v>
      </c>
      <c r="J55">
        <v>1</v>
      </c>
      <c r="K55">
        <v>1</v>
      </c>
      <c r="L55">
        <v>5</v>
      </c>
      <c r="M55">
        <v>0</v>
      </c>
    </row>
    <row r="56" spans="1:13" x14ac:dyDescent="0.35">
      <c r="A56">
        <v>18</v>
      </c>
      <c r="B56" t="s">
        <v>13</v>
      </c>
      <c r="C56">
        <v>6.8</v>
      </c>
      <c r="D56" t="s">
        <v>14</v>
      </c>
      <c r="E56">
        <v>6.5</v>
      </c>
      <c r="F56">
        <v>2.7</v>
      </c>
      <c r="G56">
        <v>2.97</v>
      </c>
      <c r="H56">
        <v>1.9</v>
      </c>
      <c r="I56" t="s">
        <v>15</v>
      </c>
      <c r="J56">
        <v>4</v>
      </c>
      <c r="K56">
        <v>4</v>
      </c>
      <c r="L56">
        <v>5</v>
      </c>
      <c r="M56">
        <v>0</v>
      </c>
    </row>
    <row r="57" spans="1:13" x14ac:dyDescent="0.35">
      <c r="A57">
        <v>15</v>
      </c>
      <c r="B57" t="s">
        <v>16</v>
      </c>
      <c r="C57">
        <v>7.4</v>
      </c>
      <c r="D57" t="s">
        <v>14</v>
      </c>
      <c r="E57">
        <v>8.6</v>
      </c>
      <c r="F57">
        <v>0.9</v>
      </c>
      <c r="G57">
        <v>2.2999999999999998</v>
      </c>
      <c r="H57">
        <v>0</v>
      </c>
      <c r="I57" t="s">
        <v>15</v>
      </c>
      <c r="J57">
        <v>1</v>
      </c>
      <c r="K57">
        <v>5</v>
      </c>
      <c r="L57">
        <v>3</v>
      </c>
      <c r="M57">
        <v>0</v>
      </c>
    </row>
    <row r="58" spans="1:13" x14ac:dyDescent="0.35">
      <c r="A58">
        <v>18</v>
      </c>
      <c r="B58" t="s">
        <v>13</v>
      </c>
      <c r="C58">
        <v>4.5</v>
      </c>
      <c r="D58" t="s">
        <v>17</v>
      </c>
      <c r="E58">
        <v>5</v>
      </c>
      <c r="F58">
        <v>2.5</v>
      </c>
      <c r="G58">
        <v>2.65</v>
      </c>
      <c r="H58">
        <v>0.7</v>
      </c>
      <c r="I58" t="s">
        <v>19</v>
      </c>
      <c r="J58">
        <v>8</v>
      </c>
      <c r="K58">
        <v>9</v>
      </c>
      <c r="L58">
        <v>1</v>
      </c>
      <c r="M58">
        <v>0</v>
      </c>
    </row>
    <row r="59" spans="1:13" x14ac:dyDescent="0.35">
      <c r="A59">
        <v>16</v>
      </c>
      <c r="B59" t="s">
        <v>13</v>
      </c>
      <c r="C59">
        <v>6.4</v>
      </c>
      <c r="D59" t="s">
        <v>17</v>
      </c>
      <c r="E59">
        <v>5.3</v>
      </c>
      <c r="F59">
        <v>2.4</v>
      </c>
      <c r="G59">
        <v>2.0299999999999998</v>
      </c>
      <c r="H59">
        <v>1.7</v>
      </c>
      <c r="I59" t="s">
        <v>19</v>
      </c>
      <c r="J59">
        <v>7</v>
      </c>
      <c r="K59">
        <v>5</v>
      </c>
      <c r="L59">
        <v>10</v>
      </c>
      <c r="M59">
        <v>0</v>
      </c>
    </row>
    <row r="60" spans="1:13" x14ac:dyDescent="0.35">
      <c r="A60">
        <v>13</v>
      </c>
      <c r="B60" t="s">
        <v>13</v>
      </c>
      <c r="C60">
        <v>7.3</v>
      </c>
      <c r="D60" t="s">
        <v>20</v>
      </c>
      <c r="E60">
        <v>4.2</v>
      </c>
      <c r="F60">
        <v>1.3</v>
      </c>
      <c r="G60">
        <v>2.16</v>
      </c>
      <c r="H60">
        <v>1</v>
      </c>
      <c r="I60" t="s">
        <v>18</v>
      </c>
      <c r="J60">
        <v>4</v>
      </c>
      <c r="K60">
        <v>5</v>
      </c>
      <c r="L60">
        <v>2</v>
      </c>
      <c r="M60">
        <v>0</v>
      </c>
    </row>
    <row r="61" spans="1:13" x14ac:dyDescent="0.35">
      <c r="A61">
        <v>17</v>
      </c>
      <c r="B61" t="s">
        <v>16</v>
      </c>
      <c r="C61">
        <v>7.1</v>
      </c>
      <c r="D61" t="s">
        <v>14</v>
      </c>
      <c r="E61">
        <v>5.6</v>
      </c>
      <c r="F61">
        <v>0.6</v>
      </c>
      <c r="G61">
        <v>3.07</v>
      </c>
      <c r="H61">
        <v>1</v>
      </c>
      <c r="I61" t="s">
        <v>19</v>
      </c>
      <c r="J61">
        <v>1</v>
      </c>
      <c r="K61">
        <v>3</v>
      </c>
      <c r="L61">
        <v>7</v>
      </c>
      <c r="M61">
        <v>0</v>
      </c>
    </row>
    <row r="62" spans="1:13" x14ac:dyDescent="0.35">
      <c r="A62">
        <v>18</v>
      </c>
      <c r="B62" t="s">
        <v>13</v>
      </c>
      <c r="C62">
        <v>1.6</v>
      </c>
      <c r="D62" t="s">
        <v>17</v>
      </c>
      <c r="E62">
        <v>5.0999999999999996</v>
      </c>
      <c r="F62">
        <v>2.7</v>
      </c>
      <c r="G62">
        <v>3.57</v>
      </c>
      <c r="H62">
        <v>0.8</v>
      </c>
      <c r="I62" t="s">
        <v>18</v>
      </c>
      <c r="J62">
        <v>3</v>
      </c>
      <c r="K62">
        <v>9</v>
      </c>
      <c r="L62">
        <v>7</v>
      </c>
      <c r="M62">
        <v>0</v>
      </c>
    </row>
    <row r="63" spans="1:13" x14ac:dyDescent="0.35">
      <c r="A63">
        <v>15</v>
      </c>
      <c r="B63" t="s">
        <v>16</v>
      </c>
      <c r="C63">
        <v>1.5</v>
      </c>
      <c r="D63" t="s">
        <v>14</v>
      </c>
      <c r="E63">
        <v>4.7</v>
      </c>
      <c r="F63">
        <v>1</v>
      </c>
      <c r="G63">
        <v>3.82</v>
      </c>
      <c r="H63">
        <v>0.6</v>
      </c>
      <c r="I63" t="s">
        <v>19</v>
      </c>
      <c r="J63">
        <v>6</v>
      </c>
      <c r="K63">
        <v>1</v>
      </c>
      <c r="L63">
        <v>4</v>
      </c>
      <c r="M63">
        <v>0</v>
      </c>
    </row>
    <row r="64" spans="1:13" x14ac:dyDescent="0.35">
      <c r="A64">
        <v>13</v>
      </c>
      <c r="B64" t="s">
        <v>13</v>
      </c>
      <c r="C64">
        <v>4.3</v>
      </c>
      <c r="D64" t="s">
        <v>20</v>
      </c>
      <c r="E64">
        <v>5.8</v>
      </c>
      <c r="F64">
        <v>0.7</v>
      </c>
      <c r="G64">
        <v>3.15</v>
      </c>
      <c r="H64">
        <v>0.1</v>
      </c>
      <c r="I64" t="s">
        <v>19</v>
      </c>
      <c r="J64">
        <v>7</v>
      </c>
      <c r="K64">
        <v>2</v>
      </c>
      <c r="L64">
        <v>1</v>
      </c>
      <c r="M64">
        <v>0</v>
      </c>
    </row>
    <row r="65" spans="1:13" x14ac:dyDescent="0.35">
      <c r="A65">
        <v>17</v>
      </c>
      <c r="B65" t="s">
        <v>13</v>
      </c>
      <c r="C65">
        <v>2.5</v>
      </c>
      <c r="D65" t="s">
        <v>20</v>
      </c>
      <c r="E65">
        <v>6.7</v>
      </c>
      <c r="F65">
        <v>2</v>
      </c>
      <c r="G65">
        <v>2.56</v>
      </c>
      <c r="H65">
        <v>1.7</v>
      </c>
      <c r="I65" t="s">
        <v>18</v>
      </c>
      <c r="J65">
        <v>5</v>
      </c>
      <c r="K65">
        <v>7</v>
      </c>
      <c r="L65">
        <v>5</v>
      </c>
      <c r="M65">
        <v>0</v>
      </c>
    </row>
    <row r="66" spans="1:13" x14ac:dyDescent="0.35">
      <c r="A66">
        <v>19</v>
      </c>
      <c r="B66" t="s">
        <v>16</v>
      </c>
      <c r="C66">
        <v>7.9</v>
      </c>
      <c r="D66" t="s">
        <v>17</v>
      </c>
      <c r="E66">
        <v>5.0999999999999996</v>
      </c>
      <c r="F66">
        <v>1.7</v>
      </c>
      <c r="G66">
        <v>2.8</v>
      </c>
      <c r="H66">
        <v>0.8</v>
      </c>
      <c r="I66" t="s">
        <v>15</v>
      </c>
      <c r="J66">
        <v>6</v>
      </c>
      <c r="K66">
        <v>1</v>
      </c>
      <c r="L66">
        <v>8</v>
      </c>
      <c r="M66">
        <v>0</v>
      </c>
    </row>
    <row r="67" spans="1:13" x14ac:dyDescent="0.35">
      <c r="A67">
        <v>17</v>
      </c>
      <c r="B67" t="s">
        <v>13</v>
      </c>
      <c r="C67">
        <v>2.7</v>
      </c>
      <c r="D67" t="s">
        <v>14</v>
      </c>
      <c r="E67">
        <v>8</v>
      </c>
      <c r="F67">
        <v>2.6</v>
      </c>
      <c r="G67">
        <v>3.53</v>
      </c>
      <c r="H67">
        <v>1.9</v>
      </c>
      <c r="I67" t="s">
        <v>18</v>
      </c>
      <c r="J67">
        <v>1</v>
      </c>
      <c r="K67">
        <v>8</v>
      </c>
      <c r="L67">
        <v>7</v>
      </c>
      <c r="M67">
        <v>0</v>
      </c>
    </row>
    <row r="68" spans="1:13" x14ac:dyDescent="0.35">
      <c r="A68">
        <v>13</v>
      </c>
      <c r="B68" t="s">
        <v>13</v>
      </c>
      <c r="C68">
        <v>3.1</v>
      </c>
      <c r="D68" t="s">
        <v>17</v>
      </c>
      <c r="E68">
        <v>8.1999999999999993</v>
      </c>
      <c r="F68">
        <v>1.5</v>
      </c>
      <c r="G68">
        <v>2.4500000000000002</v>
      </c>
      <c r="H68">
        <v>0.3</v>
      </c>
      <c r="I68" t="s">
        <v>15</v>
      </c>
      <c r="J68">
        <v>5</v>
      </c>
      <c r="K68">
        <v>8</v>
      </c>
      <c r="L68">
        <v>6</v>
      </c>
      <c r="M68">
        <v>0</v>
      </c>
    </row>
    <row r="69" spans="1:13" x14ac:dyDescent="0.35">
      <c r="A69">
        <v>17</v>
      </c>
      <c r="B69" t="s">
        <v>13</v>
      </c>
      <c r="C69">
        <v>5.8</v>
      </c>
      <c r="D69" t="s">
        <v>20</v>
      </c>
      <c r="E69">
        <v>7.6</v>
      </c>
      <c r="F69">
        <v>0.7</v>
      </c>
      <c r="G69">
        <v>2.83</v>
      </c>
      <c r="H69">
        <v>1</v>
      </c>
      <c r="I69" t="s">
        <v>19</v>
      </c>
      <c r="J69">
        <v>7</v>
      </c>
      <c r="K69">
        <v>6</v>
      </c>
      <c r="L69">
        <v>8</v>
      </c>
      <c r="M69">
        <v>0</v>
      </c>
    </row>
    <row r="70" spans="1:13" x14ac:dyDescent="0.35">
      <c r="A70">
        <v>14</v>
      </c>
      <c r="B70" t="s">
        <v>16</v>
      </c>
      <c r="C70">
        <v>3.9</v>
      </c>
      <c r="D70" t="s">
        <v>20</v>
      </c>
      <c r="E70">
        <v>7</v>
      </c>
      <c r="F70">
        <v>2.8</v>
      </c>
      <c r="G70">
        <v>2.8</v>
      </c>
      <c r="H70">
        <v>0.1</v>
      </c>
      <c r="I70" t="s">
        <v>15</v>
      </c>
      <c r="J70">
        <v>8</v>
      </c>
      <c r="K70">
        <v>2</v>
      </c>
      <c r="L70">
        <v>8</v>
      </c>
      <c r="M70">
        <v>0</v>
      </c>
    </row>
    <row r="71" spans="1:13" x14ac:dyDescent="0.35">
      <c r="A71">
        <v>15</v>
      </c>
      <c r="B71" t="s">
        <v>13</v>
      </c>
      <c r="C71">
        <v>7.5</v>
      </c>
      <c r="D71" t="s">
        <v>20</v>
      </c>
      <c r="E71">
        <v>7</v>
      </c>
      <c r="F71">
        <v>0.9</v>
      </c>
      <c r="G71">
        <v>3.48</v>
      </c>
      <c r="H71">
        <v>1.1000000000000001</v>
      </c>
      <c r="I71" t="s">
        <v>18</v>
      </c>
      <c r="J71">
        <v>2</v>
      </c>
      <c r="K71">
        <v>2</v>
      </c>
      <c r="L71">
        <v>6</v>
      </c>
      <c r="M71">
        <v>0</v>
      </c>
    </row>
    <row r="72" spans="1:13" x14ac:dyDescent="0.35">
      <c r="A72">
        <v>14</v>
      </c>
      <c r="B72" t="s">
        <v>13</v>
      </c>
      <c r="C72">
        <v>5.2</v>
      </c>
      <c r="D72" t="s">
        <v>20</v>
      </c>
      <c r="E72">
        <v>6.7</v>
      </c>
      <c r="F72">
        <v>2</v>
      </c>
      <c r="G72">
        <v>3.48</v>
      </c>
      <c r="H72">
        <v>1</v>
      </c>
      <c r="I72" t="s">
        <v>19</v>
      </c>
      <c r="J72">
        <v>2</v>
      </c>
      <c r="K72">
        <v>1</v>
      </c>
      <c r="L72">
        <v>5</v>
      </c>
      <c r="M72">
        <v>0</v>
      </c>
    </row>
    <row r="73" spans="1:13" x14ac:dyDescent="0.35">
      <c r="A73">
        <v>16</v>
      </c>
      <c r="B73" t="s">
        <v>16</v>
      </c>
      <c r="C73">
        <v>3.1</v>
      </c>
      <c r="D73" t="s">
        <v>17</v>
      </c>
      <c r="E73">
        <v>5</v>
      </c>
      <c r="F73">
        <v>1.1000000000000001</v>
      </c>
      <c r="G73">
        <v>2.73</v>
      </c>
      <c r="H73">
        <v>1.6</v>
      </c>
      <c r="I73" t="s">
        <v>15</v>
      </c>
      <c r="J73">
        <v>2</v>
      </c>
      <c r="K73">
        <v>8</v>
      </c>
      <c r="L73">
        <v>1</v>
      </c>
      <c r="M73">
        <v>0</v>
      </c>
    </row>
    <row r="74" spans="1:13" x14ac:dyDescent="0.35">
      <c r="A74">
        <v>16</v>
      </c>
      <c r="B74" t="s">
        <v>16</v>
      </c>
      <c r="C74">
        <v>2</v>
      </c>
      <c r="D74" t="s">
        <v>14</v>
      </c>
      <c r="E74">
        <v>8.6999999999999993</v>
      </c>
      <c r="F74">
        <v>1.2</v>
      </c>
      <c r="G74">
        <v>3</v>
      </c>
      <c r="H74">
        <v>0</v>
      </c>
      <c r="I74" t="s">
        <v>15</v>
      </c>
      <c r="J74">
        <v>8</v>
      </c>
      <c r="K74">
        <v>8</v>
      </c>
      <c r="L74">
        <v>4</v>
      </c>
      <c r="M74">
        <v>0</v>
      </c>
    </row>
    <row r="75" spans="1:13" x14ac:dyDescent="0.35">
      <c r="A75">
        <v>14</v>
      </c>
      <c r="B75" t="s">
        <v>13</v>
      </c>
      <c r="C75">
        <v>2.7</v>
      </c>
      <c r="D75" t="s">
        <v>14</v>
      </c>
      <c r="E75">
        <v>8.4</v>
      </c>
      <c r="F75">
        <v>1.3</v>
      </c>
      <c r="G75">
        <v>2.0099999999999998</v>
      </c>
      <c r="H75">
        <v>0.6</v>
      </c>
      <c r="I75" t="s">
        <v>15</v>
      </c>
      <c r="J75">
        <v>6</v>
      </c>
      <c r="K75">
        <v>3</v>
      </c>
      <c r="L75">
        <v>8</v>
      </c>
      <c r="M75">
        <v>0</v>
      </c>
    </row>
    <row r="76" spans="1:13" x14ac:dyDescent="0.35">
      <c r="A76">
        <v>14</v>
      </c>
      <c r="B76" t="s">
        <v>13</v>
      </c>
      <c r="C76">
        <v>1.5</v>
      </c>
      <c r="D76" t="s">
        <v>20</v>
      </c>
      <c r="E76">
        <v>4.3</v>
      </c>
      <c r="F76">
        <v>2.1</v>
      </c>
      <c r="G76">
        <v>3.9</v>
      </c>
      <c r="H76">
        <v>1.5</v>
      </c>
      <c r="I76" t="s">
        <v>15</v>
      </c>
      <c r="J76">
        <v>10</v>
      </c>
      <c r="K76">
        <v>2</v>
      </c>
      <c r="L76">
        <v>4</v>
      </c>
      <c r="M76">
        <v>0</v>
      </c>
    </row>
    <row r="77" spans="1:13" x14ac:dyDescent="0.35">
      <c r="A77">
        <v>17</v>
      </c>
      <c r="B77" t="s">
        <v>16</v>
      </c>
      <c r="C77">
        <v>6.9</v>
      </c>
      <c r="D77" t="s">
        <v>14</v>
      </c>
      <c r="E77">
        <v>8.1999999999999993</v>
      </c>
      <c r="F77">
        <v>0.8</v>
      </c>
      <c r="G77">
        <v>2.36</v>
      </c>
      <c r="H77">
        <v>0</v>
      </c>
      <c r="I77" t="s">
        <v>19</v>
      </c>
      <c r="J77">
        <v>10</v>
      </c>
      <c r="K77">
        <v>10</v>
      </c>
      <c r="L77">
        <v>7</v>
      </c>
      <c r="M77">
        <v>0</v>
      </c>
    </row>
    <row r="78" spans="1:13" x14ac:dyDescent="0.35">
      <c r="A78">
        <v>13</v>
      </c>
      <c r="B78" t="s">
        <v>13</v>
      </c>
      <c r="C78">
        <v>1.1000000000000001</v>
      </c>
      <c r="D78" t="s">
        <v>17</v>
      </c>
      <c r="E78">
        <v>7.1</v>
      </c>
      <c r="F78">
        <v>1.8</v>
      </c>
      <c r="G78">
        <v>2.5499999999999998</v>
      </c>
      <c r="H78">
        <v>0.8</v>
      </c>
      <c r="I78" t="s">
        <v>18</v>
      </c>
      <c r="J78">
        <v>5</v>
      </c>
      <c r="K78">
        <v>5</v>
      </c>
      <c r="L78">
        <v>10</v>
      </c>
      <c r="M78">
        <v>0</v>
      </c>
    </row>
    <row r="79" spans="1:13" x14ac:dyDescent="0.35">
      <c r="A79">
        <v>13</v>
      </c>
      <c r="B79" t="s">
        <v>13</v>
      </c>
      <c r="C79">
        <v>3.4</v>
      </c>
      <c r="D79" t="s">
        <v>17</v>
      </c>
      <c r="E79">
        <v>4.4000000000000004</v>
      </c>
      <c r="F79">
        <v>0.6</v>
      </c>
      <c r="G79">
        <v>3.41</v>
      </c>
      <c r="H79">
        <v>0.2</v>
      </c>
      <c r="I79" t="s">
        <v>15</v>
      </c>
      <c r="J79">
        <v>8</v>
      </c>
      <c r="K79">
        <v>6</v>
      </c>
      <c r="L79">
        <v>3</v>
      </c>
      <c r="M79">
        <v>0</v>
      </c>
    </row>
    <row r="80" spans="1:13" x14ac:dyDescent="0.35">
      <c r="A80">
        <v>15</v>
      </c>
      <c r="B80" t="s">
        <v>13</v>
      </c>
      <c r="C80">
        <v>6.7</v>
      </c>
      <c r="D80" t="s">
        <v>20</v>
      </c>
      <c r="E80">
        <v>4.5</v>
      </c>
      <c r="F80">
        <v>2.1</v>
      </c>
      <c r="G80">
        <v>3.71</v>
      </c>
      <c r="H80">
        <v>1.3</v>
      </c>
      <c r="I80" t="s">
        <v>18</v>
      </c>
      <c r="J80">
        <v>3</v>
      </c>
      <c r="K80">
        <v>3</v>
      </c>
      <c r="L80">
        <v>3</v>
      </c>
      <c r="M80">
        <v>0</v>
      </c>
    </row>
    <row r="81" spans="1:13" x14ac:dyDescent="0.35">
      <c r="A81">
        <v>18</v>
      </c>
      <c r="B81" t="s">
        <v>13</v>
      </c>
      <c r="C81">
        <v>1.1000000000000001</v>
      </c>
      <c r="D81" t="s">
        <v>20</v>
      </c>
      <c r="E81">
        <v>7.2</v>
      </c>
      <c r="F81">
        <v>1</v>
      </c>
      <c r="G81">
        <v>3.13</v>
      </c>
      <c r="H81">
        <v>0.6</v>
      </c>
      <c r="I81" t="s">
        <v>19</v>
      </c>
      <c r="J81">
        <v>2</v>
      </c>
      <c r="K81">
        <v>1</v>
      </c>
      <c r="L81">
        <v>4</v>
      </c>
      <c r="M81">
        <v>0</v>
      </c>
    </row>
    <row r="82" spans="1:13" x14ac:dyDescent="0.35">
      <c r="A82">
        <v>18</v>
      </c>
      <c r="B82" t="s">
        <v>16</v>
      </c>
      <c r="C82">
        <v>7.4</v>
      </c>
      <c r="D82" t="s">
        <v>14</v>
      </c>
      <c r="E82">
        <v>7.5</v>
      </c>
      <c r="F82">
        <v>2.2999999999999998</v>
      </c>
      <c r="G82">
        <v>2.39</v>
      </c>
      <c r="H82">
        <v>0.9</v>
      </c>
      <c r="I82" t="s">
        <v>18</v>
      </c>
      <c r="J82">
        <v>4</v>
      </c>
      <c r="K82">
        <v>1</v>
      </c>
      <c r="L82">
        <v>4</v>
      </c>
      <c r="M82">
        <v>0</v>
      </c>
    </row>
    <row r="83" spans="1:13" x14ac:dyDescent="0.35">
      <c r="A83">
        <v>19</v>
      </c>
      <c r="B83" t="s">
        <v>16</v>
      </c>
      <c r="C83">
        <v>4.8</v>
      </c>
      <c r="D83" t="s">
        <v>17</v>
      </c>
      <c r="E83">
        <v>6</v>
      </c>
      <c r="F83">
        <v>1.5</v>
      </c>
      <c r="G83">
        <v>2.61</v>
      </c>
      <c r="H83">
        <v>1.2</v>
      </c>
      <c r="I83" t="s">
        <v>18</v>
      </c>
      <c r="J83">
        <v>2</v>
      </c>
      <c r="K83">
        <v>2</v>
      </c>
      <c r="L83">
        <v>6</v>
      </c>
      <c r="M83">
        <v>0</v>
      </c>
    </row>
    <row r="84" spans="1:13" x14ac:dyDescent="0.35">
      <c r="A84">
        <v>14</v>
      </c>
      <c r="B84" t="s">
        <v>13</v>
      </c>
      <c r="C84">
        <v>1.2</v>
      </c>
      <c r="D84" t="s">
        <v>20</v>
      </c>
      <c r="E84">
        <v>5.2</v>
      </c>
      <c r="F84">
        <v>2.2000000000000002</v>
      </c>
      <c r="G84">
        <v>2.19</v>
      </c>
      <c r="H84">
        <v>1.9</v>
      </c>
      <c r="I84" t="s">
        <v>19</v>
      </c>
      <c r="J84">
        <v>9</v>
      </c>
      <c r="K84">
        <v>9</v>
      </c>
      <c r="L84">
        <v>4</v>
      </c>
      <c r="M84">
        <v>0</v>
      </c>
    </row>
    <row r="85" spans="1:13" x14ac:dyDescent="0.35">
      <c r="A85">
        <v>13</v>
      </c>
      <c r="B85" t="s">
        <v>13</v>
      </c>
      <c r="C85">
        <v>7.4</v>
      </c>
      <c r="D85" t="s">
        <v>14</v>
      </c>
      <c r="E85">
        <v>5.6</v>
      </c>
      <c r="F85">
        <v>1.4</v>
      </c>
      <c r="G85">
        <v>2.95</v>
      </c>
      <c r="H85">
        <v>1.7</v>
      </c>
      <c r="I85" t="s">
        <v>18</v>
      </c>
      <c r="J85">
        <v>8</v>
      </c>
      <c r="K85">
        <v>5</v>
      </c>
      <c r="L85">
        <v>5</v>
      </c>
      <c r="M85">
        <v>0</v>
      </c>
    </row>
    <row r="86" spans="1:13" x14ac:dyDescent="0.35">
      <c r="A86">
        <v>16</v>
      </c>
      <c r="B86" t="s">
        <v>16</v>
      </c>
      <c r="C86">
        <v>2.6</v>
      </c>
      <c r="D86" t="s">
        <v>20</v>
      </c>
      <c r="E86">
        <v>8.6</v>
      </c>
      <c r="F86">
        <v>1.3</v>
      </c>
      <c r="G86">
        <v>3.64</v>
      </c>
      <c r="H86">
        <v>1.6</v>
      </c>
      <c r="I86" t="s">
        <v>18</v>
      </c>
      <c r="J86">
        <v>5</v>
      </c>
      <c r="K86">
        <v>3</v>
      </c>
      <c r="L86">
        <v>1</v>
      </c>
      <c r="M86">
        <v>0</v>
      </c>
    </row>
    <row r="87" spans="1:13" x14ac:dyDescent="0.35">
      <c r="A87">
        <v>17</v>
      </c>
      <c r="B87" t="s">
        <v>16</v>
      </c>
      <c r="C87">
        <v>5</v>
      </c>
      <c r="D87" t="s">
        <v>20</v>
      </c>
      <c r="E87">
        <v>9</v>
      </c>
      <c r="F87">
        <v>2.5</v>
      </c>
      <c r="G87">
        <v>3.4</v>
      </c>
      <c r="H87">
        <v>0.9</v>
      </c>
      <c r="I87" t="s">
        <v>18</v>
      </c>
      <c r="J87">
        <v>8</v>
      </c>
      <c r="K87">
        <v>10</v>
      </c>
      <c r="L87">
        <v>5</v>
      </c>
      <c r="M87">
        <v>0</v>
      </c>
    </row>
    <row r="88" spans="1:13" x14ac:dyDescent="0.35">
      <c r="A88">
        <v>18</v>
      </c>
      <c r="B88" t="s">
        <v>13</v>
      </c>
      <c r="C88">
        <v>7.5</v>
      </c>
      <c r="D88" t="s">
        <v>14</v>
      </c>
      <c r="E88">
        <v>7.4</v>
      </c>
      <c r="F88">
        <v>1.8</v>
      </c>
      <c r="G88">
        <v>3.47</v>
      </c>
      <c r="H88">
        <v>0</v>
      </c>
      <c r="I88" t="s">
        <v>15</v>
      </c>
      <c r="J88">
        <v>9</v>
      </c>
      <c r="K88">
        <v>4</v>
      </c>
      <c r="L88">
        <v>2</v>
      </c>
      <c r="M88">
        <v>0</v>
      </c>
    </row>
    <row r="89" spans="1:13" x14ac:dyDescent="0.35">
      <c r="A89">
        <v>17</v>
      </c>
      <c r="B89" t="s">
        <v>16</v>
      </c>
      <c r="C89">
        <v>5.4</v>
      </c>
      <c r="D89" t="s">
        <v>20</v>
      </c>
      <c r="E89">
        <v>5.7</v>
      </c>
      <c r="F89">
        <v>2.5</v>
      </c>
      <c r="G89">
        <v>3.13</v>
      </c>
      <c r="H89">
        <v>1.9</v>
      </c>
      <c r="I89" t="s">
        <v>19</v>
      </c>
      <c r="J89">
        <v>5</v>
      </c>
      <c r="K89">
        <v>10</v>
      </c>
      <c r="L89">
        <v>3</v>
      </c>
      <c r="M89">
        <v>0</v>
      </c>
    </row>
    <row r="90" spans="1:13" x14ac:dyDescent="0.35">
      <c r="A90">
        <v>17</v>
      </c>
      <c r="B90" t="s">
        <v>16</v>
      </c>
      <c r="C90">
        <v>5.6</v>
      </c>
      <c r="D90" t="s">
        <v>14</v>
      </c>
      <c r="E90">
        <v>5.3</v>
      </c>
      <c r="F90">
        <v>1.7</v>
      </c>
      <c r="G90">
        <v>2.77</v>
      </c>
      <c r="H90">
        <v>0.9</v>
      </c>
      <c r="I90" t="s">
        <v>19</v>
      </c>
      <c r="J90">
        <v>8</v>
      </c>
      <c r="K90">
        <v>4</v>
      </c>
      <c r="L90">
        <v>8</v>
      </c>
      <c r="M90">
        <v>0</v>
      </c>
    </row>
    <row r="91" spans="1:13" x14ac:dyDescent="0.35">
      <c r="A91">
        <v>18</v>
      </c>
      <c r="B91" t="s">
        <v>13</v>
      </c>
      <c r="C91">
        <v>6.2</v>
      </c>
      <c r="D91" t="s">
        <v>14</v>
      </c>
      <c r="E91">
        <v>4.0999999999999996</v>
      </c>
      <c r="F91">
        <v>2.8</v>
      </c>
      <c r="G91">
        <v>3.41</v>
      </c>
      <c r="H91">
        <v>1.1000000000000001</v>
      </c>
      <c r="I91" t="s">
        <v>19</v>
      </c>
      <c r="J91">
        <v>7</v>
      </c>
      <c r="K91">
        <v>8</v>
      </c>
      <c r="L91">
        <v>1</v>
      </c>
      <c r="M91">
        <v>1</v>
      </c>
    </row>
    <row r="92" spans="1:13" x14ac:dyDescent="0.35">
      <c r="A92">
        <v>17</v>
      </c>
      <c r="B92" t="s">
        <v>16</v>
      </c>
      <c r="C92">
        <v>4.7</v>
      </c>
      <c r="D92" t="s">
        <v>14</v>
      </c>
      <c r="E92">
        <v>4.7</v>
      </c>
      <c r="F92">
        <v>2.4</v>
      </c>
      <c r="G92">
        <v>3.94</v>
      </c>
      <c r="H92">
        <v>0</v>
      </c>
      <c r="I92" t="s">
        <v>19</v>
      </c>
      <c r="J92">
        <v>10</v>
      </c>
      <c r="K92">
        <v>5</v>
      </c>
      <c r="L92">
        <v>8</v>
      </c>
      <c r="M92">
        <v>0</v>
      </c>
    </row>
    <row r="93" spans="1:13" x14ac:dyDescent="0.35">
      <c r="A93">
        <v>18</v>
      </c>
      <c r="B93" t="s">
        <v>16</v>
      </c>
      <c r="C93">
        <v>4</v>
      </c>
      <c r="D93" t="s">
        <v>14</v>
      </c>
      <c r="E93">
        <v>4.5999999999999996</v>
      </c>
      <c r="F93">
        <v>2.2000000000000002</v>
      </c>
      <c r="G93">
        <v>3.7</v>
      </c>
      <c r="H93">
        <v>0.6</v>
      </c>
      <c r="I93" t="s">
        <v>19</v>
      </c>
      <c r="J93">
        <v>4</v>
      </c>
      <c r="K93">
        <v>1</v>
      </c>
      <c r="L93">
        <v>4</v>
      </c>
      <c r="M93">
        <v>0</v>
      </c>
    </row>
    <row r="94" spans="1:13" x14ac:dyDescent="0.35">
      <c r="A94">
        <v>18</v>
      </c>
      <c r="B94" t="s">
        <v>13</v>
      </c>
      <c r="C94">
        <v>6.2</v>
      </c>
      <c r="D94" t="s">
        <v>17</v>
      </c>
      <c r="E94">
        <v>8.6</v>
      </c>
      <c r="F94">
        <v>1.5</v>
      </c>
      <c r="G94">
        <v>3.22</v>
      </c>
      <c r="H94">
        <v>1.6</v>
      </c>
      <c r="I94" t="s">
        <v>15</v>
      </c>
      <c r="J94">
        <v>4</v>
      </c>
      <c r="K94">
        <v>5</v>
      </c>
      <c r="L94">
        <v>7</v>
      </c>
      <c r="M94">
        <v>0</v>
      </c>
    </row>
    <row r="95" spans="1:13" x14ac:dyDescent="0.35">
      <c r="A95">
        <v>17</v>
      </c>
      <c r="B95" t="s">
        <v>16</v>
      </c>
      <c r="C95">
        <v>5.6</v>
      </c>
      <c r="D95" t="s">
        <v>17</v>
      </c>
      <c r="E95">
        <v>6.8</v>
      </c>
      <c r="F95">
        <v>2</v>
      </c>
      <c r="G95">
        <v>2.2200000000000002</v>
      </c>
      <c r="H95">
        <v>1</v>
      </c>
      <c r="I95" t="s">
        <v>19</v>
      </c>
      <c r="J95">
        <v>6</v>
      </c>
      <c r="K95">
        <v>9</v>
      </c>
      <c r="L95">
        <v>8</v>
      </c>
      <c r="M95">
        <v>0</v>
      </c>
    </row>
    <row r="96" spans="1:13" x14ac:dyDescent="0.35">
      <c r="A96">
        <v>13</v>
      </c>
      <c r="B96" t="s">
        <v>16</v>
      </c>
      <c r="C96">
        <v>4</v>
      </c>
      <c r="D96" t="s">
        <v>14</v>
      </c>
      <c r="E96">
        <v>4.4000000000000004</v>
      </c>
      <c r="F96">
        <v>2.5</v>
      </c>
      <c r="G96">
        <v>3.6</v>
      </c>
      <c r="H96">
        <v>1.4</v>
      </c>
      <c r="I96" t="s">
        <v>19</v>
      </c>
      <c r="J96">
        <v>7</v>
      </c>
      <c r="K96">
        <v>2</v>
      </c>
      <c r="L96">
        <v>10</v>
      </c>
      <c r="M96">
        <v>0</v>
      </c>
    </row>
    <row r="97" spans="1:13" x14ac:dyDescent="0.35">
      <c r="A97">
        <v>15</v>
      </c>
      <c r="B97" t="s">
        <v>16</v>
      </c>
      <c r="C97">
        <v>1.8</v>
      </c>
      <c r="D97" t="s">
        <v>14</v>
      </c>
      <c r="E97">
        <v>6.4</v>
      </c>
      <c r="F97">
        <v>2.4</v>
      </c>
      <c r="G97">
        <v>2.16</v>
      </c>
      <c r="H97">
        <v>1.9</v>
      </c>
      <c r="I97" t="s">
        <v>19</v>
      </c>
      <c r="J97">
        <v>3</v>
      </c>
      <c r="K97">
        <v>6</v>
      </c>
      <c r="L97">
        <v>9</v>
      </c>
      <c r="M97">
        <v>0</v>
      </c>
    </row>
    <row r="98" spans="1:13" x14ac:dyDescent="0.35">
      <c r="A98">
        <v>13</v>
      </c>
      <c r="B98" t="s">
        <v>13</v>
      </c>
      <c r="C98">
        <v>3.1</v>
      </c>
      <c r="D98" t="s">
        <v>17</v>
      </c>
      <c r="E98">
        <v>5.4</v>
      </c>
      <c r="F98">
        <v>1.9</v>
      </c>
      <c r="G98">
        <v>3.66</v>
      </c>
      <c r="H98">
        <v>0.4</v>
      </c>
      <c r="I98" t="s">
        <v>15</v>
      </c>
      <c r="J98">
        <v>7</v>
      </c>
      <c r="K98">
        <v>4</v>
      </c>
      <c r="L98">
        <v>2</v>
      </c>
      <c r="M98">
        <v>0</v>
      </c>
    </row>
    <row r="99" spans="1:13" x14ac:dyDescent="0.35">
      <c r="A99">
        <v>13</v>
      </c>
      <c r="B99" t="s">
        <v>16</v>
      </c>
      <c r="C99">
        <v>3.5</v>
      </c>
      <c r="D99" t="s">
        <v>17</v>
      </c>
      <c r="E99">
        <v>5.2</v>
      </c>
      <c r="F99">
        <v>2.5</v>
      </c>
      <c r="G99">
        <v>2.57</v>
      </c>
      <c r="H99">
        <v>1.1000000000000001</v>
      </c>
      <c r="I99" t="s">
        <v>18</v>
      </c>
      <c r="J99">
        <v>1</v>
      </c>
      <c r="K99">
        <v>6</v>
      </c>
      <c r="L99">
        <v>3</v>
      </c>
      <c r="M99">
        <v>0</v>
      </c>
    </row>
    <row r="100" spans="1:13" x14ac:dyDescent="0.35">
      <c r="A100">
        <v>18</v>
      </c>
      <c r="B100" t="s">
        <v>13</v>
      </c>
      <c r="C100">
        <v>7.4</v>
      </c>
      <c r="D100" t="s">
        <v>17</v>
      </c>
      <c r="E100">
        <v>6.4</v>
      </c>
      <c r="F100">
        <v>2.2000000000000002</v>
      </c>
      <c r="G100">
        <v>3.51</v>
      </c>
      <c r="H100">
        <v>1</v>
      </c>
      <c r="I100" t="s">
        <v>18</v>
      </c>
      <c r="J100">
        <v>4</v>
      </c>
      <c r="K100">
        <v>5</v>
      </c>
      <c r="L100">
        <v>4</v>
      </c>
      <c r="M100">
        <v>0</v>
      </c>
    </row>
    <row r="101" spans="1:13" x14ac:dyDescent="0.35">
      <c r="A101">
        <v>16</v>
      </c>
      <c r="B101" t="s">
        <v>13</v>
      </c>
      <c r="C101">
        <v>8</v>
      </c>
      <c r="D101" t="s">
        <v>14</v>
      </c>
      <c r="E101">
        <v>5.5</v>
      </c>
      <c r="F101">
        <v>1.4</v>
      </c>
      <c r="G101">
        <v>2.95</v>
      </c>
      <c r="H101">
        <v>0.3</v>
      </c>
      <c r="I101" t="s">
        <v>19</v>
      </c>
      <c r="J101">
        <v>2</v>
      </c>
      <c r="K101">
        <v>5</v>
      </c>
      <c r="L101">
        <v>2</v>
      </c>
      <c r="M101">
        <v>0</v>
      </c>
    </row>
    <row r="102" spans="1:13" x14ac:dyDescent="0.35">
      <c r="A102">
        <v>13</v>
      </c>
      <c r="B102" t="s">
        <v>13</v>
      </c>
      <c r="C102">
        <v>5.0999999999999996</v>
      </c>
      <c r="D102" t="s">
        <v>20</v>
      </c>
      <c r="E102">
        <v>4.0999999999999996</v>
      </c>
      <c r="F102">
        <v>1.6</v>
      </c>
      <c r="G102">
        <v>3.32</v>
      </c>
      <c r="H102">
        <v>0.8</v>
      </c>
      <c r="I102" t="s">
        <v>19</v>
      </c>
      <c r="J102">
        <v>1</v>
      </c>
      <c r="K102">
        <v>3</v>
      </c>
      <c r="L102">
        <v>8</v>
      </c>
      <c r="M102">
        <v>0</v>
      </c>
    </row>
    <row r="103" spans="1:13" x14ac:dyDescent="0.35">
      <c r="A103">
        <v>18</v>
      </c>
      <c r="B103" t="s">
        <v>16</v>
      </c>
      <c r="C103">
        <v>2.4</v>
      </c>
      <c r="D103" t="s">
        <v>14</v>
      </c>
      <c r="E103">
        <v>6.3</v>
      </c>
      <c r="F103">
        <v>1.3</v>
      </c>
      <c r="G103">
        <v>3.05</v>
      </c>
      <c r="H103">
        <v>1.7</v>
      </c>
      <c r="I103" t="s">
        <v>15</v>
      </c>
      <c r="J103">
        <v>2</v>
      </c>
      <c r="K103">
        <v>9</v>
      </c>
      <c r="L103">
        <v>5</v>
      </c>
      <c r="M103">
        <v>0</v>
      </c>
    </row>
    <row r="104" spans="1:13" x14ac:dyDescent="0.35">
      <c r="A104">
        <v>13</v>
      </c>
      <c r="B104" t="s">
        <v>13</v>
      </c>
      <c r="C104">
        <v>1.6</v>
      </c>
      <c r="D104" t="s">
        <v>14</v>
      </c>
      <c r="E104">
        <v>4.2</v>
      </c>
      <c r="F104">
        <v>1.5</v>
      </c>
      <c r="G104">
        <v>3.72</v>
      </c>
      <c r="H104">
        <v>1.7</v>
      </c>
      <c r="I104" t="s">
        <v>19</v>
      </c>
      <c r="J104">
        <v>10</v>
      </c>
      <c r="K104">
        <v>1</v>
      </c>
      <c r="L104">
        <v>10</v>
      </c>
      <c r="M104">
        <v>0</v>
      </c>
    </row>
    <row r="105" spans="1:13" x14ac:dyDescent="0.35">
      <c r="A105">
        <v>18</v>
      </c>
      <c r="B105" t="s">
        <v>13</v>
      </c>
      <c r="C105">
        <v>5.8</v>
      </c>
      <c r="D105" t="s">
        <v>14</v>
      </c>
      <c r="E105">
        <v>6.7</v>
      </c>
      <c r="F105">
        <v>1.9</v>
      </c>
      <c r="G105">
        <v>3</v>
      </c>
      <c r="H105">
        <v>1.9</v>
      </c>
      <c r="I105" t="s">
        <v>15</v>
      </c>
      <c r="J105">
        <v>5</v>
      </c>
      <c r="K105">
        <v>8</v>
      </c>
      <c r="L105">
        <v>2</v>
      </c>
      <c r="M105">
        <v>0</v>
      </c>
    </row>
    <row r="106" spans="1:13" x14ac:dyDescent="0.35">
      <c r="A106">
        <v>15</v>
      </c>
      <c r="B106" t="s">
        <v>13</v>
      </c>
      <c r="C106">
        <v>2.7</v>
      </c>
      <c r="D106" t="s">
        <v>17</v>
      </c>
      <c r="E106">
        <v>6.6</v>
      </c>
      <c r="F106">
        <v>1.9</v>
      </c>
      <c r="G106">
        <v>2.75</v>
      </c>
      <c r="H106">
        <v>1.9</v>
      </c>
      <c r="I106" t="s">
        <v>19</v>
      </c>
      <c r="J106">
        <v>3</v>
      </c>
      <c r="K106">
        <v>6</v>
      </c>
      <c r="L106">
        <v>6</v>
      </c>
      <c r="M106">
        <v>0</v>
      </c>
    </row>
    <row r="107" spans="1:13" x14ac:dyDescent="0.35">
      <c r="A107">
        <v>13</v>
      </c>
      <c r="B107" t="s">
        <v>16</v>
      </c>
      <c r="C107">
        <v>4</v>
      </c>
      <c r="D107" t="s">
        <v>20</v>
      </c>
      <c r="E107">
        <v>4.5</v>
      </c>
      <c r="F107">
        <v>1</v>
      </c>
      <c r="G107">
        <v>3.65</v>
      </c>
      <c r="H107">
        <v>1.8</v>
      </c>
      <c r="I107" t="s">
        <v>15</v>
      </c>
      <c r="J107">
        <v>5</v>
      </c>
      <c r="K107">
        <v>6</v>
      </c>
      <c r="L107">
        <v>5</v>
      </c>
      <c r="M107">
        <v>0</v>
      </c>
    </row>
    <row r="108" spans="1:13" x14ac:dyDescent="0.35">
      <c r="A108">
        <v>18</v>
      </c>
      <c r="B108" t="s">
        <v>13</v>
      </c>
      <c r="C108">
        <v>3.2</v>
      </c>
      <c r="D108" t="s">
        <v>20</v>
      </c>
      <c r="E108">
        <v>8.8000000000000007</v>
      </c>
      <c r="F108">
        <v>1.2</v>
      </c>
      <c r="G108">
        <v>3.71</v>
      </c>
      <c r="H108">
        <v>1.1000000000000001</v>
      </c>
      <c r="I108" t="s">
        <v>19</v>
      </c>
      <c r="J108">
        <v>7</v>
      </c>
      <c r="K108">
        <v>6</v>
      </c>
      <c r="L108">
        <v>10</v>
      </c>
      <c r="M108">
        <v>0</v>
      </c>
    </row>
    <row r="109" spans="1:13" x14ac:dyDescent="0.35">
      <c r="A109">
        <v>13</v>
      </c>
      <c r="B109" t="s">
        <v>13</v>
      </c>
      <c r="C109">
        <v>1.6</v>
      </c>
      <c r="D109" t="s">
        <v>17</v>
      </c>
      <c r="E109">
        <v>4.3</v>
      </c>
      <c r="F109">
        <v>0.6</v>
      </c>
      <c r="G109">
        <v>3.91</v>
      </c>
      <c r="H109">
        <v>2</v>
      </c>
      <c r="I109" t="s">
        <v>19</v>
      </c>
      <c r="J109">
        <v>5</v>
      </c>
      <c r="K109">
        <v>10</v>
      </c>
      <c r="L109">
        <v>7</v>
      </c>
      <c r="M109">
        <v>0</v>
      </c>
    </row>
    <row r="110" spans="1:13" x14ac:dyDescent="0.35">
      <c r="A110">
        <v>14</v>
      </c>
      <c r="B110" t="s">
        <v>13</v>
      </c>
      <c r="C110">
        <v>2.2999999999999998</v>
      </c>
      <c r="D110" t="s">
        <v>17</v>
      </c>
      <c r="E110">
        <v>8</v>
      </c>
      <c r="F110">
        <v>2.5</v>
      </c>
      <c r="G110">
        <v>3.08</v>
      </c>
      <c r="H110">
        <v>1.7</v>
      </c>
      <c r="I110" t="s">
        <v>19</v>
      </c>
      <c r="J110">
        <v>5</v>
      </c>
      <c r="K110">
        <v>6</v>
      </c>
      <c r="L110">
        <v>7</v>
      </c>
      <c r="M110">
        <v>0</v>
      </c>
    </row>
    <row r="111" spans="1:13" x14ac:dyDescent="0.35">
      <c r="A111">
        <v>17</v>
      </c>
      <c r="B111" t="s">
        <v>13</v>
      </c>
      <c r="C111">
        <v>7.7</v>
      </c>
      <c r="D111" t="s">
        <v>17</v>
      </c>
      <c r="E111">
        <v>8.5</v>
      </c>
      <c r="F111">
        <v>1.2</v>
      </c>
      <c r="G111">
        <v>3.56</v>
      </c>
      <c r="H111">
        <v>0</v>
      </c>
      <c r="I111" t="s">
        <v>19</v>
      </c>
      <c r="J111">
        <v>7</v>
      </c>
      <c r="K111">
        <v>10</v>
      </c>
      <c r="L111">
        <v>7</v>
      </c>
      <c r="M111">
        <v>0</v>
      </c>
    </row>
    <row r="112" spans="1:13" x14ac:dyDescent="0.35">
      <c r="A112">
        <v>16</v>
      </c>
      <c r="B112" t="s">
        <v>13</v>
      </c>
      <c r="C112">
        <v>4.8</v>
      </c>
      <c r="D112" t="s">
        <v>20</v>
      </c>
      <c r="E112">
        <v>7.1</v>
      </c>
      <c r="F112">
        <v>0.6</v>
      </c>
      <c r="G112">
        <v>3.36</v>
      </c>
      <c r="H112">
        <v>0.7</v>
      </c>
      <c r="I112" t="s">
        <v>18</v>
      </c>
      <c r="J112">
        <v>7</v>
      </c>
      <c r="K112">
        <v>6</v>
      </c>
      <c r="L112">
        <v>9</v>
      </c>
      <c r="M112">
        <v>0</v>
      </c>
    </row>
    <row r="113" spans="1:13" x14ac:dyDescent="0.35">
      <c r="A113">
        <v>17</v>
      </c>
      <c r="B113" t="s">
        <v>16</v>
      </c>
      <c r="C113">
        <v>5.2</v>
      </c>
      <c r="D113" t="s">
        <v>20</v>
      </c>
      <c r="E113">
        <v>6</v>
      </c>
      <c r="F113">
        <v>0.6</v>
      </c>
      <c r="G113">
        <v>3.07</v>
      </c>
      <c r="H113">
        <v>0.6</v>
      </c>
      <c r="I113" t="s">
        <v>19</v>
      </c>
      <c r="J113">
        <v>6</v>
      </c>
      <c r="K113">
        <v>2</v>
      </c>
      <c r="L113">
        <v>9</v>
      </c>
      <c r="M113">
        <v>0</v>
      </c>
    </row>
    <row r="114" spans="1:13" x14ac:dyDescent="0.35">
      <c r="A114">
        <v>13</v>
      </c>
      <c r="B114" t="s">
        <v>13</v>
      </c>
      <c r="C114">
        <v>5.7</v>
      </c>
      <c r="D114" t="s">
        <v>20</v>
      </c>
      <c r="E114">
        <v>6.6</v>
      </c>
      <c r="F114">
        <v>2.4</v>
      </c>
      <c r="G114">
        <v>3.99</v>
      </c>
      <c r="H114">
        <v>1.7</v>
      </c>
      <c r="I114" t="s">
        <v>18</v>
      </c>
      <c r="J114">
        <v>1</v>
      </c>
      <c r="K114">
        <v>3</v>
      </c>
      <c r="L114">
        <v>1</v>
      </c>
      <c r="M114">
        <v>0</v>
      </c>
    </row>
    <row r="115" spans="1:13" x14ac:dyDescent="0.35">
      <c r="A115">
        <v>15</v>
      </c>
      <c r="B115" t="s">
        <v>13</v>
      </c>
      <c r="C115">
        <v>4.5999999999999996</v>
      </c>
      <c r="D115" t="s">
        <v>17</v>
      </c>
      <c r="E115">
        <v>5.2</v>
      </c>
      <c r="F115">
        <v>1.4</v>
      </c>
      <c r="G115">
        <v>2.98</v>
      </c>
      <c r="H115">
        <v>1.9</v>
      </c>
      <c r="I115" t="s">
        <v>15</v>
      </c>
      <c r="J115">
        <v>1</v>
      </c>
      <c r="K115">
        <v>4</v>
      </c>
      <c r="L115">
        <v>5</v>
      </c>
      <c r="M115">
        <v>0</v>
      </c>
    </row>
    <row r="116" spans="1:13" x14ac:dyDescent="0.35">
      <c r="A116">
        <v>13</v>
      </c>
      <c r="B116" t="s">
        <v>13</v>
      </c>
      <c r="C116">
        <v>4.3</v>
      </c>
      <c r="D116" t="s">
        <v>17</v>
      </c>
      <c r="E116">
        <v>7.5</v>
      </c>
      <c r="F116">
        <v>2.7</v>
      </c>
      <c r="G116">
        <v>2.29</v>
      </c>
      <c r="H116">
        <v>0.8</v>
      </c>
      <c r="I116" t="s">
        <v>18</v>
      </c>
      <c r="J116">
        <v>1</v>
      </c>
      <c r="K116">
        <v>10</v>
      </c>
      <c r="L116">
        <v>1</v>
      </c>
      <c r="M116">
        <v>0</v>
      </c>
    </row>
    <row r="117" spans="1:13" x14ac:dyDescent="0.35">
      <c r="A117">
        <v>17</v>
      </c>
      <c r="B117" t="s">
        <v>16</v>
      </c>
      <c r="C117">
        <v>4.0999999999999996</v>
      </c>
      <c r="D117" t="s">
        <v>14</v>
      </c>
      <c r="E117">
        <v>8.6</v>
      </c>
      <c r="F117">
        <v>3</v>
      </c>
      <c r="G117">
        <v>2.77</v>
      </c>
      <c r="H117">
        <v>0.1</v>
      </c>
      <c r="I117" t="s">
        <v>19</v>
      </c>
      <c r="J117">
        <v>3</v>
      </c>
      <c r="K117">
        <v>6</v>
      </c>
      <c r="L117">
        <v>1</v>
      </c>
      <c r="M117">
        <v>0</v>
      </c>
    </row>
    <row r="118" spans="1:13" x14ac:dyDescent="0.35">
      <c r="A118">
        <v>15</v>
      </c>
      <c r="B118" t="s">
        <v>13</v>
      </c>
      <c r="C118">
        <v>6.5</v>
      </c>
      <c r="D118" t="s">
        <v>20</v>
      </c>
      <c r="E118">
        <v>8.1</v>
      </c>
      <c r="F118">
        <v>2</v>
      </c>
      <c r="G118">
        <v>3.89</v>
      </c>
      <c r="H118">
        <v>1.3</v>
      </c>
      <c r="I118" t="s">
        <v>18</v>
      </c>
      <c r="J118">
        <v>8</v>
      </c>
      <c r="K118">
        <v>2</v>
      </c>
      <c r="L118">
        <v>2</v>
      </c>
      <c r="M118">
        <v>0</v>
      </c>
    </row>
    <row r="119" spans="1:13" x14ac:dyDescent="0.35">
      <c r="A119">
        <v>19</v>
      </c>
      <c r="B119" t="s">
        <v>16</v>
      </c>
      <c r="C119">
        <v>7.8</v>
      </c>
      <c r="D119" t="s">
        <v>20</v>
      </c>
      <c r="E119">
        <v>8.8000000000000007</v>
      </c>
      <c r="F119">
        <v>2.1</v>
      </c>
      <c r="G119">
        <v>3.75</v>
      </c>
      <c r="H119">
        <v>1.3</v>
      </c>
      <c r="I119" t="s">
        <v>18</v>
      </c>
      <c r="J119">
        <v>10</v>
      </c>
      <c r="K119">
        <v>9</v>
      </c>
      <c r="L119">
        <v>6</v>
      </c>
      <c r="M119">
        <v>0</v>
      </c>
    </row>
    <row r="120" spans="1:13" x14ac:dyDescent="0.35">
      <c r="A120">
        <v>17</v>
      </c>
      <c r="B120" t="s">
        <v>13</v>
      </c>
      <c r="C120">
        <v>6.5</v>
      </c>
      <c r="D120" t="s">
        <v>14</v>
      </c>
      <c r="E120">
        <v>4.0999999999999996</v>
      </c>
      <c r="F120">
        <v>2.7</v>
      </c>
      <c r="G120">
        <v>3.66</v>
      </c>
      <c r="H120">
        <v>1.1000000000000001</v>
      </c>
      <c r="I120" t="s">
        <v>19</v>
      </c>
      <c r="J120">
        <v>6</v>
      </c>
      <c r="K120">
        <v>10</v>
      </c>
      <c r="L120">
        <v>10</v>
      </c>
      <c r="M120">
        <v>0</v>
      </c>
    </row>
    <row r="121" spans="1:13" x14ac:dyDescent="0.35">
      <c r="A121">
        <v>17</v>
      </c>
      <c r="B121" t="s">
        <v>16</v>
      </c>
      <c r="C121">
        <v>3.2</v>
      </c>
      <c r="D121" t="s">
        <v>17</v>
      </c>
      <c r="E121">
        <v>4.2</v>
      </c>
      <c r="F121">
        <v>0.6</v>
      </c>
      <c r="G121">
        <v>2.21</v>
      </c>
      <c r="H121">
        <v>1.4</v>
      </c>
      <c r="I121" t="s">
        <v>19</v>
      </c>
      <c r="J121">
        <v>6</v>
      </c>
      <c r="K121">
        <v>6</v>
      </c>
      <c r="L121">
        <v>3</v>
      </c>
      <c r="M121">
        <v>0</v>
      </c>
    </row>
    <row r="122" spans="1:13" x14ac:dyDescent="0.35">
      <c r="A122">
        <v>13</v>
      </c>
      <c r="B122" t="s">
        <v>13</v>
      </c>
      <c r="C122">
        <v>2.4</v>
      </c>
      <c r="D122" t="s">
        <v>17</v>
      </c>
      <c r="E122">
        <v>4.0999999999999996</v>
      </c>
      <c r="F122">
        <v>0.8</v>
      </c>
      <c r="G122">
        <v>2.79</v>
      </c>
      <c r="H122">
        <v>1.1000000000000001</v>
      </c>
      <c r="I122" t="s">
        <v>19</v>
      </c>
      <c r="J122">
        <v>8</v>
      </c>
      <c r="K122">
        <v>6</v>
      </c>
      <c r="L122">
        <v>3</v>
      </c>
      <c r="M122">
        <v>0</v>
      </c>
    </row>
    <row r="123" spans="1:13" x14ac:dyDescent="0.35">
      <c r="A123">
        <v>15</v>
      </c>
      <c r="B123" t="s">
        <v>16</v>
      </c>
      <c r="C123">
        <v>4</v>
      </c>
      <c r="D123" t="s">
        <v>14</v>
      </c>
      <c r="E123">
        <v>8.1</v>
      </c>
      <c r="F123">
        <v>2.1</v>
      </c>
      <c r="G123">
        <v>2.0099999999999998</v>
      </c>
      <c r="H123">
        <v>0.4</v>
      </c>
      <c r="I123" t="s">
        <v>19</v>
      </c>
      <c r="J123">
        <v>4</v>
      </c>
      <c r="K123">
        <v>8</v>
      </c>
      <c r="L123">
        <v>8</v>
      </c>
      <c r="M123">
        <v>0</v>
      </c>
    </row>
    <row r="124" spans="1:13" x14ac:dyDescent="0.35">
      <c r="A124">
        <v>17</v>
      </c>
      <c r="B124" t="s">
        <v>16</v>
      </c>
      <c r="C124">
        <v>6</v>
      </c>
      <c r="D124" t="s">
        <v>20</v>
      </c>
      <c r="E124">
        <v>8.8000000000000007</v>
      </c>
      <c r="F124">
        <v>1.3</v>
      </c>
      <c r="G124">
        <v>4</v>
      </c>
      <c r="H124">
        <v>0.9</v>
      </c>
      <c r="I124" t="s">
        <v>19</v>
      </c>
      <c r="J124">
        <v>8</v>
      </c>
      <c r="K124">
        <v>10</v>
      </c>
      <c r="L124">
        <v>7</v>
      </c>
      <c r="M124">
        <v>0</v>
      </c>
    </row>
    <row r="125" spans="1:13" x14ac:dyDescent="0.35">
      <c r="A125">
        <v>18</v>
      </c>
      <c r="B125" t="s">
        <v>13</v>
      </c>
      <c r="C125">
        <v>1.2</v>
      </c>
      <c r="D125" t="s">
        <v>17</v>
      </c>
      <c r="E125">
        <v>8</v>
      </c>
      <c r="F125">
        <v>1.7</v>
      </c>
      <c r="G125">
        <v>3.12</v>
      </c>
      <c r="H125">
        <v>0.1</v>
      </c>
      <c r="I125" t="s">
        <v>15</v>
      </c>
      <c r="J125">
        <v>6</v>
      </c>
      <c r="K125">
        <v>4</v>
      </c>
      <c r="L125">
        <v>2</v>
      </c>
      <c r="M125">
        <v>0</v>
      </c>
    </row>
    <row r="126" spans="1:13" x14ac:dyDescent="0.35">
      <c r="A126">
        <v>16</v>
      </c>
      <c r="B126" t="s">
        <v>13</v>
      </c>
      <c r="C126">
        <v>5.7</v>
      </c>
      <c r="D126" t="s">
        <v>20</v>
      </c>
      <c r="E126">
        <v>5.8</v>
      </c>
      <c r="F126">
        <v>2.8</v>
      </c>
      <c r="G126">
        <v>2.17</v>
      </c>
      <c r="H126">
        <v>0.5</v>
      </c>
      <c r="I126" t="s">
        <v>19</v>
      </c>
      <c r="J126">
        <v>3</v>
      </c>
      <c r="K126">
        <v>9</v>
      </c>
      <c r="L126">
        <v>2</v>
      </c>
      <c r="M126">
        <v>0</v>
      </c>
    </row>
    <row r="127" spans="1:13" x14ac:dyDescent="0.35">
      <c r="A127">
        <v>19</v>
      </c>
      <c r="B127" t="s">
        <v>13</v>
      </c>
      <c r="C127">
        <v>6.5</v>
      </c>
      <c r="D127" t="s">
        <v>20</v>
      </c>
      <c r="E127">
        <v>8.1</v>
      </c>
      <c r="F127">
        <v>2.2999999999999998</v>
      </c>
      <c r="G127">
        <v>2.21</v>
      </c>
      <c r="H127">
        <v>0.4</v>
      </c>
      <c r="I127" t="s">
        <v>18</v>
      </c>
      <c r="J127">
        <v>8</v>
      </c>
      <c r="K127">
        <v>8</v>
      </c>
      <c r="L127">
        <v>6</v>
      </c>
      <c r="M127">
        <v>0</v>
      </c>
    </row>
    <row r="128" spans="1:13" x14ac:dyDescent="0.35">
      <c r="A128">
        <v>16</v>
      </c>
      <c r="B128" t="s">
        <v>13</v>
      </c>
      <c r="C128">
        <v>6.6</v>
      </c>
      <c r="D128" t="s">
        <v>14</v>
      </c>
      <c r="E128">
        <v>5.6</v>
      </c>
      <c r="F128">
        <v>0.8</v>
      </c>
      <c r="G128">
        <v>3.48</v>
      </c>
      <c r="H128">
        <v>1.7</v>
      </c>
      <c r="I128" t="s">
        <v>19</v>
      </c>
      <c r="J128">
        <v>4</v>
      </c>
      <c r="K128">
        <v>3</v>
      </c>
      <c r="L128">
        <v>4</v>
      </c>
      <c r="M128">
        <v>0</v>
      </c>
    </row>
    <row r="129" spans="1:13" x14ac:dyDescent="0.35">
      <c r="A129">
        <v>13</v>
      </c>
      <c r="B129" t="s">
        <v>13</v>
      </c>
      <c r="C129">
        <v>6</v>
      </c>
      <c r="D129" t="s">
        <v>17</v>
      </c>
      <c r="E129">
        <v>7.2</v>
      </c>
      <c r="F129">
        <v>1.5</v>
      </c>
      <c r="G129">
        <v>2.36</v>
      </c>
      <c r="H129">
        <v>0.2</v>
      </c>
      <c r="I129" t="s">
        <v>15</v>
      </c>
      <c r="J129">
        <v>1</v>
      </c>
      <c r="K129">
        <v>3</v>
      </c>
      <c r="L129">
        <v>4</v>
      </c>
      <c r="M129">
        <v>0</v>
      </c>
    </row>
    <row r="130" spans="1:13" x14ac:dyDescent="0.35">
      <c r="A130">
        <v>18</v>
      </c>
      <c r="B130" t="s">
        <v>16</v>
      </c>
      <c r="C130">
        <v>1.1000000000000001</v>
      </c>
      <c r="D130" t="s">
        <v>20</v>
      </c>
      <c r="E130">
        <v>8</v>
      </c>
      <c r="F130">
        <v>2.7</v>
      </c>
      <c r="G130">
        <v>2.04</v>
      </c>
      <c r="H130">
        <v>0.1</v>
      </c>
      <c r="I130" t="s">
        <v>15</v>
      </c>
      <c r="J130">
        <v>7</v>
      </c>
      <c r="K130">
        <v>10</v>
      </c>
      <c r="L130">
        <v>2</v>
      </c>
      <c r="M130">
        <v>0</v>
      </c>
    </row>
    <row r="131" spans="1:13" x14ac:dyDescent="0.35">
      <c r="A131">
        <v>13</v>
      </c>
      <c r="B131" t="s">
        <v>16</v>
      </c>
      <c r="C131">
        <v>3.8</v>
      </c>
      <c r="D131" t="s">
        <v>14</v>
      </c>
      <c r="E131">
        <v>7.9</v>
      </c>
      <c r="F131">
        <v>1.3</v>
      </c>
      <c r="G131">
        <v>3.97</v>
      </c>
      <c r="H131">
        <v>0.2</v>
      </c>
      <c r="I131" t="s">
        <v>19</v>
      </c>
      <c r="J131">
        <v>7</v>
      </c>
      <c r="K131">
        <v>10</v>
      </c>
      <c r="L131">
        <v>9</v>
      </c>
      <c r="M131">
        <v>0</v>
      </c>
    </row>
    <row r="132" spans="1:13" x14ac:dyDescent="0.35">
      <c r="A132">
        <v>13</v>
      </c>
      <c r="B132" t="s">
        <v>16</v>
      </c>
      <c r="C132">
        <v>4.7</v>
      </c>
      <c r="D132" t="s">
        <v>20</v>
      </c>
      <c r="E132">
        <v>6.8</v>
      </c>
      <c r="F132">
        <v>1.7</v>
      </c>
      <c r="G132">
        <v>3.27</v>
      </c>
      <c r="H132">
        <v>1.4</v>
      </c>
      <c r="I132" t="s">
        <v>15</v>
      </c>
      <c r="J132">
        <v>4</v>
      </c>
      <c r="K132">
        <v>2</v>
      </c>
      <c r="L132">
        <v>4</v>
      </c>
      <c r="M132">
        <v>0</v>
      </c>
    </row>
    <row r="133" spans="1:13" x14ac:dyDescent="0.35">
      <c r="A133">
        <v>15</v>
      </c>
      <c r="B133" t="s">
        <v>13</v>
      </c>
      <c r="C133">
        <v>7.4</v>
      </c>
      <c r="D133" t="s">
        <v>17</v>
      </c>
      <c r="E133">
        <v>6.3</v>
      </c>
      <c r="F133">
        <v>1.3</v>
      </c>
      <c r="G133">
        <v>3.47</v>
      </c>
      <c r="H133">
        <v>1.2</v>
      </c>
      <c r="I133" t="s">
        <v>19</v>
      </c>
      <c r="J133">
        <v>1</v>
      </c>
      <c r="K133">
        <v>3</v>
      </c>
      <c r="L133">
        <v>9</v>
      </c>
      <c r="M133">
        <v>0</v>
      </c>
    </row>
    <row r="134" spans="1:13" x14ac:dyDescent="0.35">
      <c r="A134">
        <v>17</v>
      </c>
      <c r="B134" t="s">
        <v>13</v>
      </c>
      <c r="C134">
        <v>3.9</v>
      </c>
      <c r="D134" t="s">
        <v>14</v>
      </c>
      <c r="E134">
        <v>7.1</v>
      </c>
      <c r="F134">
        <v>2.4</v>
      </c>
      <c r="G134">
        <v>3.82</v>
      </c>
      <c r="H134">
        <v>0.8</v>
      </c>
      <c r="I134" t="s">
        <v>18</v>
      </c>
      <c r="J134">
        <v>3</v>
      </c>
      <c r="K134">
        <v>6</v>
      </c>
      <c r="L134">
        <v>10</v>
      </c>
      <c r="M134">
        <v>0</v>
      </c>
    </row>
    <row r="135" spans="1:13" x14ac:dyDescent="0.35">
      <c r="A135">
        <v>18</v>
      </c>
      <c r="B135" t="s">
        <v>13</v>
      </c>
      <c r="C135">
        <v>3.1</v>
      </c>
      <c r="D135" t="s">
        <v>14</v>
      </c>
      <c r="E135">
        <v>5.7</v>
      </c>
      <c r="F135">
        <v>2.9</v>
      </c>
      <c r="G135">
        <v>3.1</v>
      </c>
      <c r="H135">
        <v>0.6</v>
      </c>
      <c r="I135" t="s">
        <v>19</v>
      </c>
      <c r="J135">
        <v>9</v>
      </c>
      <c r="K135">
        <v>4</v>
      </c>
      <c r="L135">
        <v>2</v>
      </c>
      <c r="M135">
        <v>0</v>
      </c>
    </row>
    <row r="136" spans="1:13" x14ac:dyDescent="0.35">
      <c r="A136">
        <v>16</v>
      </c>
      <c r="B136" t="s">
        <v>16</v>
      </c>
      <c r="C136">
        <v>2.6</v>
      </c>
      <c r="D136" t="s">
        <v>17</v>
      </c>
      <c r="E136">
        <v>8.8000000000000007</v>
      </c>
      <c r="F136">
        <v>1.7</v>
      </c>
      <c r="G136">
        <v>2.39</v>
      </c>
      <c r="H136">
        <v>1</v>
      </c>
      <c r="I136" t="s">
        <v>19</v>
      </c>
      <c r="J136">
        <v>5</v>
      </c>
      <c r="K136">
        <v>2</v>
      </c>
      <c r="L136">
        <v>6</v>
      </c>
      <c r="M136">
        <v>0</v>
      </c>
    </row>
    <row r="137" spans="1:13" x14ac:dyDescent="0.35">
      <c r="A137">
        <v>13</v>
      </c>
      <c r="B137" t="s">
        <v>13</v>
      </c>
      <c r="C137">
        <v>5</v>
      </c>
      <c r="D137" t="s">
        <v>17</v>
      </c>
      <c r="E137">
        <v>6.9</v>
      </c>
      <c r="F137">
        <v>0.6</v>
      </c>
      <c r="G137">
        <v>3.03</v>
      </c>
      <c r="H137">
        <v>0.8</v>
      </c>
      <c r="I137" t="s">
        <v>15</v>
      </c>
      <c r="J137">
        <v>9</v>
      </c>
      <c r="K137">
        <v>3</v>
      </c>
      <c r="L137">
        <v>8</v>
      </c>
      <c r="M137">
        <v>0</v>
      </c>
    </row>
    <row r="138" spans="1:13" x14ac:dyDescent="0.35">
      <c r="A138">
        <v>18</v>
      </c>
      <c r="B138" t="s">
        <v>13</v>
      </c>
      <c r="C138">
        <v>4.5</v>
      </c>
      <c r="D138" t="s">
        <v>14</v>
      </c>
      <c r="E138">
        <v>8.1</v>
      </c>
      <c r="F138">
        <v>1.6</v>
      </c>
      <c r="G138">
        <v>3.72</v>
      </c>
      <c r="H138">
        <v>1.2</v>
      </c>
      <c r="I138" t="s">
        <v>15</v>
      </c>
      <c r="J138">
        <v>1</v>
      </c>
      <c r="K138">
        <v>2</v>
      </c>
      <c r="L138">
        <v>1</v>
      </c>
      <c r="M138">
        <v>0</v>
      </c>
    </row>
    <row r="139" spans="1:13" x14ac:dyDescent="0.35">
      <c r="A139">
        <v>17</v>
      </c>
      <c r="B139" t="s">
        <v>13</v>
      </c>
      <c r="C139">
        <v>2.1</v>
      </c>
      <c r="D139" t="s">
        <v>17</v>
      </c>
      <c r="E139">
        <v>4.7</v>
      </c>
      <c r="F139">
        <v>2</v>
      </c>
      <c r="G139">
        <v>2.99</v>
      </c>
      <c r="H139">
        <v>1.9</v>
      </c>
      <c r="I139" t="s">
        <v>15</v>
      </c>
      <c r="J139">
        <v>5</v>
      </c>
      <c r="K139">
        <v>1</v>
      </c>
      <c r="L139">
        <v>8</v>
      </c>
      <c r="M139">
        <v>0</v>
      </c>
    </row>
    <row r="140" spans="1:13" x14ac:dyDescent="0.35">
      <c r="A140">
        <v>14</v>
      </c>
      <c r="B140" t="s">
        <v>16</v>
      </c>
      <c r="C140">
        <v>6.4</v>
      </c>
      <c r="D140" t="s">
        <v>14</v>
      </c>
      <c r="E140">
        <v>6</v>
      </c>
      <c r="F140">
        <v>1.1000000000000001</v>
      </c>
      <c r="G140">
        <v>3.81</v>
      </c>
      <c r="H140">
        <v>0.9</v>
      </c>
      <c r="I140" t="s">
        <v>19</v>
      </c>
      <c r="J140">
        <v>8</v>
      </c>
      <c r="K140">
        <v>2</v>
      </c>
      <c r="L140">
        <v>3</v>
      </c>
      <c r="M140">
        <v>0</v>
      </c>
    </row>
    <row r="141" spans="1:13" x14ac:dyDescent="0.35">
      <c r="A141">
        <v>15</v>
      </c>
      <c r="B141" t="s">
        <v>16</v>
      </c>
      <c r="C141">
        <v>2.2999999999999998</v>
      </c>
      <c r="D141" t="s">
        <v>17</v>
      </c>
      <c r="E141">
        <v>6.5</v>
      </c>
      <c r="F141">
        <v>2.6</v>
      </c>
      <c r="G141">
        <v>3.18</v>
      </c>
      <c r="H141">
        <v>0.1</v>
      </c>
      <c r="I141" t="s">
        <v>15</v>
      </c>
      <c r="J141">
        <v>1</v>
      </c>
      <c r="K141">
        <v>8</v>
      </c>
      <c r="L141">
        <v>4</v>
      </c>
      <c r="M141">
        <v>0</v>
      </c>
    </row>
    <row r="142" spans="1:13" x14ac:dyDescent="0.35">
      <c r="A142">
        <v>13</v>
      </c>
      <c r="B142" t="s">
        <v>16</v>
      </c>
      <c r="C142">
        <v>4.4000000000000004</v>
      </c>
      <c r="D142" t="s">
        <v>17</v>
      </c>
      <c r="E142">
        <v>8.8000000000000007</v>
      </c>
      <c r="F142">
        <v>1.3</v>
      </c>
      <c r="G142">
        <v>2.69</v>
      </c>
      <c r="H142">
        <v>0.4</v>
      </c>
      <c r="I142" t="s">
        <v>15</v>
      </c>
      <c r="J142">
        <v>3</v>
      </c>
      <c r="K142">
        <v>1</v>
      </c>
      <c r="L142">
        <v>7</v>
      </c>
      <c r="M142">
        <v>0</v>
      </c>
    </row>
    <row r="143" spans="1:13" x14ac:dyDescent="0.35">
      <c r="A143">
        <v>19</v>
      </c>
      <c r="B143" t="s">
        <v>13</v>
      </c>
      <c r="C143">
        <v>2.2999999999999998</v>
      </c>
      <c r="D143" t="s">
        <v>14</v>
      </c>
      <c r="E143">
        <v>6.9</v>
      </c>
      <c r="F143">
        <v>2.2999999999999998</v>
      </c>
      <c r="G143">
        <v>2.17</v>
      </c>
      <c r="H143">
        <v>1.6</v>
      </c>
      <c r="I143" t="s">
        <v>19</v>
      </c>
      <c r="J143">
        <v>3</v>
      </c>
      <c r="K143">
        <v>6</v>
      </c>
      <c r="L143">
        <v>10</v>
      </c>
      <c r="M143">
        <v>0</v>
      </c>
    </row>
    <row r="144" spans="1:13" x14ac:dyDescent="0.35">
      <c r="A144">
        <v>13</v>
      </c>
      <c r="B144" t="s">
        <v>13</v>
      </c>
      <c r="C144">
        <v>4.3</v>
      </c>
      <c r="D144" t="s">
        <v>14</v>
      </c>
      <c r="E144">
        <v>4.4000000000000004</v>
      </c>
      <c r="F144">
        <v>0.7</v>
      </c>
      <c r="G144">
        <v>3.19</v>
      </c>
      <c r="H144">
        <v>0.3</v>
      </c>
      <c r="I144" t="s">
        <v>15</v>
      </c>
      <c r="J144">
        <v>6</v>
      </c>
      <c r="K144">
        <v>2</v>
      </c>
      <c r="L144">
        <v>6</v>
      </c>
      <c r="M144">
        <v>0</v>
      </c>
    </row>
    <row r="145" spans="1:13" x14ac:dyDescent="0.35">
      <c r="A145">
        <v>18</v>
      </c>
      <c r="B145" t="s">
        <v>16</v>
      </c>
      <c r="C145">
        <v>3.9</v>
      </c>
      <c r="D145" t="s">
        <v>17</v>
      </c>
      <c r="E145">
        <v>5.2</v>
      </c>
      <c r="F145">
        <v>1.8</v>
      </c>
      <c r="G145">
        <v>2.41</v>
      </c>
      <c r="H145">
        <v>0.6</v>
      </c>
      <c r="I145" t="s">
        <v>18</v>
      </c>
      <c r="J145">
        <v>9</v>
      </c>
      <c r="K145">
        <v>5</v>
      </c>
      <c r="L145">
        <v>5</v>
      </c>
      <c r="M145">
        <v>0</v>
      </c>
    </row>
    <row r="146" spans="1:13" x14ac:dyDescent="0.35">
      <c r="A146">
        <v>18</v>
      </c>
      <c r="B146" t="s">
        <v>13</v>
      </c>
      <c r="C146">
        <v>2.9</v>
      </c>
      <c r="D146" t="s">
        <v>17</v>
      </c>
      <c r="E146">
        <v>7.5</v>
      </c>
      <c r="F146">
        <v>0.9</v>
      </c>
      <c r="G146">
        <v>2.62</v>
      </c>
      <c r="H146">
        <v>2</v>
      </c>
      <c r="I146" t="s">
        <v>18</v>
      </c>
      <c r="J146">
        <v>3</v>
      </c>
      <c r="K146">
        <v>1</v>
      </c>
      <c r="L146">
        <v>9</v>
      </c>
      <c r="M146">
        <v>0</v>
      </c>
    </row>
    <row r="147" spans="1:13" x14ac:dyDescent="0.35">
      <c r="A147">
        <v>14</v>
      </c>
      <c r="B147" t="s">
        <v>13</v>
      </c>
      <c r="C147">
        <v>2.1</v>
      </c>
      <c r="D147" t="s">
        <v>14</v>
      </c>
      <c r="E147">
        <v>8.5</v>
      </c>
      <c r="F147">
        <v>1.1000000000000001</v>
      </c>
      <c r="G147">
        <v>3.03</v>
      </c>
      <c r="H147">
        <v>1.6</v>
      </c>
      <c r="I147" t="s">
        <v>19</v>
      </c>
      <c r="J147">
        <v>5</v>
      </c>
      <c r="K147">
        <v>6</v>
      </c>
      <c r="L147">
        <v>7</v>
      </c>
      <c r="M147">
        <v>0</v>
      </c>
    </row>
    <row r="148" spans="1:13" x14ac:dyDescent="0.35">
      <c r="A148">
        <v>14</v>
      </c>
      <c r="B148" t="s">
        <v>13</v>
      </c>
      <c r="C148">
        <v>2.1</v>
      </c>
      <c r="D148" t="s">
        <v>17</v>
      </c>
      <c r="E148">
        <v>5</v>
      </c>
      <c r="F148">
        <v>1.4</v>
      </c>
      <c r="G148">
        <v>2.96</v>
      </c>
      <c r="H148">
        <v>1.1000000000000001</v>
      </c>
      <c r="I148" t="s">
        <v>15</v>
      </c>
      <c r="J148">
        <v>7</v>
      </c>
      <c r="K148">
        <v>1</v>
      </c>
      <c r="L148">
        <v>9</v>
      </c>
      <c r="M148">
        <v>0</v>
      </c>
    </row>
    <row r="149" spans="1:13" x14ac:dyDescent="0.35">
      <c r="A149">
        <v>16</v>
      </c>
      <c r="B149" t="s">
        <v>13</v>
      </c>
      <c r="C149">
        <v>3.8</v>
      </c>
      <c r="D149" t="s">
        <v>17</v>
      </c>
      <c r="E149">
        <v>5.7</v>
      </c>
      <c r="F149">
        <v>1.3</v>
      </c>
      <c r="G149">
        <v>3.84</v>
      </c>
      <c r="H149">
        <v>1.6</v>
      </c>
      <c r="I149" t="s">
        <v>19</v>
      </c>
      <c r="J149">
        <v>3</v>
      </c>
      <c r="K149">
        <v>4</v>
      </c>
      <c r="L149">
        <v>10</v>
      </c>
      <c r="M149">
        <v>0</v>
      </c>
    </row>
    <row r="150" spans="1:13" x14ac:dyDescent="0.35">
      <c r="A150">
        <v>15</v>
      </c>
      <c r="B150" t="s">
        <v>16</v>
      </c>
      <c r="C150">
        <v>1.1000000000000001</v>
      </c>
      <c r="D150" t="s">
        <v>17</v>
      </c>
      <c r="E150">
        <v>8.1999999999999993</v>
      </c>
      <c r="F150">
        <v>0.7</v>
      </c>
      <c r="G150">
        <v>2.94</v>
      </c>
      <c r="H150">
        <v>0.7</v>
      </c>
      <c r="I150" t="s">
        <v>18</v>
      </c>
      <c r="J150">
        <v>10</v>
      </c>
      <c r="K150">
        <v>7</v>
      </c>
      <c r="L150">
        <v>9</v>
      </c>
      <c r="M150">
        <v>0</v>
      </c>
    </row>
    <row r="151" spans="1:13" x14ac:dyDescent="0.35">
      <c r="A151">
        <v>14</v>
      </c>
      <c r="B151" t="s">
        <v>13</v>
      </c>
      <c r="C151">
        <v>2.5</v>
      </c>
      <c r="D151" t="s">
        <v>20</v>
      </c>
      <c r="E151">
        <v>5.3</v>
      </c>
      <c r="F151">
        <v>2.4</v>
      </c>
      <c r="G151">
        <v>3.87</v>
      </c>
      <c r="H151">
        <v>1.3</v>
      </c>
      <c r="I151" t="s">
        <v>18</v>
      </c>
      <c r="J151">
        <v>10</v>
      </c>
      <c r="K151">
        <v>9</v>
      </c>
      <c r="L151">
        <v>6</v>
      </c>
      <c r="M151">
        <v>0</v>
      </c>
    </row>
    <row r="152" spans="1:13" x14ac:dyDescent="0.35">
      <c r="A152">
        <v>19</v>
      </c>
      <c r="B152" t="s">
        <v>16</v>
      </c>
      <c r="C152">
        <v>4.0999999999999996</v>
      </c>
      <c r="D152" t="s">
        <v>14</v>
      </c>
      <c r="E152">
        <v>6.4</v>
      </c>
      <c r="F152">
        <v>0.9</v>
      </c>
      <c r="G152">
        <v>2.4700000000000002</v>
      </c>
      <c r="H152">
        <v>1.2</v>
      </c>
      <c r="I152" t="s">
        <v>18</v>
      </c>
      <c r="J152">
        <v>7</v>
      </c>
      <c r="K152">
        <v>3</v>
      </c>
      <c r="L152">
        <v>4</v>
      </c>
      <c r="M152">
        <v>0</v>
      </c>
    </row>
    <row r="153" spans="1:13" x14ac:dyDescent="0.35">
      <c r="A153">
        <v>16</v>
      </c>
      <c r="B153" t="s">
        <v>13</v>
      </c>
      <c r="C153">
        <v>3</v>
      </c>
      <c r="D153" t="s">
        <v>14</v>
      </c>
      <c r="E153">
        <v>8.6</v>
      </c>
      <c r="F153">
        <v>1.5</v>
      </c>
      <c r="G153">
        <v>2.84</v>
      </c>
      <c r="H153">
        <v>0.3</v>
      </c>
      <c r="I153" t="s">
        <v>18</v>
      </c>
      <c r="J153">
        <v>6</v>
      </c>
      <c r="K153">
        <v>4</v>
      </c>
      <c r="L153">
        <v>3</v>
      </c>
      <c r="M153">
        <v>0</v>
      </c>
    </row>
    <row r="154" spans="1:13" x14ac:dyDescent="0.35">
      <c r="A154">
        <v>13</v>
      </c>
      <c r="B154" t="s">
        <v>16</v>
      </c>
      <c r="C154">
        <v>3.9</v>
      </c>
      <c r="D154" t="s">
        <v>14</v>
      </c>
      <c r="E154">
        <v>5</v>
      </c>
      <c r="F154">
        <v>0.7</v>
      </c>
      <c r="G154">
        <v>2.98</v>
      </c>
      <c r="H154">
        <v>0.3</v>
      </c>
      <c r="I154" t="s">
        <v>19</v>
      </c>
      <c r="J154">
        <v>10</v>
      </c>
      <c r="K154">
        <v>8</v>
      </c>
      <c r="L154">
        <v>3</v>
      </c>
      <c r="M154">
        <v>0</v>
      </c>
    </row>
    <row r="155" spans="1:13" x14ac:dyDescent="0.35">
      <c r="A155">
        <v>13</v>
      </c>
      <c r="B155" t="s">
        <v>13</v>
      </c>
      <c r="C155">
        <v>7</v>
      </c>
      <c r="D155" t="s">
        <v>17</v>
      </c>
      <c r="E155">
        <v>8.9</v>
      </c>
      <c r="F155">
        <v>0.6</v>
      </c>
      <c r="G155">
        <v>2.7</v>
      </c>
      <c r="H155">
        <v>1.8</v>
      </c>
      <c r="I155" t="s">
        <v>19</v>
      </c>
      <c r="J155">
        <v>5</v>
      </c>
      <c r="K155">
        <v>4</v>
      </c>
      <c r="L155">
        <v>1</v>
      </c>
      <c r="M155">
        <v>0</v>
      </c>
    </row>
    <row r="156" spans="1:13" x14ac:dyDescent="0.35">
      <c r="A156">
        <v>16</v>
      </c>
      <c r="B156" t="s">
        <v>13</v>
      </c>
      <c r="C156">
        <v>3.6</v>
      </c>
      <c r="D156" t="s">
        <v>20</v>
      </c>
      <c r="E156">
        <v>8.9</v>
      </c>
      <c r="F156">
        <v>1.9</v>
      </c>
      <c r="G156">
        <v>2.11</v>
      </c>
      <c r="H156">
        <v>1.7</v>
      </c>
      <c r="I156" t="s">
        <v>15</v>
      </c>
      <c r="J156">
        <v>9</v>
      </c>
      <c r="K156">
        <v>5</v>
      </c>
      <c r="L156">
        <v>2</v>
      </c>
      <c r="M156">
        <v>0</v>
      </c>
    </row>
    <row r="157" spans="1:13" x14ac:dyDescent="0.35">
      <c r="A157">
        <v>15</v>
      </c>
      <c r="B157" t="s">
        <v>13</v>
      </c>
      <c r="C157">
        <v>7.6</v>
      </c>
      <c r="D157" t="s">
        <v>14</v>
      </c>
      <c r="E157">
        <v>7.6</v>
      </c>
      <c r="F157">
        <v>2.7</v>
      </c>
      <c r="G157">
        <v>2.36</v>
      </c>
      <c r="H157">
        <v>1.2</v>
      </c>
      <c r="I157" t="s">
        <v>19</v>
      </c>
      <c r="J157">
        <v>5</v>
      </c>
      <c r="K157">
        <v>10</v>
      </c>
      <c r="L157">
        <v>3</v>
      </c>
      <c r="M157">
        <v>0</v>
      </c>
    </row>
    <row r="158" spans="1:13" x14ac:dyDescent="0.35">
      <c r="A158">
        <v>19</v>
      </c>
      <c r="B158" t="s">
        <v>13</v>
      </c>
      <c r="C158">
        <v>1.3</v>
      </c>
      <c r="D158" t="s">
        <v>14</v>
      </c>
      <c r="E158">
        <v>4.5</v>
      </c>
      <c r="F158">
        <v>0.7</v>
      </c>
      <c r="G158">
        <v>2.5099999999999998</v>
      </c>
      <c r="H158">
        <v>0.8</v>
      </c>
      <c r="I158" t="s">
        <v>15</v>
      </c>
      <c r="J158">
        <v>10</v>
      </c>
      <c r="K158">
        <v>9</v>
      </c>
      <c r="L158">
        <v>7</v>
      </c>
      <c r="M158">
        <v>0</v>
      </c>
    </row>
    <row r="159" spans="1:13" x14ac:dyDescent="0.35">
      <c r="A159">
        <v>17</v>
      </c>
      <c r="B159" t="s">
        <v>16</v>
      </c>
      <c r="C159">
        <v>2.1</v>
      </c>
      <c r="D159" t="s">
        <v>20</v>
      </c>
      <c r="E159">
        <v>7.8</v>
      </c>
      <c r="F159">
        <v>2.1</v>
      </c>
      <c r="G159">
        <v>3.29</v>
      </c>
      <c r="H159">
        <v>1.5</v>
      </c>
      <c r="I159" t="s">
        <v>15</v>
      </c>
      <c r="J159">
        <v>8</v>
      </c>
      <c r="K159">
        <v>1</v>
      </c>
      <c r="L159">
        <v>7</v>
      </c>
      <c r="M159">
        <v>0</v>
      </c>
    </row>
    <row r="160" spans="1:13" x14ac:dyDescent="0.35">
      <c r="A160">
        <v>15</v>
      </c>
      <c r="B160" t="s">
        <v>16</v>
      </c>
      <c r="C160">
        <v>2.7</v>
      </c>
      <c r="D160" t="s">
        <v>20</v>
      </c>
      <c r="E160">
        <v>8.8000000000000007</v>
      </c>
      <c r="F160">
        <v>1.9</v>
      </c>
      <c r="G160">
        <v>2.14</v>
      </c>
      <c r="H160">
        <v>0.4</v>
      </c>
      <c r="I160" t="s">
        <v>18</v>
      </c>
      <c r="J160">
        <v>8</v>
      </c>
      <c r="K160">
        <v>10</v>
      </c>
      <c r="L160">
        <v>3</v>
      </c>
      <c r="M160">
        <v>0</v>
      </c>
    </row>
    <row r="161" spans="1:13" x14ac:dyDescent="0.35">
      <c r="A161">
        <v>13</v>
      </c>
      <c r="B161" t="s">
        <v>13</v>
      </c>
      <c r="C161">
        <v>7.5</v>
      </c>
      <c r="D161" t="s">
        <v>20</v>
      </c>
      <c r="E161">
        <v>8</v>
      </c>
      <c r="F161">
        <v>2</v>
      </c>
      <c r="G161">
        <v>3.25</v>
      </c>
      <c r="H161">
        <v>0.7</v>
      </c>
      <c r="I161" t="s">
        <v>19</v>
      </c>
      <c r="J161">
        <v>9</v>
      </c>
      <c r="K161">
        <v>10</v>
      </c>
      <c r="L161">
        <v>2</v>
      </c>
      <c r="M161">
        <v>0</v>
      </c>
    </row>
    <row r="162" spans="1:13" x14ac:dyDescent="0.35">
      <c r="A162">
        <v>16</v>
      </c>
      <c r="B162" t="s">
        <v>16</v>
      </c>
      <c r="C162">
        <v>6.1</v>
      </c>
      <c r="D162" t="s">
        <v>20</v>
      </c>
      <c r="E162">
        <v>8.8000000000000007</v>
      </c>
      <c r="F162">
        <v>1.7</v>
      </c>
      <c r="G162">
        <v>3.55</v>
      </c>
      <c r="H162">
        <v>1.3</v>
      </c>
      <c r="I162" t="s">
        <v>19</v>
      </c>
      <c r="J162">
        <v>6</v>
      </c>
      <c r="K162">
        <v>10</v>
      </c>
      <c r="L162">
        <v>9</v>
      </c>
      <c r="M162">
        <v>0</v>
      </c>
    </row>
    <row r="163" spans="1:13" x14ac:dyDescent="0.35">
      <c r="A163">
        <v>19</v>
      </c>
      <c r="B163" t="s">
        <v>13</v>
      </c>
      <c r="C163">
        <v>2.4</v>
      </c>
      <c r="D163" t="s">
        <v>20</v>
      </c>
      <c r="E163">
        <v>7.4</v>
      </c>
      <c r="F163">
        <v>1.2</v>
      </c>
      <c r="G163">
        <v>2.5</v>
      </c>
      <c r="H163">
        <v>1.8</v>
      </c>
      <c r="I163" t="s">
        <v>18</v>
      </c>
      <c r="J163">
        <v>2</v>
      </c>
      <c r="K163">
        <v>5</v>
      </c>
      <c r="L163">
        <v>2</v>
      </c>
      <c r="M163">
        <v>0</v>
      </c>
    </row>
    <row r="164" spans="1:13" x14ac:dyDescent="0.35">
      <c r="A164">
        <v>19</v>
      </c>
      <c r="B164" t="s">
        <v>13</v>
      </c>
      <c r="C164">
        <v>2</v>
      </c>
      <c r="D164" t="s">
        <v>17</v>
      </c>
      <c r="E164">
        <v>5.3</v>
      </c>
      <c r="F164">
        <v>1.7</v>
      </c>
      <c r="G164">
        <v>2.91</v>
      </c>
      <c r="H164">
        <v>0.8</v>
      </c>
      <c r="I164" t="s">
        <v>15</v>
      </c>
      <c r="J164">
        <v>9</v>
      </c>
      <c r="K164">
        <v>5</v>
      </c>
      <c r="L164">
        <v>9</v>
      </c>
      <c r="M164">
        <v>0</v>
      </c>
    </row>
    <row r="165" spans="1:13" x14ac:dyDescent="0.35">
      <c r="A165">
        <v>15</v>
      </c>
      <c r="B165" t="s">
        <v>16</v>
      </c>
      <c r="C165">
        <v>7.8</v>
      </c>
      <c r="D165" t="s">
        <v>17</v>
      </c>
      <c r="E165">
        <v>5.3</v>
      </c>
      <c r="F165">
        <v>0.5</v>
      </c>
      <c r="G165">
        <v>2.3199999999999998</v>
      </c>
      <c r="H165">
        <v>0.8</v>
      </c>
      <c r="I165" t="s">
        <v>15</v>
      </c>
      <c r="J165">
        <v>8</v>
      </c>
      <c r="K165">
        <v>9</v>
      </c>
      <c r="L165">
        <v>3</v>
      </c>
      <c r="M165">
        <v>1</v>
      </c>
    </row>
    <row r="166" spans="1:13" x14ac:dyDescent="0.35">
      <c r="A166">
        <v>16</v>
      </c>
      <c r="B166" t="s">
        <v>16</v>
      </c>
      <c r="C166">
        <v>6.8</v>
      </c>
      <c r="D166" t="s">
        <v>17</v>
      </c>
      <c r="E166">
        <v>7.2</v>
      </c>
      <c r="F166">
        <v>2.5</v>
      </c>
      <c r="G166">
        <v>3.61</v>
      </c>
      <c r="H166">
        <v>0.5</v>
      </c>
      <c r="I166" t="s">
        <v>19</v>
      </c>
      <c r="J166">
        <v>10</v>
      </c>
      <c r="K166">
        <v>1</v>
      </c>
      <c r="L166">
        <v>9</v>
      </c>
      <c r="M166">
        <v>0</v>
      </c>
    </row>
    <row r="167" spans="1:13" x14ac:dyDescent="0.35">
      <c r="A167">
        <v>17</v>
      </c>
      <c r="B167" t="s">
        <v>13</v>
      </c>
      <c r="C167">
        <v>8</v>
      </c>
      <c r="D167" t="s">
        <v>14</v>
      </c>
      <c r="E167">
        <v>4.5999999999999996</v>
      </c>
      <c r="F167">
        <v>2.6</v>
      </c>
      <c r="G167">
        <v>3.06</v>
      </c>
      <c r="H167">
        <v>0.1</v>
      </c>
      <c r="I167" t="s">
        <v>18</v>
      </c>
      <c r="J167">
        <v>9</v>
      </c>
      <c r="K167">
        <v>2</v>
      </c>
      <c r="L167">
        <v>6</v>
      </c>
      <c r="M167">
        <v>0</v>
      </c>
    </row>
    <row r="168" spans="1:13" x14ac:dyDescent="0.35">
      <c r="A168">
        <v>13</v>
      </c>
      <c r="B168" t="s">
        <v>16</v>
      </c>
      <c r="C168">
        <v>7.3</v>
      </c>
      <c r="D168" t="s">
        <v>20</v>
      </c>
      <c r="E168">
        <v>8.9</v>
      </c>
      <c r="F168">
        <v>2.7</v>
      </c>
      <c r="G168">
        <v>3.68</v>
      </c>
      <c r="H168">
        <v>1.9</v>
      </c>
      <c r="I168" t="s">
        <v>15</v>
      </c>
      <c r="J168">
        <v>6</v>
      </c>
      <c r="K168">
        <v>6</v>
      </c>
      <c r="L168">
        <v>10</v>
      </c>
      <c r="M168">
        <v>0</v>
      </c>
    </row>
    <row r="169" spans="1:13" x14ac:dyDescent="0.35">
      <c r="A169">
        <v>15</v>
      </c>
      <c r="B169" t="s">
        <v>16</v>
      </c>
      <c r="C169">
        <v>1.5</v>
      </c>
      <c r="D169" t="s">
        <v>20</v>
      </c>
      <c r="E169">
        <v>8.6999999999999993</v>
      </c>
      <c r="F169">
        <v>1.2</v>
      </c>
      <c r="G169">
        <v>2.52</v>
      </c>
      <c r="H169">
        <v>0.1</v>
      </c>
      <c r="I169" t="s">
        <v>15</v>
      </c>
      <c r="J169">
        <v>9</v>
      </c>
      <c r="K169">
        <v>7</v>
      </c>
      <c r="L169">
        <v>2</v>
      </c>
      <c r="M169">
        <v>0</v>
      </c>
    </row>
    <row r="170" spans="1:13" x14ac:dyDescent="0.35">
      <c r="A170">
        <v>15</v>
      </c>
      <c r="B170" t="s">
        <v>16</v>
      </c>
      <c r="C170">
        <v>3.4</v>
      </c>
      <c r="D170" t="s">
        <v>14</v>
      </c>
      <c r="E170">
        <v>5</v>
      </c>
      <c r="F170">
        <v>1.8</v>
      </c>
      <c r="G170">
        <v>3.2</v>
      </c>
      <c r="H170">
        <v>1.5</v>
      </c>
      <c r="I170" t="s">
        <v>19</v>
      </c>
      <c r="J170">
        <v>4</v>
      </c>
      <c r="K170">
        <v>5</v>
      </c>
      <c r="L170">
        <v>1</v>
      </c>
      <c r="M170">
        <v>0</v>
      </c>
    </row>
    <row r="171" spans="1:13" x14ac:dyDescent="0.35">
      <c r="A171">
        <v>15</v>
      </c>
      <c r="B171" t="s">
        <v>13</v>
      </c>
      <c r="C171">
        <v>7.3</v>
      </c>
      <c r="D171" t="s">
        <v>20</v>
      </c>
      <c r="E171">
        <v>4.8</v>
      </c>
      <c r="F171">
        <v>2.6</v>
      </c>
      <c r="G171">
        <v>3.81</v>
      </c>
      <c r="H171">
        <v>1.5</v>
      </c>
      <c r="I171" t="s">
        <v>15</v>
      </c>
      <c r="J171">
        <v>4</v>
      </c>
      <c r="K171">
        <v>7</v>
      </c>
      <c r="L171">
        <v>4</v>
      </c>
      <c r="M171">
        <v>0</v>
      </c>
    </row>
    <row r="172" spans="1:13" x14ac:dyDescent="0.35">
      <c r="A172">
        <v>13</v>
      </c>
      <c r="B172" t="s">
        <v>16</v>
      </c>
      <c r="C172">
        <v>1.9</v>
      </c>
      <c r="D172" t="s">
        <v>17</v>
      </c>
      <c r="E172">
        <v>8.5</v>
      </c>
      <c r="F172">
        <v>0.8</v>
      </c>
      <c r="G172">
        <v>3.33</v>
      </c>
      <c r="H172">
        <v>1.3</v>
      </c>
      <c r="I172" t="s">
        <v>19</v>
      </c>
      <c r="J172">
        <v>5</v>
      </c>
      <c r="K172">
        <v>1</v>
      </c>
      <c r="L172">
        <v>3</v>
      </c>
      <c r="M172">
        <v>0</v>
      </c>
    </row>
    <row r="173" spans="1:13" x14ac:dyDescent="0.35">
      <c r="A173">
        <v>17</v>
      </c>
      <c r="B173" t="s">
        <v>16</v>
      </c>
      <c r="C173">
        <v>3.9</v>
      </c>
      <c r="D173" t="s">
        <v>14</v>
      </c>
      <c r="E173">
        <v>8.1999999999999993</v>
      </c>
      <c r="F173">
        <v>1.3</v>
      </c>
      <c r="G173">
        <v>3.21</v>
      </c>
      <c r="H173">
        <v>1.8</v>
      </c>
      <c r="I173" t="s">
        <v>19</v>
      </c>
      <c r="J173">
        <v>3</v>
      </c>
      <c r="K173">
        <v>7</v>
      </c>
      <c r="L173">
        <v>7</v>
      </c>
      <c r="M173">
        <v>0</v>
      </c>
    </row>
    <row r="174" spans="1:13" x14ac:dyDescent="0.35">
      <c r="A174">
        <v>18</v>
      </c>
      <c r="B174" t="s">
        <v>13</v>
      </c>
      <c r="C174">
        <v>1.3</v>
      </c>
      <c r="D174" t="s">
        <v>14</v>
      </c>
      <c r="E174">
        <v>5.8</v>
      </c>
      <c r="F174">
        <v>1.3</v>
      </c>
      <c r="G174">
        <v>3.35</v>
      </c>
      <c r="H174">
        <v>1.9</v>
      </c>
      <c r="I174" t="s">
        <v>19</v>
      </c>
      <c r="J174">
        <v>9</v>
      </c>
      <c r="K174">
        <v>4</v>
      </c>
      <c r="L174">
        <v>9</v>
      </c>
      <c r="M174">
        <v>0</v>
      </c>
    </row>
    <row r="175" spans="1:13" x14ac:dyDescent="0.35">
      <c r="A175">
        <v>19</v>
      </c>
      <c r="B175" t="s">
        <v>13</v>
      </c>
      <c r="C175">
        <v>4.7</v>
      </c>
      <c r="D175" t="s">
        <v>17</v>
      </c>
      <c r="E175">
        <v>8.1999999999999993</v>
      </c>
      <c r="F175">
        <v>1.8</v>
      </c>
      <c r="G175">
        <v>2.2599999999999998</v>
      </c>
      <c r="H175">
        <v>1</v>
      </c>
      <c r="I175" t="s">
        <v>15</v>
      </c>
      <c r="J175">
        <v>7</v>
      </c>
      <c r="K175">
        <v>4</v>
      </c>
      <c r="L175">
        <v>7</v>
      </c>
      <c r="M175">
        <v>0</v>
      </c>
    </row>
    <row r="176" spans="1:13" x14ac:dyDescent="0.35">
      <c r="A176">
        <v>15</v>
      </c>
      <c r="B176" t="s">
        <v>13</v>
      </c>
      <c r="C176">
        <v>1.9</v>
      </c>
      <c r="D176" t="s">
        <v>17</v>
      </c>
      <c r="E176">
        <v>5.8</v>
      </c>
      <c r="F176">
        <v>2.2999999999999998</v>
      </c>
      <c r="G176">
        <v>2.4700000000000002</v>
      </c>
      <c r="H176">
        <v>0.3</v>
      </c>
      <c r="I176" t="s">
        <v>18</v>
      </c>
      <c r="J176">
        <v>10</v>
      </c>
      <c r="K176">
        <v>9</v>
      </c>
      <c r="L176">
        <v>4</v>
      </c>
      <c r="M176">
        <v>0</v>
      </c>
    </row>
    <row r="177" spans="1:13" x14ac:dyDescent="0.35">
      <c r="A177">
        <v>18</v>
      </c>
      <c r="B177" t="s">
        <v>16</v>
      </c>
      <c r="C177">
        <v>7</v>
      </c>
      <c r="D177" t="s">
        <v>20</v>
      </c>
      <c r="E177">
        <v>6.3</v>
      </c>
      <c r="F177">
        <v>1.6</v>
      </c>
      <c r="G177">
        <v>2.5499999999999998</v>
      </c>
      <c r="H177">
        <v>0.5</v>
      </c>
      <c r="I177" t="s">
        <v>19</v>
      </c>
      <c r="J177">
        <v>10</v>
      </c>
      <c r="K177">
        <v>1</v>
      </c>
      <c r="L177">
        <v>8</v>
      </c>
      <c r="M177">
        <v>0</v>
      </c>
    </row>
    <row r="178" spans="1:13" x14ac:dyDescent="0.35">
      <c r="A178">
        <v>15</v>
      </c>
      <c r="B178" t="s">
        <v>13</v>
      </c>
      <c r="C178">
        <v>6.2</v>
      </c>
      <c r="D178" t="s">
        <v>17</v>
      </c>
      <c r="E178">
        <v>6.3</v>
      </c>
      <c r="F178">
        <v>1.7</v>
      </c>
      <c r="G178">
        <v>2.2599999999999998</v>
      </c>
      <c r="H178">
        <v>1.1000000000000001</v>
      </c>
      <c r="I178" t="s">
        <v>18</v>
      </c>
      <c r="J178">
        <v>9</v>
      </c>
      <c r="K178">
        <v>6</v>
      </c>
      <c r="L178">
        <v>2</v>
      </c>
      <c r="M178">
        <v>0</v>
      </c>
    </row>
    <row r="179" spans="1:13" x14ac:dyDescent="0.35">
      <c r="A179">
        <v>14</v>
      </c>
      <c r="B179" t="s">
        <v>13</v>
      </c>
      <c r="C179">
        <v>3.2</v>
      </c>
      <c r="D179" t="s">
        <v>17</v>
      </c>
      <c r="E179">
        <v>8</v>
      </c>
      <c r="F179">
        <v>1.3</v>
      </c>
      <c r="G179">
        <v>2.5</v>
      </c>
      <c r="H179">
        <v>1.1000000000000001</v>
      </c>
      <c r="I179" t="s">
        <v>18</v>
      </c>
      <c r="J179">
        <v>2</v>
      </c>
      <c r="K179">
        <v>7</v>
      </c>
      <c r="L179">
        <v>5</v>
      </c>
      <c r="M179">
        <v>0</v>
      </c>
    </row>
    <row r="180" spans="1:13" x14ac:dyDescent="0.35">
      <c r="A180">
        <v>18</v>
      </c>
      <c r="B180" t="s">
        <v>16</v>
      </c>
      <c r="C180">
        <v>4.5</v>
      </c>
      <c r="D180" t="s">
        <v>20</v>
      </c>
      <c r="E180">
        <v>7.9</v>
      </c>
      <c r="F180">
        <v>1.4</v>
      </c>
      <c r="G180">
        <v>2.38</v>
      </c>
      <c r="H180">
        <v>0.1</v>
      </c>
      <c r="I180" t="s">
        <v>18</v>
      </c>
      <c r="J180">
        <v>7</v>
      </c>
      <c r="K180">
        <v>9</v>
      </c>
      <c r="L180">
        <v>1</v>
      </c>
      <c r="M180">
        <v>0</v>
      </c>
    </row>
    <row r="181" spans="1:13" x14ac:dyDescent="0.35">
      <c r="A181">
        <v>14</v>
      </c>
      <c r="B181" t="s">
        <v>16</v>
      </c>
      <c r="C181">
        <v>1.1000000000000001</v>
      </c>
      <c r="D181" t="s">
        <v>20</v>
      </c>
      <c r="E181">
        <v>6.1</v>
      </c>
      <c r="F181">
        <v>2.5</v>
      </c>
      <c r="G181">
        <v>2.8</v>
      </c>
      <c r="H181">
        <v>1.8</v>
      </c>
      <c r="I181" t="s">
        <v>18</v>
      </c>
      <c r="J181">
        <v>4</v>
      </c>
      <c r="K181">
        <v>10</v>
      </c>
      <c r="L181">
        <v>3</v>
      </c>
      <c r="M181">
        <v>0</v>
      </c>
    </row>
    <row r="182" spans="1:13" x14ac:dyDescent="0.35">
      <c r="A182">
        <v>13</v>
      </c>
      <c r="B182" t="s">
        <v>13</v>
      </c>
      <c r="C182">
        <v>5.9</v>
      </c>
      <c r="D182" t="s">
        <v>14</v>
      </c>
      <c r="E182">
        <v>8</v>
      </c>
      <c r="F182">
        <v>2.8</v>
      </c>
      <c r="G182">
        <v>3.21</v>
      </c>
      <c r="H182">
        <v>1.6</v>
      </c>
      <c r="I182" t="s">
        <v>19</v>
      </c>
      <c r="J182">
        <v>2</v>
      </c>
      <c r="K182">
        <v>8</v>
      </c>
      <c r="L182">
        <v>8</v>
      </c>
      <c r="M182">
        <v>0</v>
      </c>
    </row>
    <row r="183" spans="1:13" x14ac:dyDescent="0.35">
      <c r="A183">
        <v>17</v>
      </c>
      <c r="B183" t="s">
        <v>13</v>
      </c>
      <c r="C183">
        <v>5.0999999999999996</v>
      </c>
      <c r="D183" t="s">
        <v>20</v>
      </c>
      <c r="E183">
        <v>5</v>
      </c>
      <c r="F183">
        <v>2.2000000000000002</v>
      </c>
      <c r="G183">
        <v>3.58</v>
      </c>
      <c r="H183">
        <v>1.2</v>
      </c>
      <c r="I183" t="s">
        <v>18</v>
      </c>
      <c r="J183">
        <v>6</v>
      </c>
      <c r="K183">
        <v>3</v>
      </c>
      <c r="L183">
        <v>9</v>
      </c>
      <c r="M183">
        <v>0</v>
      </c>
    </row>
    <row r="184" spans="1:13" x14ac:dyDescent="0.35">
      <c r="A184">
        <v>15</v>
      </c>
      <c r="B184" t="s">
        <v>13</v>
      </c>
      <c r="C184">
        <v>1.6</v>
      </c>
      <c r="D184" t="s">
        <v>14</v>
      </c>
      <c r="E184">
        <v>6.9</v>
      </c>
      <c r="F184">
        <v>2.2999999999999998</v>
      </c>
      <c r="G184">
        <v>3.16</v>
      </c>
      <c r="H184">
        <v>0.9</v>
      </c>
      <c r="I184" t="s">
        <v>19</v>
      </c>
      <c r="J184">
        <v>3</v>
      </c>
      <c r="K184">
        <v>1</v>
      </c>
      <c r="L184">
        <v>5</v>
      </c>
      <c r="M184">
        <v>0</v>
      </c>
    </row>
    <row r="185" spans="1:13" x14ac:dyDescent="0.35">
      <c r="A185">
        <v>15</v>
      </c>
      <c r="B185" t="s">
        <v>16</v>
      </c>
      <c r="C185">
        <v>7.2</v>
      </c>
      <c r="D185" t="s">
        <v>17</v>
      </c>
      <c r="E185">
        <v>8</v>
      </c>
      <c r="F185">
        <v>1.4</v>
      </c>
      <c r="G185">
        <v>3.64</v>
      </c>
      <c r="H185">
        <v>0.4</v>
      </c>
      <c r="I185" t="s">
        <v>19</v>
      </c>
      <c r="J185">
        <v>10</v>
      </c>
      <c r="K185">
        <v>5</v>
      </c>
      <c r="L185">
        <v>7</v>
      </c>
      <c r="M185">
        <v>0</v>
      </c>
    </row>
    <row r="186" spans="1:13" x14ac:dyDescent="0.35">
      <c r="A186">
        <v>17</v>
      </c>
      <c r="B186" t="s">
        <v>16</v>
      </c>
      <c r="C186">
        <v>1.4</v>
      </c>
      <c r="D186" t="s">
        <v>14</v>
      </c>
      <c r="E186">
        <v>6.9</v>
      </c>
      <c r="F186">
        <v>2.4</v>
      </c>
      <c r="G186">
        <v>3.06</v>
      </c>
      <c r="H186">
        <v>1.9</v>
      </c>
      <c r="I186" t="s">
        <v>19</v>
      </c>
      <c r="J186">
        <v>4</v>
      </c>
      <c r="K186">
        <v>10</v>
      </c>
      <c r="L186">
        <v>8</v>
      </c>
      <c r="M186">
        <v>0</v>
      </c>
    </row>
    <row r="187" spans="1:13" x14ac:dyDescent="0.35">
      <c r="A187">
        <v>17</v>
      </c>
      <c r="B187" t="s">
        <v>16</v>
      </c>
      <c r="C187">
        <v>6.6</v>
      </c>
      <c r="D187" t="s">
        <v>14</v>
      </c>
      <c r="E187">
        <v>8</v>
      </c>
      <c r="F187">
        <v>2.2000000000000002</v>
      </c>
      <c r="G187">
        <v>2.21</v>
      </c>
      <c r="H187">
        <v>1</v>
      </c>
      <c r="I187" t="s">
        <v>18</v>
      </c>
      <c r="J187">
        <v>10</v>
      </c>
      <c r="K187">
        <v>8</v>
      </c>
      <c r="L187">
        <v>10</v>
      </c>
      <c r="M187">
        <v>0</v>
      </c>
    </row>
    <row r="188" spans="1:13" x14ac:dyDescent="0.35">
      <c r="A188">
        <v>15</v>
      </c>
      <c r="B188" t="s">
        <v>16</v>
      </c>
      <c r="C188">
        <v>3.5</v>
      </c>
      <c r="D188" t="s">
        <v>14</v>
      </c>
      <c r="E188">
        <v>6.3</v>
      </c>
      <c r="F188">
        <v>0.8</v>
      </c>
      <c r="G188">
        <v>2.71</v>
      </c>
      <c r="H188">
        <v>1.8</v>
      </c>
      <c r="I188" t="s">
        <v>18</v>
      </c>
      <c r="J188">
        <v>7</v>
      </c>
      <c r="K188">
        <v>4</v>
      </c>
      <c r="L188">
        <v>2</v>
      </c>
      <c r="M188">
        <v>0</v>
      </c>
    </row>
    <row r="189" spans="1:13" x14ac:dyDescent="0.35">
      <c r="A189">
        <v>17</v>
      </c>
      <c r="B189" t="s">
        <v>16</v>
      </c>
      <c r="C189">
        <v>5.4</v>
      </c>
      <c r="D189" t="s">
        <v>20</v>
      </c>
      <c r="E189">
        <v>6.3</v>
      </c>
      <c r="F189">
        <v>2.8</v>
      </c>
      <c r="G189">
        <v>3.06</v>
      </c>
      <c r="H189">
        <v>0.8</v>
      </c>
      <c r="I189" t="s">
        <v>15</v>
      </c>
      <c r="J189">
        <v>3</v>
      </c>
      <c r="K189">
        <v>7</v>
      </c>
      <c r="L189">
        <v>9</v>
      </c>
      <c r="M189">
        <v>0</v>
      </c>
    </row>
    <row r="190" spans="1:13" x14ac:dyDescent="0.35">
      <c r="A190">
        <v>16</v>
      </c>
      <c r="B190" t="s">
        <v>16</v>
      </c>
      <c r="C190">
        <v>4.2</v>
      </c>
      <c r="D190" t="s">
        <v>20</v>
      </c>
      <c r="E190">
        <v>7.3</v>
      </c>
      <c r="F190">
        <v>1.1000000000000001</v>
      </c>
      <c r="G190">
        <v>3.1</v>
      </c>
      <c r="H190">
        <v>1.6</v>
      </c>
      <c r="I190" t="s">
        <v>19</v>
      </c>
      <c r="J190">
        <v>1</v>
      </c>
      <c r="K190">
        <v>6</v>
      </c>
      <c r="L190">
        <v>2</v>
      </c>
      <c r="M190">
        <v>0</v>
      </c>
    </row>
    <row r="191" spans="1:13" x14ac:dyDescent="0.35">
      <c r="A191">
        <v>13</v>
      </c>
      <c r="B191" t="s">
        <v>13</v>
      </c>
      <c r="C191">
        <v>2.5</v>
      </c>
      <c r="D191" t="s">
        <v>14</v>
      </c>
      <c r="E191">
        <v>8.3000000000000007</v>
      </c>
      <c r="F191">
        <v>1.6</v>
      </c>
      <c r="G191">
        <v>2.91</v>
      </c>
      <c r="H191">
        <v>0.6</v>
      </c>
      <c r="I191" t="s">
        <v>18</v>
      </c>
      <c r="J191">
        <v>10</v>
      </c>
      <c r="K191">
        <v>2</v>
      </c>
      <c r="L191">
        <v>6</v>
      </c>
      <c r="M191">
        <v>0</v>
      </c>
    </row>
    <row r="192" spans="1:13" x14ac:dyDescent="0.35">
      <c r="A192">
        <v>16</v>
      </c>
      <c r="B192" t="s">
        <v>16</v>
      </c>
      <c r="C192">
        <v>3.8</v>
      </c>
      <c r="D192" t="s">
        <v>17</v>
      </c>
      <c r="E192">
        <v>6</v>
      </c>
      <c r="F192">
        <v>3</v>
      </c>
      <c r="G192">
        <v>2.1</v>
      </c>
      <c r="H192">
        <v>0.2</v>
      </c>
      <c r="I192" t="s">
        <v>15</v>
      </c>
      <c r="J192">
        <v>7</v>
      </c>
      <c r="K192">
        <v>9</v>
      </c>
      <c r="L192">
        <v>1</v>
      </c>
      <c r="M192">
        <v>0</v>
      </c>
    </row>
    <row r="193" spans="1:13" x14ac:dyDescent="0.35">
      <c r="A193">
        <v>13</v>
      </c>
      <c r="B193" t="s">
        <v>13</v>
      </c>
      <c r="C193">
        <v>1.8</v>
      </c>
      <c r="D193" t="s">
        <v>14</v>
      </c>
      <c r="E193">
        <v>8.9</v>
      </c>
      <c r="F193">
        <v>1.2</v>
      </c>
      <c r="G193">
        <v>3.67</v>
      </c>
      <c r="H193">
        <v>0.1</v>
      </c>
      <c r="I193" t="s">
        <v>19</v>
      </c>
      <c r="J193">
        <v>2</v>
      </c>
      <c r="K193">
        <v>8</v>
      </c>
      <c r="L193">
        <v>9</v>
      </c>
      <c r="M193">
        <v>0</v>
      </c>
    </row>
    <row r="194" spans="1:13" x14ac:dyDescent="0.35">
      <c r="A194">
        <v>14</v>
      </c>
      <c r="B194" t="s">
        <v>13</v>
      </c>
      <c r="C194">
        <v>5.4</v>
      </c>
      <c r="D194" t="s">
        <v>14</v>
      </c>
      <c r="E194">
        <v>5.6</v>
      </c>
      <c r="F194">
        <v>1.8</v>
      </c>
      <c r="G194">
        <v>3.01</v>
      </c>
      <c r="H194">
        <v>0.9</v>
      </c>
      <c r="I194" t="s">
        <v>15</v>
      </c>
      <c r="J194">
        <v>10</v>
      </c>
      <c r="K194">
        <v>6</v>
      </c>
      <c r="L194">
        <v>8</v>
      </c>
      <c r="M194">
        <v>0</v>
      </c>
    </row>
    <row r="195" spans="1:13" x14ac:dyDescent="0.35">
      <c r="A195">
        <v>14</v>
      </c>
      <c r="B195" t="s">
        <v>16</v>
      </c>
      <c r="C195">
        <v>7.7</v>
      </c>
      <c r="D195" t="s">
        <v>14</v>
      </c>
      <c r="E195">
        <v>6.1</v>
      </c>
      <c r="F195">
        <v>0.8</v>
      </c>
      <c r="G195">
        <v>3.47</v>
      </c>
      <c r="H195">
        <v>1.5</v>
      </c>
      <c r="I195" t="s">
        <v>19</v>
      </c>
      <c r="J195">
        <v>9</v>
      </c>
      <c r="K195">
        <v>10</v>
      </c>
      <c r="L195">
        <v>9</v>
      </c>
      <c r="M195">
        <v>0</v>
      </c>
    </row>
    <row r="196" spans="1:13" x14ac:dyDescent="0.35">
      <c r="A196">
        <v>18</v>
      </c>
      <c r="B196" t="s">
        <v>16</v>
      </c>
      <c r="C196">
        <v>4.0999999999999996</v>
      </c>
      <c r="D196" t="s">
        <v>14</v>
      </c>
      <c r="E196">
        <v>8</v>
      </c>
      <c r="F196">
        <v>1.7</v>
      </c>
      <c r="G196">
        <v>2.29</v>
      </c>
      <c r="H196">
        <v>1.4</v>
      </c>
      <c r="I196" t="s">
        <v>15</v>
      </c>
      <c r="J196">
        <v>2</v>
      </c>
      <c r="K196">
        <v>1</v>
      </c>
      <c r="L196">
        <v>10</v>
      </c>
      <c r="M196">
        <v>0</v>
      </c>
    </row>
    <row r="197" spans="1:13" x14ac:dyDescent="0.35">
      <c r="A197">
        <v>15</v>
      </c>
      <c r="B197" t="s">
        <v>16</v>
      </c>
      <c r="C197">
        <v>6.6</v>
      </c>
      <c r="D197" t="s">
        <v>20</v>
      </c>
      <c r="E197">
        <v>4.9000000000000004</v>
      </c>
      <c r="F197">
        <v>3</v>
      </c>
      <c r="G197">
        <v>2.99</v>
      </c>
      <c r="H197">
        <v>0.9</v>
      </c>
      <c r="I197" t="s">
        <v>19</v>
      </c>
      <c r="J197">
        <v>4</v>
      </c>
      <c r="K197">
        <v>8</v>
      </c>
      <c r="L197">
        <v>3</v>
      </c>
      <c r="M197">
        <v>0</v>
      </c>
    </row>
    <row r="198" spans="1:13" x14ac:dyDescent="0.35">
      <c r="A198">
        <v>16</v>
      </c>
      <c r="B198" t="s">
        <v>13</v>
      </c>
      <c r="C198">
        <v>2.2999999999999998</v>
      </c>
      <c r="D198" t="s">
        <v>20</v>
      </c>
      <c r="E198">
        <v>4.0999999999999996</v>
      </c>
      <c r="F198">
        <v>0.8</v>
      </c>
      <c r="G198">
        <v>3.18</v>
      </c>
      <c r="H198">
        <v>1.7</v>
      </c>
      <c r="I198" t="s">
        <v>19</v>
      </c>
      <c r="J198">
        <v>5</v>
      </c>
      <c r="K198">
        <v>3</v>
      </c>
      <c r="L198">
        <v>8</v>
      </c>
      <c r="M198">
        <v>0</v>
      </c>
    </row>
    <row r="199" spans="1:13" x14ac:dyDescent="0.35">
      <c r="A199">
        <v>17</v>
      </c>
      <c r="B199" t="s">
        <v>16</v>
      </c>
      <c r="C199">
        <v>7.5</v>
      </c>
      <c r="D199" t="s">
        <v>14</v>
      </c>
      <c r="E199">
        <v>5.9</v>
      </c>
      <c r="F199">
        <v>2.9</v>
      </c>
      <c r="G199">
        <v>3.71</v>
      </c>
      <c r="H199">
        <v>1.7</v>
      </c>
      <c r="I199" t="s">
        <v>15</v>
      </c>
      <c r="J199">
        <v>3</v>
      </c>
      <c r="K199">
        <v>1</v>
      </c>
      <c r="L199">
        <v>10</v>
      </c>
      <c r="M199">
        <v>0</v>
      </c>
    </row>
    <row r="200" spans="1:13" x14ac:dyDescent="0.35">
      <c r="A200">
        <v>18</v>
      </c>
      <c r="B200" t="s">
        <v>13</v>
      </c>
      <c r="C200">
        <v>7.1</v>
      </c>
      <c r="D200" t="s">
        <v>14</v>
      </c>
      <c r="E200">
        <v>8</v>
      </c>
      <c r="F200">
        <v>2.9</v>
      </c>
      <c r="G200">
        <v>2.59</v>
      </c>
      <c r="H200">
        <v>1.2</v>
      </c>
      <c r="I200" t="s">
        <v>18</v>
      </c>
      <c r="J200">
        <v>10</v>
      </c>
      <c r="K200">
        <v>8</v>
      </c>
      <c r="L200">
        <v>5</v>
      </c>
      <c r="M200">
        <v>0</v>
      </c>
    </row>
    <row r="201" spans="1:13" x14ac:dyDescent="0.35">
      <c r="A201">
        <v>17</v>
      </c>
      <c r="B201" t="s">
        <v>16</v>
      </c>
      <c r="C201">
        <v>1.7</v>
      </c>
      <c r="D201" t="s">
        <v>20</v>
      </c>
      <c r="E201">
        <v>6.3</v>
      </c>
      <c r="F201">
        <v>1.5</v>
      </c>
      <c r="G201">
        <v>2.66</v>
      </c>
      <c r="H201">
        <v>1.8</v>
      </c>
      <c r="I201" t="s">
        <v>15</v>
      </c>
      <c r="J201">
        <v>1</v>
      </c>
      <c r="K201">
        <v>4</v>
      </c>
      <c r="L201">
        <v>10</v>
      </c>
      <c r="M201">
        <v>0</v>
      </c>
    </row>
    <row r="202" spans="1:13" x14ac:dyDescent="0.35">
      <c r="A202">
        <v>13</v>
      </c>
      <c r="B202" t="s">
        <v>13</v>
      </c>
      <c r="C202">
        <v>7.9</v>
      </c>
      <c r="D202" t="s">
        <v>14</v>
      </c>
      <c r="E202">
        <v>5.8</v>
      </c>
      <c r="F202">
        <v>0.8</v>
      </c>
      <c r="G202">
        <v>3.31</v>
      </c>
      <c r="H202">
        <v>1.6</v>
      </c>
      <c r="I202" t="s">
        <v>19</v>
      </c>
      <c r="J202">
        <v>3</v>
      </c>
      <c r="K202">
        <v>7</v>
      </c>
      <c r="L202">
        <v>2</v>
      </c>
      <c r="M202">
        <v>0</v>
      </c>
    </row>
    <row r="203" spans="1:13" x14ac:dyDescent="0.35">
      <c r="A203">
        <v>16</v>
      </c>
      <c r="B203" t="s">
        <v>16</v>
      </c>
      <c r="C203">
        <v>4</v>
      </c>
      <c r="D203" t="s">
        <v>14</v>
      </c>
      <c r="E203">
        <v>7.9</v>
      </c>
      <c r="F203">
        <v>1.9</v>
      </c>
      <c r="G203">
        <v>2.56</v>
      </c>
      <c r="H203">
        <v>0.1</v>
      </c>
      <c r="I203" t="s">
        <v>18</v>
      </c>
      <c r="J203">
        <v>4</v>
      </c>
      <c r="K203">
        <v>9</v>
      </c>
      <c r="L203">
        <v>9</v>
      </c>
      <c r="M203">
        <v>0</v>
      </c>
    </row>
    <row r="204" spans="1:13" x14ac:dyDescent="0.35">
      <c r="A204">
        <v>15</v>
      </c>
      <c r="B204" t="s">
        <v>16</v>
      </c>
      <c r="C204">
        <v>1.2</v>
      </c>
      <c r="D204" t="s">
        <v>17</v>
      </c>
      <c r="E204">
        <v>8.1</v>
      </c>
      <c r="F204">
        <v>2</v>
      </c>
      <c r="G204">
        <v>3.33</v>
      </c>
      <c r="H204">
        <v>1.5</v>
      </c>
      <c r="I204" t="s">
        <v>19</v>
      </c>
      <c r="J204">
        <v>7</v>
      </c>
      <c r="K204">
        <v>3</v>
      </c>
      <c r="L204">
        <v>8</v>
      </c>
      <c r="M204">
        <v>0</v>
      </c>
    </row>
    <row r="205" spans="1:13" x14ac:dyDescent="0.35">
      <c r="A205">
        <v>19</v>
      </c>
      <c r="B205" t="s">
        <v>13</v>
      </c>
      <c r="C205">
        <v>3.5</v>
      </c>
      <c r="D205" t="s">
        <v>17</v>
      </c>
      <c r="E205">
        <v>8.4</v>
      </c>
      <c r="F205">
        <v>1.7</v>
      </c>
      <c r="G205">
        <v>2.46</v>
      </c>
      <c r="H205">
        <v>0.1</v>
      </c>
      <c r="I205" t="s">
        <v>18</v>
      </c>
      <c r="J205">
        <v>6</v>
      </c>
      <c r="K205">
        <v>9</v>
      </c>
      <c r="L205">
        <v>3</v>
      </c>
      <c r="M205">
        <v>0</v>
      </c>
    </row>
    <row r="206" spans="1:13" x14ac:dyDescent="0.35">
      <c r="A206">
        <v>17</v>
      </c>
      <c r="B206" t="s">
        <v>13</v>
      </c>
      <c r="C206">
        <v>1.1000000000000001</v>
      </c>
      <c r="D206" t="s">
        <v>14</v>
      </c>
      <c r="E206">
        <v>6.8</v>
      </c>
      <c r="F206">
        <v>2</v>
      </c>
      <c r="G206">
        <v>3.45</v>
      </c>
      <c r="H206">
        <v>1.3</v>
      </c>
      <c r="I206" t="s">
        <v>19</v>
      </c>
      <c r="J206">
        <v>7</v>
      </c>
      <c r="K206">
        <v>1</v>
      </c>
      <c r="L206">
        <v>2</v>
      </c>
      <c r="M206">
        <v>0</v>
      </c>
    </row>
    <row r="207" spans="1:13" x14ac:dyDescent="0.35">
      <c r="A207">
        <v>19</v>
      </c>
      <c r="B207" t="s">
        <v>16</v>
      </c>
      <c r="C207">
        <v>1.6</v>
      </c>
      <c r="D207" t="s">
        <v>17</v>
      </c>
      <c r="E207">
        <v>4.0999999999999996</v>
      </c>
      <c r="F207">
        <v>1.6</v>
      </c>
      <c r="G207">
        <v>3.15</v>
      </c>
      <c r="H207">
        <v>0.9</v>
      </c>
      <c r="I207" t="s">
        <v>19</v>
      </c>
      <c r="J207">
        <v>2</v>
      </c>
      <c r="K207">
        <v>6</v>
      </c>
      <c r="L207">
        <v>4</v>
      </c>
      <c r="M207">
        <v>0</v>
      </c>
    </row>
    <row r="208" spans="1:13" x14ac:dyDescent="0.35">
      <c r="A208">
        <v>16</v>
      </c>
      <c r="B208" t="s">
        <v>16</v>
      </c>
      <c r="C208">
        <v>2.5</v>
      </c>
      <c r="D208" t="s">
        <v>17</v>
      </c>
      <c r="E208">
        <v>8.9</v>
      </c>
      <c r="F208">
        <v>2.9</v>
      </c>
      <c r="G208">
        <v>2.5299999999999998</v>
      </c>
      <c r="H208">
        <v>0.1</v>
      </c>
      <c r="I208" t="s">
        <v>18</v>
      </c>
      <c r="J208">
        <v>8</v>
      </c>
      <c r="K208">
        <v>7</v>
      </c>
      <c r="L208">
        <v>3</v>
      </c>
      <c r="M208">
        <v>0</v>
      </c>
    </row>
    <row r="209" spans="1:13" x14ac:dyDescent="0.35">
      <c r="A209">
        <v>15</v>
      </c>
      <c r="B209" t="s">
        <v>13</v>
      </c>
      <c r="C209">
        <v>2.8</v>
      </c>
      <c r="D209" t="s">
        <v>14</v>
      </c>
      <c r="E209">
        <v>7.2</v>
      </c>
      <c r="F209">
        <v>1.8</v>
      </c>
      <c r="G209">
        <v>2.91</v>
      </c>
      <c r="H209">
        <v>0.2</v>
      </c>
      <c r="I209" t="s">
        <v>15</v>
      </c>
      <c r="J209">
        <v>5</v>
      </c>
      <c r="K209">
        <v>5</v>
      </c>
      <c r="L209">
        <v>4</v>
      </c>
      <c r="M209">
        <v>0</v>
      </c>
    </row>
    <row r="210" spans="1:13" x14ac:dyDescent="0.35">
      <c r="A210">
        <v>15</v>
      </c>
      <c r="B210" t="s">
        <v>13</v>
      </c>
      <c r="C210">
        <v>2.2000000000000002</v>
      </c>
      <c r="D210" t="s">
        <v>14</v>
      </c>
      <c r="E210">
        <v>5.2</v>
      </c>
      <c r="F210">
        <v>1.4</v>
      </c>
      <c r="G210">
        <v>2.62</v>
      </c>
      <c r="H210">
        <v>1.5</v>
      </c>
      <c r="I210" t="s">
        <v>19</v>
      </c>
      <c r="J210">
        <v>10</v>
      </c>
      <c r="K210">
        <v>7</v>
      </c>
      <c r="L210">
        <v>5</v>
      </c>
      <c r="M210">
        <v>0</v>
      </c>
    </row>
    <row r="211" spans="1:13" x14ac:dyDescent="0.35">
      <c r="A211">
        <v>16</v>
      </c>
      <c r="B211" t="s">
        <v>13</v>
      </c>
      <c r="C211">
        <v>4.8</v>
      </c>
      <c r="D211" t="s">
        <v>20</v>
      </c>
      <c r="E211">
        <v>6.8</v>
      </c>
      <c r="F211">
        <v>1</v>
      </c>
      <c r="G211">
        <v>2.6</v>
      </c>
      <c r="H211">
        <v>1.1000000000000001</v>
      </c>
      <c r="I211" t="s">
        <v>19</v>
      </c>
      <c r="J211">
        <v>1</v>
      </c>
      <c r="K211">
        <v>5</v>
      </c>
      <c r="L211">
        <v>6</v>
      </c>
      <c r="M211">
        <v>0</v>
      </c>
    </row>
    <row r="212" spans="1:13" x14ac:dyDescent="0.35">
      <c r="A212">
        <v>18</v>
      </c>
      <c r="B212" t="s">
        <v>16</v>
      </c>
      <c r="C212">
        <v>3.7</v>
      </c>
      <c r="D212" t="s">
        <v>20</v>
      </c>
      <c r="E212">
        <v>7.9</v>
      </c>
      <c r="F212">
        <v>2.7</v>
      </c>
      <c r="G212">
        <v>3.11</v>
      </c>
      <c r="H212">
        <v>0.3</v>
      </c>
      <c r="I212" t="s">
        <v>19</v>
      </c>
      <c r="J212">
        <v>6</v>
      </c>
      <c r="K212">
        <v>6</v>
      </c>
      <c r="L212">
        <v>5</v>
      </c>
      <c r="M212">
        <v>0</v>
      </c>
    </row>
    <row r="213" spans="1:13" x14ac:dyDescent="0.35">
      <c r="A213">
        <v>16</v>
      </c>
      <c r="B213" t="s">
        <v>13</v>
      </c>
      <c r="C213">
        <v>5.5</v>
      </c>
      <c r="D213" t="s">
        <v>14</v>
      </c>
      <c r="E213">
        <v>8.3000000000000007</v>
      </c>
      <c r="F213">
        <v>2.2999999999999998</v>
      </c>
      <c r="G213">
        <v>3.47</v>
      </c>
      <c r="H213">
        <v>1.6</v>
      </c>
      <c r="I213" t="s">
        <v>19</v>
      </c>
      <c r="J213">
        <v>4</v>
      </c>
      <c r="K213">
        <v>8</v>
      </c>
      <c r="L213">
        <v>5</v>
      </c>
      <c r="M213">
        <v>0</v>
      </c>
    </row>
    <row r="214" spans="1:13" x14ac:dyDescent="0.35">
      <c r="A214">
        <v>16</v>
      </c>
      <c r="B214" t="s">
        <v>13</v>
      </c>
      <c r="C214">
        <v>2.5</v>
      </c>
      <c r="D214" t="s">
        <v>14</v>
      </c>
      <c r="E214">
        <v>6.8</v>
      </c>
      <c r="F214">
        <v>1</v>
      </c>
      <c r="G214">
        <v>3.77</v>
      </c>
      <c r="H214">
        <v>1</v>
      </c>
      <c r="I214" t="s">
        <v>18</v>
      </c>
      <c r="J214">
        <v>3</v>
      </c>
      <c r="K214">
        <v>9</v>
      </c>
      <c r="L214">
        <v>9</v>
      </c>
      <c r="M214">
        <v>0</v>
      </c>
    </row>
    <row r="215" spans="1:13" x14ac:dyDescent="0.35">
      <c r="A215">
        <v>18</v>
      </c>
      <c r="B215" t="s">
        <v>16</v>
      </c>
      <c r="C215">
        <v>1.9</v>
      </c>
      <c r="D215" t="s">
        <v>17</v>
      </c>
      <c r="E215">
        <v>5.8</v>
      </c>
      <c r="F215">
        <v>1.7</v>
      </c>
      <c r="G215">
        <v>3.52</v>
      </c>
      <c r="H215">
        <v>0.2</v>
      </c>
      <c r="I215" t="s">
        <v>15</v>
      </c>
      <c r="J215">
        <v>6</v>
      </c>
      <c r="K215">
        <v>5</v>
      </c>
      <c r="L215">
        <v>1</v>
      </c>
      <c r="M215">
        <v>0</v>
      </c>
    </row>
    <row r="216" spans="1:13" x14ac:dyDescent="0.35">
      <c r="A216">
        <v>13</v>
      </c>
      <c r="B216" t="s">
        <v>13</v>
      </c>
      <c r="C216">
        <v>5.9</v>
      </c>
      <c r="D216" t="s">
        <v>14</v>
      </c>
      <c r="E216">
        <v>7.5</v>
      </c>
      <c r="F216">
        <v>1.4</v>
      </c>
      <c r="G216">
        <v>2.58</v>
      </c>
      <c r="H216">
        <v>1.2</v>
      </c>
      <c r="I216" t="s">
        <v>15</v>
      </c>
      <c r="J216">
        <v>6</v>
      </c>
      <c r="K216">
        <v>2</v>
      </c>
      <c r="L216">
        <v>8</v>
      </c>
      <c r="M216">
        <v>0</v>
      </c>
    </row>
    <row r="217" spans="1:13" x14ac:dyDescent="0.35">
      <c r="A217">
        <v>13</v>
      </c>
      <c r="B217" t="s">
        <v>16</v>
      </c>
      <c r="C217">
        <v>6.5</v>
      </c>
      <c r="D217" t="s">
        <v>17</v>
      </c>
      <c r="E217">
        <v>8.3000000000000007</v>
      </c>
      <c r="F217">
        <v>0.6</v>
      </c>
      <c r="G217">
        <v>3.05</v>
      </c>
      <c r="H217">
        <v>0.3</v>
      </c>
      <c r="I217" t="s">
        <v>18</v>
      </c>
      <c r="J217">
        <v>2</v>
      </c>
      <c r="K217">
        <v>7</v>
      </c>
      <c r="L217">
        <v>8</v>
      </c>
      <c r="M217">
        <v>0</v>
      </c>
    </row>
    <row r="218" spans="1:13" x14ac:dyDescent="0.35">
      <c r="A218">
        <v>15</v>
      </c>
      <c r="B218" t="s">
        <v>13</v>
      </c>
      <c r="C218">
        <v>7.5</v>
      </c>
      <c r="D218" t="s">
        <v>14</v>
      </c>
      <c r="E218">
        <v>8.1</v>
      </c>
      <c r="F218">
        <v>2.5</v>
      </c>
      <c r="G218">
        <v>3.56</v>
      </c>
      <c r="H218">
        <v>1.2</v>
      </c>
      <c r="I218" t="s">
        <v>19</v>
      </c>
      <c r="J218">
        <v>6</v>
      </c>
      <c r="K218">
        <v>8</v>
      </c>
      <c r="L218">
        <v>10</v>
      </c>
      <c r="M218">
        <v>0</v>
      </c>
    </row>
    <row r="219" spans="1:13" x14ac:dyDescent="0.35">
      <c r="A219">
        <v>19</v>
      </c>
      <c r="B219" t="s">
        <v>13</v>
      </c>
      <c r="C219">
        <v>4.9000000000000004</v>
      </c>
      <c r="D219" t="s">
        <v>17</v>
      </c>
      <c r="E219">
        <v>4.5</v>
      </c>
      <c r="F219">
        <v>2.9</v>
      </c>
      <c r="G219">
        <v>3.88</v>
      </c>
      <c r="H219">
        <v>0.8</v>
      </c>
      <c r="I219" t="s">
        <v>15</v>
      </c>
      <c r="J219">
        <v>5</v>
      </c>
      <c r="K219">
        <v>5</v>
      </c>
      <c r="L219">
        <v>6</v>
      </c>
      <c r="M219">
        <v>0</v>
      </c>
    </row>
    <row r="220" spans="1:13" x14ac:dyDescent="0.35">
      <c r="A220">
        <v>13</v>
      </c>
      <c r="B220" t="s">
        <v>13</v>
      </c>
      <c r="C220">
        <v>2.2000000000000002</v>
      </c>
      <c r="D220" t="s">
        <v>17</v>
      </c>
      <c r="E220">
        <v>5.3</v>
      </c>
      <c r="F220">
        <v>1.4</v>
      </c>
      <c r="G220">
        <v>3.97</v>
      </c>
      <c r="H220">
        <v>0</v>
      </c>
      <c r="I220" t="s">
        <v>15</v>
      </c>
      <c r="J220">
        <v>1</v>
      </c>
      <c r="K220">
        <v>10</v>
      </c>
      <c r="L220">
        <v>7</v>
      </c>
      <c r="M220">
        <v>0</v>
      </c>
    </row>
    <row r="221" spans="1:13" x14ac:dyDescent="0.35">
      <c r="A221">
        <v>14</v>
      </c>
      <c r="B221" t="s">
        <v>13</v>
      </c>
      <c r="C221">
        <v>5.8</v>
      </c>
      <c r="D221" t="s">
        <v>20</v>
      </c>
      <c r="E221">
        <v>6.9</v>
      </c>
      <c r="F221">
        <v>0.7</v>
      </c>
      <c r="G221">
        <v>3.01</v>
      </c>
      <c r="H221">
        <v>1.9</v>
      </c>
      <c r="I221" t="s">
        <v>18</v>
      </c>
      <c r="J221">
        <v>9</v>
      </c>
      <c r="K221">
        <v>9</v>
      </c>
      <c r="L221">
        <v>4</v>
      </c>
      <c r="M221">
        <v>0</v>
      </c>
    </row>
    <row r="222" spans="1:13" x14ac:dyDescent="0.35">
      <c r="A222">
        <v>14</v>
      </c>
      <c r="B222" t="s">
        <v>13</v>
      </c>
      <c r="C222">
        <v>1.3</v>
      </c>
      <c r="D222" t="s">
        <v>14</v>
      </c>
      <c r="E222">
        <v>8.5</v>
      </c>
      <c r="F222">
        <v>0.9</v>
      </c>
      <c r="G222">
        <v>3.71</v>
      </c>
      <c r="H222">
        <v>0.7</v>
      </c>
      <c r="I222" t="s">
        <v>18</v>
      </c>
      <c r="J222">
        <v>3</v>
      </c>
      <c r="K222">
        <v>3</v>
      </c>
      <c r="L222">
        <v>6</v>
      </c>
      <c r="M222">
        <v>0</v>
      </c>
    </row>
    <row r="223" spans="1:13" x14ac:dyDescent="0.35">
      <c r="A223">
        <v>19</v>
      </c>
      <c r="B223" t="s">
        <v>16</v>
      </c>
      <c r="C223">
        <v>2.8</v>
      </c>
      <c r="D223" t="s">
        <v>17</v>
      </c>
      <c r="E223">
        <v>4.8</v>
      </c>
      <c r="F223">
        <v>1.7</v>
      </c>
      <c r="G223">
        <v>2.8</v>
      </c>
      <c r="H223">
        <v>0.6</v>
      </c>
      <c r="I223" t="s">
        <v>15</v>
      </c>
      <c r="J223">
        <v>5</v>
      </c>
      <c r="K223">
        <v>7</v>
      </c>
      <c r="L223">
        <v>4</v>
      </c>
      <c r="M223">
        <v>0</v>
      </c>
    </row>
    <row r="224" spans="1:13" x14ac:dyDescent="0.35">
      <c r="A224">
        <v>19</v>
      </c>
      <c r="B224" t="s">
        <v>16</v>
      </c>
      <c r="C224">
        <v>4</v>
      </c>
      <c r="D224" t="s">
        <v>17</v>
      </c>
      <c r="E224">
        <v>6.5</v>
      </c>
      <c r="F224">
        <v>2.4</v>
      </c>
      <c r="G224">
        <v>3.67</v>
      </c>
      <c r="H224">
        <v>0.6</v>
      </c>
      <c r="I224" t="s">
        <v>15</v>
      </c>
      <c r="J224">
        <v>4</v>
      </c>
      <c r="K224">
        <v>6</v>
      </c>
      <c r="L224">
        <v>4</v>
      </c>
      <c r="M224">
        <v>0</v>
      </c>
    </row>
    <row r="225" spans="1:13" x14ac:dyDescent="0.35">
      <c r="A225">
        <v>14</v>
      </c>
      <c r="B225" t="s">
        <v>16</v>
      </c>
      <c r="C225">
        <v>1.7</v>
      </c>
      <c r="D225" t="s">
        <v>17</v>
      </c>
      <c r="E225">
        <v>4.9000000000000004</v>
      </c>
      <c r="F225">
        <v>1.6</v>
      </c>
      <c r="G225">
        <v>2.36</v>
      </c>
      <c r="H225">
        <v>1.7</v>
      </c>
      <c r="I225" t="s">
        <v>18</v>
      </c>
      <c r="J225">
        <v>3</v>
      </c>
      <c r="K225">
        <v>1</v>
      </c>
      <c r="L225">
        <v>6</v>
      </c>
      <c r="M225">
        <v>0</v>
      </c>
    </row>
    <row r="226" spans="1:13" x14ac:dyDescent="0.35">
      <c r="A226">
        <v>18</v>
      </c>
      <c r="B226" t="s">
        <v>16</v>
      </c>
      <c r="C226">
        <v>1.4</v>
      </c>
      <c r="D226" t="s">
        <v>17</v>
      </c>
      <c r="E226">
        <v>6.1</v>
      </c>
      <c r="F226">
        <v>1.6</v>
      </c>
      <c r="G226">
        <v>2.56</v>
      </c>
      <c r="H226">
        <v>1.2</v>
      </c>
      <c r="I226" t="s">
        <v>18</v>
      </c>
      <c r="J226">
        <v>2</v>
      </c>
      <c r="K226">
        <v>7</v>
      </c>
      <c r="L226">
        <v>8</v>
      </c>
      <c r="M226">
        <v>0</v>
      </c>
    </row>
    <row r="227" spans="1:13" x14ac:dyDescent="0.35">
      <c r="A227">
        <v>19</v>
      </c>
      <c r="B227" t="s">
        <v>13</v>
      </c>
      <c r="C227">
        <v>2.2999999999999998</v>
      </c>
      <c r="D227" t="s">
        <v>17</v>
      </c>
      <c r="E227">
        <v>6.5</v>
      </c>
      <c r="F227">
        <v>3</v>
      </c>
      <c r="G227">
        <v>3.5</v>
      </c>
      <c r="H227">
        <v>0.1</v>
      </c>
      <c r="I227" t="s">
        <v>18</v>
      </c>
      <c r="J227">
        <v>9</v>
      </c>
      <c r="K227">
        <v>10</v>
      </c>
      <c r="L227">
        <v>8</v>
      </c>
      <c r="M227">
        <v>0</v>
      </c>
    </row>
    <row r="228" spans="1:13" x14ac:dyDescent="0.35">
      <c r="A228">
        <v>14</v>
      </c>
      <c r="B228" t="s">
        <v>13</v>
      </c>
      <c r="C228">
        <v>3.8</v>
      </c>
      <c r="D228" t="s">
        <v>14</v>
      </c>
      <c r="E228">
        <v>5.3</v>
      </c>
      <c r="F228">
        <v>1</v>
      </c>
      <c r="G228">
        <v>2.2799999999999998</v>
      </c>
      <c r="H228">
        <v>1.2</v>
      </c>
      <c r="I228" t="s">
        <v>15</v>
      </c>
      <c r="J228">
        <v>9</v>
      </c>
      <c r="K228">
        <v>3</v>
      </c>
      <c r="L228">
        <v>1</v>
      </c>
      <c r="M228">
        <v>0</v>
      </c>
    </row>
    <row r="229" spans="1:13" x14ac:dyDescent="0.35">
      <c r="A229">
        <v>13</v>
      </c>
      <c r="B229" t="s">
        <v>13</v>
      </c>
      <c r="C229">
        <v>6.4</v>
      </c>
      <c r="D229" t="s">
        <v>17</v>
      </c>
      <c r="E229">
        <v>5.0999999999999996</v>
      </c>
      <c r="F229">
        <v>2.5</v>
      </c>
      <c r="G229">
        <v>2.62</v>
      </c>
      <c r="H229">
        <v>1.3</v>
      </c>
      <c r="I229" t="s">
        <v>15</v>
      </c>
      <c r="J229">
        <v>5</v>
      </c>
      <c r="K229">
        <v>4</v>
      </c>
      <c r="L229">
        <v>7</v>
      </c>
      <c r="M229">
        <v>0</v>
      </c>
    </row>
    <row r="230" spans="1:13" x14ac:dyDescent="0.35">
      <c r="A230">
        <v>19</v>
      </c>
      <c r="B230" t="s">
        <v>13</v>
      </c>
      <c r="C230">
        <v>6</v>
      </c>
      <c r="D230" t="s">
        <v>20</v>
      </c>
      <c r="E230">
        <v>7.1</v>
      </c>
      <c r="F230">
        <v>0.9</v>
      </c>
      <c r="G230">
        <v>2.98</v>
      </c>
      <c r="H230">
        <v>0.1</v>
      </c>
      <c r="I230" t="s">
        <v>15</v>
      </c>
      <c r="J230">
        <v>1</v>
      </c>
      <c r="K230">
        <v>6</v>
      </c>
      <c r="L230">
        <v>5</v>
      </c>
      <c r="M230">
        <v>0</v>
      </c>
    </row>
    <row r="231" spans="1:13" x14ac:dyDescent="0.35">
      <c r="A231">
        <v>16</v>
      </c>
      <c r="B231" t="s">
        <v>13</v>
      </c>
      <c r="C231">
        <v>1.9</v>
      </c>
      <c r="D231" t="s">
        <v>14</v>
      </c>
      <c r="E231">
        <v>7.8</v>
      </c>
      <c r="F231">
        <v>2.1</v>
      </c>
      <c r="G231">
        <v>2.2599999999999998</v>
      </c>
      <c r="H231">
        <v>0.3</v>
      </c>
      <c r="I231" t="s">
        <v>18</v>
      </c>
      <c r="J231">
        <v>7</v>
      </c>
      <c r="K231">
        <v>7</v>
      </c>
      <c r="L231">
        <v>5</v>
      </c>
      <c r="M231">
        <v>0</v>
      </c>
    </row>
    <row r="232" spans="1:13" x14ac:dyDescent="0.35">
      <c r="A232">
        <v>17</v>
      </c>
      <c r="B232" t="s">
        <v>13</v>
      </c>
      <c r="C232">
        <v>2.4</v>
      </c>
      <c r="D232" t="s">
        <v>17</v>
      </c>
      <c r="E232">
        <v>8.5</v>
      </c>
      <c r="F232">
        <v>2.4</v>
      </c>
      <c r="G232">
        <v>2.79</v>
      </c>
      <c r="H232">
        <v>1.1000000000000001</v>
      </c>
      <c r="I232" t="s">
        <v>15</v>
      </c>
      <c r="J232">
        <v>1</v>
      </c>
      <c r="K232">
        <v>6</v>
      </c>
      <c r="L232">
        <v>7</v>
      </c>
      <c r="M232">
        <v>0</v>
      </c>
    </row>
    <row r="233" spans="1:13" x14ac:dyDescent="0.35">
      <c r="A233">
        <v>14</v>
      </c>
      <c r="B233" t="s">
        <v>16</v>
      </c>
      <c r="C233">
        <v>2.7</v>
      </c>
      <c r="D233" t="s">
        <v>14</v>
      </c>
      <c r="E233">
        <v>5.0999999999999996</v>
      </c>
      <c r="F233">
        <v>2.4</v>
      </c>
      <c r="G233">
        <v>2.17</v>
      </c>
      <c r="H233">
        <v>1.8</v>
      </c>
      <c r="I233" t="s">
        <v>18</v>
      </c>
      <c r="J233">
        <v>3</v>
      </c>
      <c r="K233">
        <v>10</v>
      </c>
      <c r="L233">
        <v>8</v>
      </c>
      <c r="M233">
        <v>0</v>
      </c>
    </row>
    <row r="234" spans="1:13" x14ac:dyDescent="0.35">
      <c r="A234">
        <v>14</v>
      </c>
      <c r="B234" t="s">
        <v>13</v>
      </c>
      <c r="C234">
        <v>1.5</v>
      </c>
      <c r="D234" t="s">
        <v>20</v>
      </c>
      <c r="E234">
        <v>7.2</v>
      </c>
      <c r="F234">
        <v>1.7</v>
      </c>
      <c r="G234">
        <v>2.76</v>
      </c>
      <c r="H234">
        <v>0</v>
      </c>
      <c r="I234" t="s">
        <v>15</v>
      </c>
      <c r="J234">
        <v>10</v>
      </c>
      <c r="K234">
        <v>7</v>
      </c>
      <c r="L234">
        <v>10</v>
      </c>
      <c r="M234">
        <v>0</v>
      </c>
    </row>
    <row r="235" spans="1:13" x14ac:dyDescent="0.35">
      <c r="A235">
        <v>18</v>
      </c>
      <c r="B235" t="s">
        <v>13</v>
      </c>
      <c r="C235">
        <v>7.7</v>
      </c>
      <c r="D235" t="s">
        <v>14</v>
      </c>
      <c r="E235">
        <v>7.3</v>
      </c>
      <c r="F235">
        <v>1.8</v>
      </c>
      <c r="G235">
        <v>3.13</v>
      </c>
      <c r="H235">
        <v>2</v>
      </c>
      <c r="I235" t="s">
        <v>19</v>
      </c>
      <c r="J235">
        <v>7</v>
      </c>
      <c r="K235">
        <v>9</v>
      </c>
      <c r="L235">
        <v>7</v>
      </c>
      <c r="M235">
        <v>0</v>
      </c>
    </row>
    <row r="236" spans="1:13" x14ac:dyDescent="0.35">
      <c r="A236">
        <v>13</v>
      </c>
      <c r="B236" t="s">
        <v>13</v>
      </c>
      <c r="C236">
        <v>2.9</v>
      </c>
      <c r="D236" t="s">
        <v>17</v>
      </c>
      <c r="E236">
        <v>5.0999999999999996</v>
      </c>
      <c r="F236">
        <v>2.2000000000000002</v>
      </c>
      <c r="G236">
        <v>3.81</v>
      </c>
      <c r="H236">
        <v>0.7</v>
      </c>
      <c r="I236" t="s">
        <v>15</v>
      </c>
      <c r="J236">
        <v>6</v>
      </c>
      <c r="K236">
        <v>6</v>
      </c>
      <c r="L236">
        <v>10</v>
      </c>
      <c r="M236">
        <v>0</v>
      </c>
    </row>
    <row r="237" spans="1:13" x14ac:dyDescent="0.35">
      <c r="A237">
        <v>16</v>
      </c>
      <c r="B237" t="s">
        <v>13</v>
      </c>
      <c r="C237">
        <v>7.6</v>
      </c>
      <c r="D237" t="s">
        <v>17</v>
      </c>
      <c r="E237">
        <v>4.3</v>
      </c>
      <c r="F237">
        <v>2.7</v>
      </c>
      <c r="G237">
        <v>2.5099999999999998</v>
      </c>
      <c r="H237">
        <v>0.3</v>
      </c>
      <c r="I237" t="s">
        <v>19</v>
      </c>
      <c r="J237">
        <v>3</v>
      </c>
      <c r="K237">
        <v>9</v>
      </c>
      <c r="L237">
        <v>10</v>
      </c>
      <c r="M237">
        <v>0</v>
      </c>
    </row>
    <row r="238" spans="1:13" x14ac:dyDescent="0.35">
      <c r="A238">
        <v>18</v>
      </c>
      <c r="B238" t="s">
        <v>13</v>
      </c>
      <c r="C238">
        <v>5.7</v>
      </c>
      <c r="D238" t="s">
        <v>20</v>
      </c>
      <c r="E238">
        <v>8.4</v>
      </c>
      <c r="F238">
        <v>2.4</v>
      </c>
      <c r="G238">
        <v>2.84</v>
      </c>
      <c r="H238">
        <v>0.7</v>
      </c>
      <c r="I238" t="s">
        <v>15</v>
      </c>
      <c r="J238">
        <v>5</v>
      </c>
      <c r="K238">
        <v>4</v>
      </c>
      <c r="L238">
        <v>9</v>
      </c>
      <c r="M238">
        <v>0</v>
      </c>
    </row>
    <row r="239" spans="1:13" x14ac:dyDescent="0.35">
      <c r="A239">
        <v>19</v>
      </c>
      <c r="B239" t="s">
        <v>13</v>
      </c>
      <c r="C239">
        <v>1.2</v>
      </c>
      <c r="D239" t="s">
        <v>17</v>
      </c>
      <c r="E239">
        <v>5</v>
      </c>
      <c r="F239">
        <v>1.5</v>
      </c>
      <c r="G239">
        <v>2.09</v>
      </c>
      <c r="H239">
        <v>0.6</v>
      </c>
      <c r="I239" t="s">
        <v>19</v>
      </c>
      <c r="J239">
        <v>5</v>
      </c>
      <c r="K239">
        <v>2</v>
      </c>
      <c r="L239">
        <v>1</v>
      </c>
      <c r="M239">
        <v>0</v>
      </c>
    </row>
    <row r="240" spans="1:13" x14ac:dyDescent="0.35">
      <c r="A240">
        <v>16</v>
      </c>
      <c r="B240" t="s">
        <v>16</v>
      </c>
      <c r="C240">
        <v>2.4</v>
      </c>
      <c r="D240" t="s">
        <v>20</v>
      </c>
      <c r="E240">
        <v>6.2</v>
      </c>
      <c r="F240">
        <v>1.6</v>
      </c>
      <c r="G240">
        <v>2.38</v>
      </c>
      <c r="H240">
        <v>0</v>
      </c>
      <c r="I240" t="s">
        <v>19</v>
      </c>
      <c r="J240">
        <v>8</v>
      </c>
      <c r="K240">
        <v>4</v>
      </c>
      <c r="L240">
        <v>10</v>
      </c>
      <c r="M240">
        <v>0</v>
      </c>
    </row>
    <row r="241" spans="1:13" x14ac:dyDescent="0.35">
      <c r="A241">
        <v>17</v>
      </c>
      <c r="B241" t="s">
        <v>16</v>
      </c>
      <c r="C241">
        <v>6.2</v>
      </c>
      <c r="D241" t="s">
        <v>20</v>
      </c>
      <c r="E241">
        <v>5.0999999999999996</v>
      </c>
      <c r="F241">
        <v>2</v>
      </c>
      <c r="G241">
        <v>3.82</v>
      </c>
      <c r="H241">
        <v>1.7</v>
      </c>
      <c r="I241" t="s">
        <v>19</v>
      </c>
      <c r="J241">
        <v>7</v>
      </c>
      <c r="K241">
        <v>3</v>
      </c>
      <c r="L241">
        <v>5</v>
      </c>
      <c r="M241">
        <v>0</v>
      </c>
    </row>
    <row r="242" spans="1:13" x14ac:dyDescent="0.35">
      <c r="A242">
        <v>14</v>
      </c>
      <c r="B242" t="s">
        <v>16</v>
      </c>
      <c r="C242">
        <v>4.7</v>
      </c>
      <c r="D242" t="s">
        <v>14</v>
      </c>
      <c r="E242">
        <v>5.0999999999999996</v>
      </c>
      <c r="F242">
        <v>2.2000000000000002</v>
      </c>
      <c r="G242">
        <v>2.0299999999999998</v>
      </c>
      <c r="H242">
        <v>1.1000000000000001</v>
      </c>
      <c r="I242" t="s">
        <v>19</v>
      </c>
      <c r="J242">
        <v>2</v>
      </c>
      <c r="K242">
        <v>10</v>
      </c>
      <c r="L242">
        <v>7</v>
      </c>
      <c r="M242">
        <v>0</v>
      </c>
    </row>
    <row r="243" spans="1:13" x14ac:dyDescent="0.35">
      <c r="A243">
        <v>19</v>
      </c>
      <c r="B243" t="s">
        <v>13</v>
      </c>
      <c r="C243">
        <v>5.3</v>
      </c>
      <c r="D243" t="s">
        <v>14</v>
      </c>
      <c r="E243">
        <v>6.7</v>
      </c>
      <c r="F243">
        <v>0.7</v>
      </c>
      <c r="G243">
        <v>3.59</v>
      </c>
      <c r="H243">
        <v>1.8</v>
      </c>
      <c r="I243" t="s">
        <v>18</v>
      </c>
      <c r="J243">
        <v>4</v>
      </c>
      <c r="K243">
        <v>8</v>
      </c>
      <c r="L243">
        <v>8</v>
      </c>
      <c r="M243">
        <v>0</v>
      </c>
    </row>
    <row r="244" spans="1:13" x14ac:dyDescent="0.35">
      <c r="A244">
        <v>19</v>
      </c>
      <c r="B244" t="s">
        <v>16</v>
      </c>
      <c r="C244">
        <v>6</v>
      </c>
      <c r="D244" t="s">
        <v>17</v>
      </c>
      <c r="E244">
        <v>6</v>
      </c>
      <c r="F244">
        <v>0.7</v>
      </c>
      <c r="G244">
        <v>3.29</v>
      </c>
      <c r="H244">
        <v>1.4</v>
      </c>
      <c r="I244" t="s">
        <v>15</v>
      </c>
      <c r="J244">
        <v>4</v>
      </c>
      <c r="K244">
        <v>5</v>
      </c>
      <c r="L244">
        <v>1</v>
      </c>
      <c r="M244">
        <v>0</v>
      </c>
    </row>
    <row r="245" spans="1:13" x14ac:dyDescent="0.35">
      <c r="A245">
        <v>16</v>
      </c>
      <c r="B245" t="s">
        <v>16</v>
      </c>
      <c r="C245">
        <v>7.8</v>
      </c>
      <c r="D245" t="s">
        <v>17</v>
      </c>
      <c r="E245">
        <v>4.7</v>
      </c>
      <c r="F245">
        <v>2.1</v>
      </c>
      <c r="G245">
        <v>2.48</v>
      </c>
      <c r="H245">
        <v>2</v>
      </c>
      <c r="I245" t="s">
        <v>15</v>
      </c>
      <c r="J245">
        <v>8</v>
      </c>
      <c r="K245">
        <v>3</v>
      </c>
      <c r="L245">
        <v>1</v>
      </c>
      <c r="M245">
        <v>0</v>
      </c>
    </row>
    <row r="246" spans="1:13" x14ac:dyDescent="0.35">
      <c r="A246">
        <v>14</v>
      </c>
      <c r="B246" t="s">
        <v>16</v>
      </c>
      <c r="C246">
        <v>4.4000000000000004</v>
      </c>
      <c r="D246" t="s">
        <v>20</v>
      </c>
      <c r="E246">
        <v>4.2</v>
      </c>
      <c r="F246">
        <v>2.6</v>
      </c>
      <c r="G246">
        <v>2.2799999999999998</v>
      </c>
      <c r="H246">
        <v>1.3</v>
      </c>
      <c r="I246" t="s">
        <v>19</v>
      </c>
      <c r="J246">
        <v>8</v>
      </c>
      <c r="K246">
        <v>10</v>
      </c>
      <c r="L246">
        <v>4</v>
      </c>
      <c r="M246">
        <v>0</v>
      </c>
    </row>
    <row r="247" spans="1:13" x14ac:dyDescent="0.35">
      <c r="A247">
        <v>17</v>
      </c>
      <c r="B247" t="s">
        <v>13</v>
      </c>
      <c r="C247">
        <v>6.7</v>
      </c>
      <c r="D247" t="s">
        <v>14</v>
      </c>
      <c r="E247">
        <v>7.6</v>
      </c>
      <c r="F247">
        <v>2.4</v>
      </c>
      <c r="G247">
        <v>3.59</v>
      </c>
      <c r="H247">
        <v>0.4</v>
      </c>
      <c r="I247" t="s">
        <v>19</v>
      </c>
      <c r="J247">
        <v>9</v>
      </c>
      <c r="K247">
        <v>5</v>
      </c>
      <c r="L247">
        <v>5</v>
      </c>
      <c r="M247">
        <v>0</v>
      </c>
    </row>
    <row r="248" spans="1:13" x14ac:dyDescent="0.35">
      <c r="A248">
        <v>13</v>
      </c>
      <c r="B248" t="s">
        <v>16</v>
      </c>
      <c r="C248">
        <v>7.2</v>
      </c>
      <c r="D248" t="s">
        <v>17</v>
      </c>
      <c r="E248">
        <v>7.4</v>
      </c>
      <c r="F248">
        <v>2.2000000000000002</v>
      </c>
      <c r="G248">
        <v>3.42</v>
      </c>
      <c r="H248">
        <v>0.1</v>
      </c>
      <c r="I248" t="s">
        <v>15</v>
      </c>
      <c r="J248">
        <v>8</v>
      </c>
      <c r="K248">
        <v>9</v>
      </c>
      <c r="L248">
        <v>6</v>
      </c>
      <c r="M248">
        <v>0</v>
      </c>
    </row>
    <row r="249" spans="1:13" x14ac:dyDescent="0.35">
      <c r="A249">
        <v>18</v>
      </c>
      <c r="B249" t="s">
        <v>13</v>
      </c>
      <c r="C249">
        <v>6.1</v>
      </c>
      <c r="D249" t="s">
        <v>20</v>
      </c>
      <c r="E249">
        <v>4.4000000000000004</v>
      </c>
      <c r="F249">
        <v>2.1</v>
      </c>
      <c r="G249">
        <v>2.23</v>
      </c>
      <c r="H249">
        <v>1</v>
      </c>
      <c r="I249" t="s">
        <v>15</v>
      </c>
      <c r="J249">
        <v>8</v>
      </c>
      <c r="K249">
        <v>2</v>
      </c>
      <c r="L249">
        <v>5</v>
      </c>
      <c r="M249">
        <v>0</v>
      </c>
    </row>
    <row r="250" spans="1:13" x14ac:dyDescent="0.35">
      <c r="A250">
        <v>16</v>
      </c>
      <c r="B250" t="s">
        <v>13</v>
      </c>
      <c r="C250">
        <v>5.4</v>
      </c>
      <c r="D250" t="s">
        <v>17</v>
      </c>
      <c r="E250">
        <v>8.6999999999999993</v>
      </c>
      <c r="F250">
        <v>1.9</v>
      </c>
      <c r="G250">
        <v>2.67</v>
      </c>
      <c r="H250">
        <v>1.3</v>
      </c>
      <c r="I250" t="s">
        <v>15</v>
      </c>
      <c r="J250">
        <v>1</v>
      </c>
      <c r="K250">
        <v>5</v>
      </c>
      <c r="L250">
        <v>7</v>
      </c>
      <c r="M250">
        <v>0</v>
      </c>
    </row>
    <row r="251" spans="1:13" x14ac:dyDescent="0.35">
      <c r="A251">
        <v>19</v>
      </c>
      <c r="B251" t="s">
        <v>13</v>
      </c>
      <c r="C251">
        <v>2.7</v>
      </c>
      <c r="D251" t="s">
        <v>20</v>
      </c>
      <c r="E251">
        <v>7.7</v>
      </c>
      <c r="F251">
        <v>0.7</v>
      </c>
      <c r="G251">
        <v>2.2200000000000002</v>
      </c>
      <c r="H251">
        <v>0.4</v>
      </c>
      <c r="I251" t="s">
        <v>19</v>
      </c>
      <c r="J251">
        <v>10</v>
      </c>
      <c r="K251">
        <v>8</v>
      </c>
      <c r="L251">
        <v>7</v>
      </c>
      <c r="M251">
        <v>0</v>
      </c>
    </row>
    <row r="252" spans="1:13" x14ac:dyDescent="0.35">
      <c r="A252">
        <v>13</v>
      </c>
      <c r="B252" t="s">
        <v>16</v>
      </c>
      <c r="C252">
        <v>7.9</v>
      </c>
      <c r="D252" t="s">
        <v>14</v>
      </c>
      <c r="E252">
        <v>7.2</v>
      </c>
      <c r="F252">
        <v>1.5</v>
      </c>
      <c r="G252">
        <v>2.36</v>
      </c>
      <c r="H252">
        <v>0.2</v>
      </c>
      <c r="I252" t="s">
        <v>19</v>
      </c>
      <c r="J252">
        <v>2</v>
      </c>
      <c r="K252">
        <v>6</v>
      </c>
      <c r="L252">
        <v>8</v>
      </c>
      <c r="M252">
        <v>0</v>
      </c>
    </row>
    <row r="253" spans="1:13" x14ac:dyDescent="0.35">
      <c r="A253">
        <v>13</v>
      </c>
      <c r="B253" t="s">
        <v>13</v>
      </c>
      <c r="C253">
        <v>4.5999999999999996</v>
      </c>
      <c r="D253" t="s">
        <v>17</v>
      </c>
      <c r="E253">
        <v>7.3</v>
      </c>
      <c r="F253">
        <v>1.6</v>
      </c>
      <c r="G253">
        <v>2.91</v>
      </c>
      <c r="H253">
        <v>0.4</v>
      </c>
      <c r="I253" t="s">
        <v>15</v>
      </c>
      <c r="J253">
        <v>10</v>
      </c>
      <c r="K253">
        <v>5</v>
      </c>
      <c r="L253">
        <v>7</v>
      </c>
      <c r="M253">
        <v>0</v>
      </c>
    </row>
    <row r="254" spans="1:13" x14ac:dyDescent="0.35">
      <c r="A254">
        <v>13</v>
      </c>
      <c r="B254" t="s">
        <v>13</v>
      </c>
      <c r="C254">
        <v>5.6</v>
      </c>
      <c r="D254" t="s">
        <v>14</v>
      </c>
      <c r="E254">
        <v>4.5999999999999996</v>
      </c>
      <c r="F254">
        <v>1.9</v>
      </c>
      <c r="G254">
        <v>2.54</v>
      </c>
      <c r="H254">
        <v>0.1</v>
      </c>
      <c r="I254" t="s">
        <v>15</v>
      </c>
      <c r="J254">
        <v>5</v>
      </c>
      <c r="K254">
        <v>5</v>
      </c>
      <c r="L254">
        <v>6</v>
      </c>
      <c r="M254">
        <v>0</v>
      </c>
    </row>
    <row r="255" spans="1:13" x14ac:dyDescent="0.35">
      <c r="A255">
        <v>17</v>
      </c>
      <c r="B255" t="s">
        <v>16</v>
      </c>
      <c r="C255">
        <v>6.5</v>
      </c>
      <c r="D255" t="s">
        <v>17</v>
      </c>
      <c r="E255">
        <v>6.4</v>
      </c>
      <c r="F255">
        <v>0.7</v>
      </c>
      <c r="G255">
        <v>3.57</v>
      </c>
      <c r="H255">
        <v>1.1000000000000001</v>
      </c>
      <c r="I255" t="s">
        <v>15</v>
      </c>
      <c r="J255">
        <v>2</v>
      </c>
      <c r="K255">
        <v>9</v>
      </c>
      <c r="L255">
        <v>6</v>
      </c>
      <c r="M255">
        <v>0</v>
      </c>
    </row>
    <row r="256" spans="1:13" x14ac:dyDescent="0.35">
      <c r="A256">
        <v>19</v>
      </c>
      <c r="B256" t="s">
        <v>13</v>
      </c>
      <c r="C256">
        <v>5.9</v>
      </c>
      <c r="D256" t="s">
        <v>20</v>
      </c>
      <c r="E256">
        <v>7.2</v>
      </c>
      <c r="F256">
        <v>0.9</v>
      </c>
      <c r="G256">
        <v>3.99</v>
      </c>
      <c r="H256">
        <v>1.7</v>
      </c>
      <c r="I256" t="s">
        <v>15</v>
      </c>
      <c r="J256">
        <v>7</v>
      </c>
      <c r="K256">
        <v>9</v>
      </c>
      <c r="L256">
        <v>3</v>
      </c>
      <c r="M256">
        <v>0</v>
      </c>
    </row>
    <row r="257" spans="1:13" x14ac:dyDescent="0.35">
      <c r="A257">
        <v>19</v>
      </c>
      <c r="B257" t="s">
        <v>16</v>
      </c>
      <c r="C257">
        <v>1.1000000000000001</v>
      </c>
      <c r="D257" t="s">
        <v>17</v>
      </c>
      <c r="E257">
        <v>5.0999999999999996</v>
      </c>
      <c r="F257">
        <v>2.2000000000000002</v>
      </c>
      <c r="G257">
        <v>2.13</v>
      </c>
      <c r="H257">
        <v>0.9</v>
      </c>
      <c r="I257" t="s">
        <v>15</v>
      </c>
      <c r="J257">
        <v>7</v>
      </c>
      <c r="K257">
        <v>7</v>
      </c>
      <c r="L257">
        <v>2</v>
      </c>
      <c r="M257">
        <v>0</v>
      </c>
    </row>
    <row r="258" spans="1:13" x14ac:dyDescent="0.35">
      <c r="A258">
        <v>18</v>
      </c>
      <c r="B258" t="s">
        <v>13</v>
      </c>
      <c r="C258">
        <v>3.2</v>
      </c>
      <c r="D258" t="s">
        <v>17</v>
      </c>
      <c r="E258">
        <v>5.0999999999999996</v>
      </c>
      <c r="F258">
        <v>1.2</v>
      </c>
      <c r="G258">
        <v>3.54</v>
      </c>
      <c r="H258">
        <v>1.3</v>
      </c>
      <c r="I258" t="s">
        <v>15</v>
      </c>
      <c r="J258">
        <v>6</v>
      </c>
      <c r="K258">
        <v>2</v>
      </c>
      <c r="L258">
        <v>8</v>
      </c>
      <c r="M258">
        <v>0</v>
      </c>
    </row>
    <row r="259" spans="1:13" x14ac:dyDescent="0.35">
      <c r="A259">
        <v>14</v>
      </c>
      <c r="B259" t="s">
        <v>13</v>
      </c>
      <c r="C259">
        <v>6.5</v>
      </c>
      <c r="D259" t="s">
        <v>14</v>
      </c>
      <c r="E259">
        <v>5.3</v>
      </c>
      <c r="F259">
        <v>2.7</v>
      </c>
      <c r="G259">
        <v>3.79</v>
      </c>
      <c r="H259">
        <v>0.8</v>
      </c>
      <c r="I259" t="s">
        <v>15</v>
      </c>
      <c r="J259">
        <v>8</v>
      </c>
      <c r="K259">
        <v>6</v>
      </c>
      <c r="L259">
        <v>4</v>
      </c>
      <c r="M259">
        <v>0</v>
      </c>
    </row>
    <row r="260" spans="1:13" x14ac:dyDescent="0.35">
      <c r="A260">
        <v>17</v>
      </c>
      <c r="B260" t="s">
        <v>16</v>
      </c>
      <c r="C260">
        <v>7.3</v>
      </c>
      <c r="D260" t="s">
        <v>14</v>
      </c>
      <c r="E260">
        <v>6.2</v>
      </c>
      <c r="F260">
        <v>1</v>
      </c>
      <c r="G260">
        <v>2.02</v>
      </c>
      <c r="H260">
        <v>0.2</v>
      </c>
      <c r="I260" t="s">
        <v>15</v>
      </c>
      <c r="J260">
        <v>1</v>
      </c>
      <c r="K260">
        <v>6</v>
      </c>
      <c r="L260">
        <v>3</v>
      </c>
      <c r="M260">
        <v>0</v>
      </c>
    </row>
    <row r="261" spans="1:13" x14ac:dyDescent="0.35">
      <c r="A261">
        <v>17</v>
      </c>
      <c r="B261" t="s">
        <v>13</v>
      </c>
      <c r="C261">
        <v>1.5</v>
      </c>
      <c r="D261" t="s">
        <v>17</v>
      </c>
      <c r="E261">
        <v>5.5</v>
      </c>
      <c r="F261">
        <v>1.7</v>
      </c>
      <c r="G261">
        <v>2.93</v>
      </c>
      <c r="H261">
        <v>0.7</v>
      </c>
      <c r="I261" t="s">
        <v>15</v>
      </c>
      <c r="J261">
        <v>4</v>
      </c>
      <c r="K261">
        <v>9</v>
      </c>
      <c r="L261">
        <v>9</v>
      </c>
      <c r="M261">
        <v>0</v>
      </c>
    </row>
    <row r="262" spans="1:13" x14ac:dyDescent="0.35">
      <c r="A262">
        <v>16</v>
      </c>
      <c r="B262" t="s">
        <v>13</v>
      </c>
      <c r="C262">
        <v>3.8</v>
      </c>
      <c r="D262" t="s">
        <v>14</v>
      </c>
      <c r="E262">
        <v>6.8</v>
      </c>
      <c r="F262">
        <v>2.4</v>
      </c>
      <c r="G262">
        <v>3.1</v>
      </c>
      <c r="H262">
        <v>1.6</v>
      </c>
      <c r="I262" t="s">
        <v>15</v>
      </c>
      <c r="J262">
        <v>6</v>
      </c>
      <c r="K262">
        <v>10</v>
      </c>
      <c r="L262">
        <v>4</v>
      </c>
      <c r="M262">
        <v>0</v>
      </c>
    </row>
    <row r="263" spans="1:13" x14ac:dyDescent="0.35">
      <c r="A263">
        <v>13</v>
      </c>
      <c r="B263" t="s">
        <v>16</v>
      </c>
      <c r="C263">
        <v>3.6</v>
      </c>
      <c r="D263" t="s">
        <v>17</v>
      </c>
      <c r="E263">
        <v>8.6</v>
      </c>
      <c r="F263">
        <v>2.8</v>
      </c>
      <c r="G263">
        <v>3.28</v>
      </c>
      <c r="H263">
        <v>0.7</v>
      </c>
      <c r="I263" t="s">
        <v>18</v>
      </c>
      <c r="J263">
        <v>10</v>
      </c>
      <c r="K263">
        <v>3</v>
      </c>
      <c r="L263">
        <v>5</v>
      </c>
      <c r="M263">
        <v>0</v>
      </c>
    </row>
    <row r="264" spans="1:13" x14ac:dyDescent="0.35">
      <c r="A264">
        <v>15</v>
      </c>
      <c r="B264" t="s">
        <v>13</v>
      </c>
      <c r="C264">
        <v>3.6</v>
      </c>
      <c r="D264" t="s">
        <v>17</v>
      </c>
      <c r="E264">
        <v>4.3</v>
      </c>
      <c r="F264">
        <v>2.9</v>
      </c>
      <c r="G264">
        <v>2.2000000000000002</v>
      </c>
      <c r="H264">
        <v>1</v>
      </c>
      <c r="I264" t="s">
        <v>18</v>
      </c>
      <c r="J264">
        <v>10</v>
      </c>
      <c r="K264">
        <v>9</v>
      </c>
      <c r="L264">
        <v>7</v>
      </c>
      <c r="M264">
        <v>0</v>
      </c>
    </row>
    <row r="265" spans="1:13" x14ac:dyDescent="0.35">
      <c r="A265">
        <v>17</v>
      </c>
      <c r="B265" t="s">
        <v>16</v>
      </c>
      <c r="C265">
        <v>5.3</v>
      </c>
      <c r="D265" t="s">
        <v>14</v>
      </c>
      <c r="E265">
        <v>7.4</v>
      </c>
      <c r="F265">
        <v>1.2</v>
      </c>
      <c r="G265">
        <v>3.41</v>
      </c>
      <c r="H265">
        <v>1.1000000000000001</v>
      </c>
      <c r="I265" t="s">
        <v>18</v>
      </c>
      <c r="J265">
        <v>6</v>
      </c>
      <c r="K265">
        <v>3</v>
      </c>
      <c r="L265">
        <v>7</v>
      </c>
      <c r="M265">
        <v>0</v>
      </c>
    </row>
    <row r="266" spans="1:13" x14ac:dyDescent="0.35">
      <c r="A266">
        <v>19</v>
      </c>
      <c r="B266" t="s">
        <v>13</v>
      </c>
      <c r="C266">
        <v>4.4000000000000004</v>
      </c>
      <c r="D266" t="s">
        <v>17</v>
      </c>
      <c r="E266">
        <v>4.3</v>
      </c>
      <c r="F266">
        <v>0.8</v>
      </c>
      <c r="G266">
        <v>2.44</v>
      </c>
      <c r="H266">
        <v>1</v>
      </c>
      <c r="I266" t="s">
        <v>18</v>
      </c>
      <c r="J266">
        <v>9</v>
      </c>
      <c r="K266">
        <v>9</v>
      </c>
      <c r="L266">
        <v>7</v>
      </c>
      <c r="M266">
        <v>0</v>
      </c>
    </row>
    <row r="267" spans="1:13" x14ac:dyDescent="0.35">
      <c r="A267">
        <v>18</v>
      </c>
      <c r="B267" t="s">
        <v>13</v>
      </c>
      <c r="C267">
        <v>7.7</v>
      </c>
      <c r="D267" t="s">
        <v>17</v>
      </c>
      <c r="E267">
        <v>4.7</v>
      </c>
      <c r="F267">
        <v>1.4</v>
      </c>
      <c r="G267">
        <v>3.04</v>
      </c>
      <c r="H267">
        <v>0.6</v>
      </c>
      <c r="I267" t="s">
        <v>19</v>
      </c>
      <c r="J267">
        <v>9</v>
      </c>
      <c r="K267">
        <v>6</v>
      </c>
      <c r="L267">
        <v>6</v>
      </c>
      <c r="M267">
        <v>0</v>
      </c>
    </row>
    <row r="268" spans="1:13" x14ac:dyDescent="0.35">
      <c r="A268">
        <v>14</v>
      </c>
      <c r="B268" t="s">
        <v>16</v>
      </c>
      <c r="C268">
        <v>7.1</v>
      </c>
      <c r="D268" t="s">
        <v>17</v>
      </c>
      <c r="E268">
        <v>4.5</v>
      </c>
      <c r="F268">
        <v>2.4</v>
      </c>
      <c r="G268">
        <v>3.53</v>
      </c>
      <c r="H268">
        <v>0.4</v>
      </c>
      <c r="I268" t="s">
        <v>18</v>
      </c>
      <c r="J268">
        <v>3</v>
      </c>
      <c r="K268">
        <v>4</v>
      </c>
      <c r="L268">
        <v>4</v>
      </c>
      <c r="M268">
        <v>0</v>
      </c>
    </row>
    <row r="269" spans="1:13" x14ac:dyDescent="0.35">
      <c r="A269">
        <v>16</v>
      </c>
      <c r="B269" t="s">
        <v>13</v>
      </c>
      <c r="C269">
        <v>4.9000000000000004</v>
      </c>
      <c r="D269" t="s">
        <v>14</v>
      </c>
      <c r="E269">
        <v>6.8</v>
      </c>
      <c r="F269">
        <v>1</v>
      </c>
      <c r="G269">
        <v>3.18</v>
      </c>
      <c r="H269">
        <v>1.9</v>
      </c>
      <c r="I269" t="s">
        <v>18</v>
      </c>
      <c r="J269">
        <v>7</v>
      </c>
      <c r="K269">
        <v>4</v>
      </c>
      <c r="L269">
        <v>8</v>
      </c>
      <c r="M269">
        <v>0</v>
      </c>
    </row>
    <row r="270" spans="1:13" x14ac:dyDescent="0.35">
      <c r="A270">
        <v>19</v>
      </c>
      <c r="B270" t="s">
        <v>13</v>
      </c>
      <c r="C270">
        <v>4.5999999999999996</v>
      </c>
      <c r="D270" t="s">
        <v>20</v>
      </c>
      <c r="E270">
        <v>8.9</v>
      </c>
      <c r="F270">
        <v>1.9</v>
      </c>
      <c r="G270">
        <v>2.5</v>
      </c>
      <c r="H270">
        <v>0.4</v>
      </c>
      <c r="I270" t="s">
        <v>19</v>
      </c>
      <c r="J270">
        <v>8</v>
      </c>
      <c r="K270">
        <v>1</v>
      </c>
      <c r="L270">
        <v>3</v>
      </c>
      <c r="M270">
        <v>0</v>
      </c>
    </row>
    <row r="271" spans="1:13" x14ac:dyDescent="0.35">
      <c r="A271">
        <v>19</v>
      </c>
      <c r="B271" t="s">
        <v>13</v>
      </c>
      <c r="C271">
        <v>1.8</v>
      </c>
      <c r="D271" t="s">
        <v>14</v>
      </c>
      <c r="E271">
        <v>6.5</v>
      </c>
      <c r="F271">
        <v>2.6</v>
      </c>
      <c r="G271">
        <v>2.75</v>
      </c>
      <c r="H271">
        <v>1.7</v>
      </c>
      <c r="I271" t="s">
        <v>18</v>
      </c>
      <c r="J271">
        <v>7</v>
      </c>
      <c r="K271">
        <v>6</v>
      </c>
      <c r="L271">
        <v>1</v>
      </c>
      <c r="M271">
        <v>0</v>
      </c>
    </row>
    <row r="272" spans="1:13" x14ac:dyDescent="0.35">
      <c r="A272">
        <v>16</v>
      </c>
      <c r="B272" t="s">
        <v>13</v>
      </c>
      <c r="C272">
        <v>4.2</v>
      </c>
      <c r="D272" t="s">
        <v>20</v>
      </c>
      <c r="E272">
        <v>5.7</v>
      </c>
      <c r="F272">
        <v>1</v>
      </c>
      <c r="G272">
        <v>2.77</v>
      </c>
      <c r="H272">
        <v>0.1</v>
      </c>
      <c r="I272" t="s">
        <v>18</v>
      </c>
      <c r="J272">
        <v>10</v>
      </c>
      <c r="K272">
        <v>5</v>
      </c>
      <c r="L272">
        <v>9</v>
      </c>
      <c r="M272">
        <v>0</v>
      </c>
    </row>
    <row r="273" spans="1:13" x14ac:dyDescent="0.35">
      <c r="A273">
        <v>16</v>
      </c>
      <c r="B273" t="s">
        <v>13</v>
      </c>
      <c r="C273">
        <v>1.5</v>
      </c>
      <c r="D273" t="s">
        <v>17</v>
      </c>
      <c r="E273">
        <v>6.7</v>
      </c>
      <c r="F273">
        <v>0.5</v>
      </c>
      <c r="G273">
        <v>2.78</v>
      </c>
      <c r="H273">
        <v>1.2</v>
      </c>
      <c r="I273" t="s">
        <v>15</v>
      </c>
      <c r="J273">
        <v>1</v>
      </c>
      <c r="K273">
        <v>9</v>
      </c>
      <c r="L273">
        <v>6</v>
      </c>
      <c r="M273">
        <v>0</v>
      </c>
    </row>
    <row r="274" spans="1:13" x14ac:dyDescent="0.35">
      <c r="A274">
        <v>19</v>
      </c>
      <c r="B274" t="s">
        <v>13</v>
      </c>
      <c r="C274">
        <v>7</v>
      </c>
      <c r="D274" t="s">
        <v>14</v>
      </c>
      <c r="E274">
        <v>8.9</v>
      </c>
      <c r="F274">
        <v>2.8</v>
      </c>
      <c r="G274">
        <v>2.84</v>
      </c>
      <c r="H274">
        <v>0.4</v>
      </c>
      <c r="I274" t="s">
        <v>18</v>
      </c>
      <c r="J274">
        <v>6</v>
      </c>
      <c r="K274">
        <v>8</v>
      </c>
      <c r="L274">
        <v>6</v>
      </c>
      <c r="M274">
        <v>0</v>
      </c>
    </row>
    <row r="275" spans="1:13" x14ac:dyDescent="0.35">
      <c r="A275">
        <v>14</v>
      </c>
      <c r="B275" t="s">
        <v>16</v>
      </c>
      <c r="C275">
        <v>6.5</v>
      </c>
      <c r="D275" t="s">
        <v>20</v>
      </c>
      <c r="E275">
        <v>7.8</v>
      </c>
      <c r="F275">
        <v>1.5</v>
      </c>
      <c r="G275">
        <v>3.26</v>
      </c>
      <c r="H275">
        <v>0.8</v>
      </c>
      <c r="I275" t="s">
        <v>19</v>
      </c>
      <c r="J275">
        <v>9</v>
      </c>
      <c r="K275">
        <v>2</v>
      </c>
      <c r="L275">
        <v>3</v>
      </c>
      <c r="M275">
        <v>0</v>
      </c>
    </row>
    <row r="276" spans="1:13" x14ac:dyDescent="0.35">
      <c r="A276">
        <v>19</v>
      </c>
      <c r="B276" t="s">
        <v>16</v>
      </c>
      <c r="C276">
        <v>4.3</v>
      </c>
      <c r="D276" t="s">
        <v>14</v>
      </c>
      <c r="E276">
        <v>5.9</v>
      </c>
      <c r="F276">
        <v>2.1</v>
      </c>
      <c r="G276">
        <v>2.85</v>
      </c>
      <c r="H276">
        <v>1.7</v>
      </c>
      <c r="I276" t="s">
        <v>18</v>
      </c>
      <c r="J276">
        <v>9</v>
      </c>
      <c r="K276">
        <v>9</v>
      </c>
      <c r="L276">
        <v>8</v>
      </c>
      <c r="M276">
        <v>0</v>
      </c>
    </row>
    <row r="277" spans="1:13" x14ac:dyDescent="0.35">
      <c r="A277">
        <v>16</v>
      </c>
      <c r="B277" t="s">
        <v>13</v>
      </c>
      <c r="C277">
        <v>7.2</v>
      </c>
      <c r="D277" t="s">
        <v>20</v>
      </c>
      <c r="E277">
        <v>7.7</v>
      </c>
      <c r="F277">
        <v>2.5</v>
      </c>
      <c r="G277">
        <v>2.56</v>
      </c>
      <c r="H277">
        <v>1.7</v>
      </c>
      <c r="I277" t="s">
        <v>18</v>
      </c>
      <c r="J277">
        <v>8</v>
      </c>
      <c r="K277">
        <v>7</v>
      </c>
      <c r="L277">
        <v>6</v>
      </c>
      <c r="M277">
        <v>0</v>
      </c>
    </row>
    <row r="278" spans="1:13" x14ac:dyDescent="0.35">
      <c r="A278">
        <v>13</v>
      </c>
      <c r="B278" t="s">
        <v>13</v>
      </c>
      <c r="C278">
        <v>7</v>
      </c>
      <c r="D278" t="s">
        <v>20</v>
      </c>
      <c r="E278">
        <v>4.0999999999999996</v>
      </c>
      <c r="F278">
        <v>1.9</v>
      </c>
      <c r="G278">
        <v>2.2999999999999998</v>
      </c>
      <c r="H278">
        <v>0.3</v>
      </c>
      <c r="I278" t="s">
        <v>19</v>
      </c>
      <c r="J278">
        <v>3</v>
      </c>
      <c r="K278">
        <v>10</v>
      </c>
      <c r="L278">
        <v>6</v>
      </c>
      <c r="M278">
        <v>0</v>
      </c>
    </row>
    <row r="279" spans="1:13" x14ac:dyDescent="0.35">
      <c r="A279">
        <v>18</v>
      </c>
      <c r="B279" t="s">
        <v>16</v>
      </c>
      <c r="C279">
        <v>3.8</v>
      </c>
      <c r="D279" t="s">
        <v>20</v>
      </c>
      <c r="E279">
        <v>5.4</v>
      </c>
      <c r="F279">
        <v>1.7</v>
      </c>
      <c r="G279">
        <v>3.06</v>
      </c>
      <c r="H279">
        <v>1.9</v>
      </c>
      <c r="I279" t="s">
        <v>19</v>
      </c>
      <c r="J279">
        <v>5</v>
      </c>
      <c r="K279">
        <v>10</v>
      </c>
      <c r="L279">
        <v>3</v>
      </c>
      <c r="M279">
        <v>0</v>
      </c>
    </row>
    <row r="280" spans="1:13" x14ac:dyDescent="0.35">
      <c r="A280">
        <v>17</v>
      </c>
      <c r="B280" t="s">
        <v>16</v>
      </c>
      <c r="C280">
        <v>3</v>
      </c>
      <c r="D280" t="s">
        <v>14</v>
      </c>
      <c r="E280">
        <v>6.9</v>
      </c>
      <c r="F280">
        <v>2.2999999999999998</v>
      </c>
      <c r="G280">
        <v>3.34</v>
      </c>
      <c r="H280">
        <v>0.6</v>
      </c>
      <c r="I280" t="s">
        <v>15</v>
      </c>
      <c r="J280">
        <v>5</v>
      </c>
      <c r="K280">
        <v>2</v>
      </c>
      <c r="L280">
        <v>9</v>
      </c>
      <c r="M280">
        <v>0</v>
      </c>
    </row>
    <row r="281" spans="1:13" x14ac:dyDescent="0.35">
      <c r="A281">
        <v>14</v>
      </c>
      <c r="B281" t="s">
        <v>16</v>
      </c>
      <c r="C281">
        <v>7</v>
      </c>
      <c r="D281" t="s">
        <v>17</v>
      </c>
      <c r="E281">
        <v>7.8</v>
      </c>
      <c r="F281">
        <v>1.1000000000000001</v>
      </c>
      <c r="G281">
        <v>3.81</v>
      </c>
      <c r="H281">
        <v>1.4</v>
      </c>
      <c r="I281" t="s">
        <v>19</v>
      </c>
      <c r="J281">
        <v>10</v>
      </c>
      <c r="K281">
        <v>4</v>
      </c>
      <c r="L281">
        <v>2</v>
      </c>
      <c r="M281">
        <v>0</v>
      </c>
    </row>
    <row r="282" spans="1:13" x14ac:dyDescent="0.35">
      <c r="A282">
        <v>13</v>
      </c>
      <c r="B282" t="s">
        <v>13</v>
      </c>
      <c r="C282">
        <v>4.5999999999999996</v>
      </c>
      <c r="D282" t="s">
        <v>17</v>
      </c>
      <c r="E282">
        <v>5.3</v>
      </c>
      <c r="F282">
        <v>2.2999999999999998</v>
      </c>
      <c r="G282">
        <v>2.42</v>
      </c>
      <c r="H282">
        <v>0.2</v>
      </c>
      <c r="I282" t="s">
        <v>15</v>
      </c>
      <c r="J282">
        <v>5</v>
      </c>
      <c r="K282">
        <v>9</v>
      </c>
      <c r="L282">
        <v>5</v>
      </c>
      <c r="M282">
        <v>0</v>
      </c>
    </row>
    <row r="283" spans="1:13" x14ac:dyDescent="0.35">
      <c r="A283">
        <v>16</v>
      </c>
      <c r="B283" t="s">
        <v>13</v>
      </c>
      <c r="C283">
        <v>3.4</v>
      </c>
      <c r="D283" t="s">
        <v>20</v>
      </c>
      <c r="E283">
        <v>8.9</v>
      </c>
      <c r="F283">
        <v>2.6</v>
      </c>
      <c r="G283">
        <v>2.54</v>
      </c>
      <c r="H283">
        <v>1.8</v>
      </c>
      <c r="I283" t="s">
        <v>18</v>
      </c>
      <c r="J283">
        <v>6</v>
      </c>
      <c r="K283">
        <v>2</v>
      </c>
      <c r="L283">
        <v>5</v>
      </c>
      <c r="M283">
        <v>0</v>
      </c>
    </row>
    <row r="284" spans="1:13" x14ac:dyDescent="0.35">
      <c r="A284">
        <v>19</v>
      </c>
      <c r="B284" t="s">
        <v>16</v>
      </c>
      <c r="C284">
        <v>3.5</v>
      </c>
      <c r="D284" t="s">
        <v>17</v>
      </c>
      <c r="E284">
        <v>6.7</v>
      </c>
      <c r="F284">
        <v>2.7</v>
      </c>
      <c r="G284">
        <v>3.4</v>
      </c>
      <c r="H284">
        <v>1.2</v>
      </c>
      <c r="I284" t="s">
        <v>15</v>
      </c>
      <c r="J284">
        <v>4</v>
      </c>
      <c r="K284">
        <v>6</v>
      </c>
      <c r="L284">
        <v>7</v>
      </c>
      <c r="M284">
        <v>0</v>
      </c>
    </row>
    <row r="285" spans="1:13" x14ac:dyDescent="0.35">
      <c r="A285">
        <v>14</v>
      </c>
      <c r="B285" t="s">
        <v>16</v>
      </c>
      <c r="C285">
        <v>4.4000000000000004</v>
      </c>
      <c r="D285" t="s">
        <v>20</v>
      </c>
      <c r="E285">
        <v>7.3</v>
      </c>
      <c r="F285">
        <v>2.7</v>
      </c>
      <c r="G285">
        <v>3.3</v>
      </c>
      <c r="H285">
        <v>1.1000000000000001</v>
      </c>
      <c r="I285" t="s">
        <v>15</v>
      </c>
      <c r="J285">
        <v>2</v>
      </c>
      <c r="K285">
        <v>1</v>
      </c>
      <c r="L285">
        <v>9</v>
      </c>
      <c r="M285">
        <v>0</v>
      </c>
    </row>
    <row r="286" spans="1:13" x14ac:dyDescent="0.35">
      <c r="A286">
        <v>14</v>
      </c>
      <c r="B286" t="s">
        <v>16</v>
      </c>
      <c r="C286">
        <v>1.8</v>
      </c>
      <c r="D286" t="s">
        <v>20</v>
      </c>
      <c r="E286">
        <v>8.1999999999999993</v>
      </c>
      <c r="F286">
        <v>2.2000000000000002</v>
      </c>
      <c r="G286">
        <v>3.36</v>
      </c>
      <c r="H286">
        <v>1.7</v>
      </c>
      <c r="I286" t="s">
        <v>18</v>
      </c>
      <c r="J286">
        <v>9</v>
      </c>
      <c r="K286">
        <v>5</v>
      </c>
      <c r="L286">
        <v>10</v>
      </c>
      <c r="M286">
        <v>0</v>
      </c>
    </row>
    <row r="287" spans="1:13" x14ac:dyDescent="0.35">
      <c r="A287">
        <v>17</v>
      </c>
      <c r="B287" t="s">
        <v>13</v>
      </c>
      <c r="C287">
        <v>3.9</v>
      </c>
      <c r="D287" t="s">
        <v>20</v>
      </c>
      <c r="E287">
        <v>7.7</v>
      </c>
      <c r="F287">
        <v>1</v>
      </c>
      <c r="G287">
        <v>2.1</v>
      </c>
      <c r="H287">
        <v>1.8</v>
      </c>
      <c r="I287" t="s">
        <v>18</v>
      </c>
      <c r="J287">
        <v>7</v>
      </c>
      <c r="K287">
        <v>4</v>
      </c>
      <c r="L287">
        <v>5</v>
      </c>
      <c r="M287">
        <v>0</v>
      </c>
    </row>
    <row r="288" spans="1:13" x14ac:dyDescent="0.35">
      <c r="A288">
        <v>14</v>
      </c>
      <c r="B288" t="s">
        <v>16</v>
      </c>
      <c r="C288">
        <v>4.4000000000000004</v>
      </c>
      <c r="D288" t="s">
        <v>17</v>
      </c>
      <c r="E288">
        <v>5.7</v>
      </c>
      <c r="F288">
        <v>1</v>
      </c>
      <c r="G288">
        <v>3.2</v>
      </c>
      <c r="H288">
        <v>1.9</v>
      </c>
      <c r="I288" t="s">
        <v>18</v>
      </c>
      <c r="J288">
        <v>4</v>
      </c>
      <c r="K288">
        <v>2</v>
      </c>
      <c r="L288">
        <v>2</v>
      </c>
      <c r="M288">
        <v>0</v>
      </c>
    </row>
    <row r="289" spans="1:13" x14ac:dyDescent="0.35">
      <c r="A289">
        <v>13</v>
      </c>
      <c r="B289" t="s">
        <v>16</v>
      </c>
      <c r="C289">
        <v>2</v>
      </c>
      <c r="D289" t="s">
        <v>14</v>
      </c>
      <c r="E289">
        <v>8.6999999999999993</v>
      </c>
      <c r="F289">
        <v>1.9</v>
      </c>
      <c r="G289">
        <v>2.2799999999999998</v>
      </c>
      <c r="H289">
        <v>1.2</v>
      </c>
      <c r="I289" t="s">
        <v>19</v>
      </c>
      <c r="J289">
        <v>7</v>
      </c>
      <c r="K289">
        <v>7</v>
      </c>
      <c r="L289">
        <v>9</v>
      </c>
      <c r="M289">
        <v>0</v>
      </c>
    </row>
    <row r="290" spans="1:13" x14ac:dyDescent="0.35">
      <c r="A290">
        <v>17</v>
      </c>
      <c r="B290" t="s">
        <v>13</v>
      </c>
      <c r="C290">
        <v>7.2</v>
      </c>
      <c r="D290" t="s">
        <v>17</v>
      </c>
      <c r="E290">
        <v>8.8000000000000007</v>
      </c>
      <c r="F290">
        <v>2.5</v>
      </c>
      <c r="G290">
        <v>3.97</v>
      </c>
      <c r="H290">
        <v>1.9</v>
      </c>
      <c r="I290" t="s">
        <v>15</v>
      </c>
      <c r="J290">
        <v>1</v>
      </c>
      <c r="K290">
        <v>3</v>
      </c>
      <c r="L290">
        <v>9</v>
      </c>
      <c r="M290">
        <v>0</v>
      </c>
    </row>
    <row r="291" spans="1:13" x14ac:dyDescent="0.35">
      <c r="A291">
        <v>19</v>
      </c>
      <c r="B291" t="s">
        <v>13</v>
      </c>
      <c r="C291">
        <v>4.4000000000000004</v>
      </c>
      <c r="D291" t="s">
        <v>20</v>
      </c>
      <c r="E291">
        <v>6.4</v>
      </c>
      <c r="F291">
        <v>0.9</v>
      </c>
      <c r="G291">
        <v>2.72</v>
      </c>
      <c r="H291">
        <v>0.2</v>
      </c>
      <c r="I291" t="s">
        <v>19</v>
      </c>
      <c r="J291">
        <v>6</v>
      </c>
      <c r="K291">
        <v>9</v>
      </c>
      <c r="L291">
        <v>8</v>
      </c>
      <c r="M291">
        <v>0</v>
      </c>
    </row>
    <row r="292" spans="1:13" x14ac:dyDescent="0.35">
      <c r="A292">
        <v>14</v>
      </c>
      <c r="B292" t="s">
        <v>13</v>
      </c>
      <c r="C292">
        <v>7.2</v>
      </c>
      <c r="D292" t="s">
        <v>17</v>
      </c>
      <c r="E292">
        <v>4.8</v>
      </c>
      <c r="F292">
        <v>1.4</v>
      </c>
      <c r="G292">
        <v>2.36</v>
      </c>
      <c r="H292">
        <v>0.1</v>
      </c>
      <c r="I292" t="s">
        <v>15</v>
      </c>
      <c r="J292">
        <v>5</v>
      </c>
      <c r="K292">
        <v>7</v>
      </c>
      <c r="L292">
        <v>1</v>
      </c>
      <c r="M292">
        <v>0</v>
      </c>
    </row>
    <row r="293" spans="1:13" x14ac:dyDescent="0.35">
      <c r="A293">
        <v>13</v>
      </c>
      <c r="B293" t="s">
        <v>13</v>
      </c>
      <c r="C293">
        <v>5.4</v>
      </c>
      <c r="D293" t="s">
        <v>14</v>
      </c>
      <c r="E293">
        <v>6.5</v>
      </c>
      <c r="F293">
        <v>0.8</v>
      </c>
      <c r="G293">
        <v>3.17</v>
      </c>
      <c r="H293">
        <v>0.3</v>
      </c>
      <c r="I293" t="s">
        <v>19</v>
      </c>
      <c r="J293">
        <v>10</v>
      </c>
      <c r="K293">
        <v>3</v>
      </c>
      <c r="L293">
        <v>3</v>
      </c>
      <c r="M293">
        <v>0</v>
      </c>
    </row>
    <row r="294" spans="1:13" x14ac:dyDescent="0.35">
      <c r="A294">
        <v>16</v>
      </c>
      <c r="B294" t="s">
        <v>13</v>
      </c>
      <c r="C294">
        <v>1.5</v>
      </c>
      <c r="D294" t="s">
        <v>17</v>
      </c>
      <c r="E294">
        <v>4.0999999999999996</v>
      </c>
      <c r="F294">
        <v>1.3</v>
      </c>
      <c r="G294">
        <v>3.67</v>
      </c>
      <c r="H294">
        <v>1.2</v>
      </c>
      <c r="I294" t="s">
        <v>18</v>
      </c>
      <c r="J294">
        <v>10</v>
      </c>
      <c r="K294">
        <v>6</v>
      </c>
      <c r="L294">
        <v>6</v>
      </c>
      <c r="M294">
        <v>0</v>
      </c>
    </row>
    <row r="295" spans="1:13" x14ac:dyDescent="0.35">
      <c r="A295">
        <v>15</v>
      </c>
      <c r="B295" t="s">
        <v>16</v>
      </c>
      <c r="C295">
        <v>1.8</v>
      </c>
      <c r="D295" t="s">
        <v>14</v>
      </c>
      <c r="E295">
        <v>8</v>
      </c>
      <c r="F295">
        <v>2.8</v>
      </c>
      <c r="G295">
        <v>3.49</v>
      </c>
      <c r="H295">
        <v>0.6</v>
      </c>
      <c r="I295" t="s">
        <v>15</v>
      </c>
      <c r="J295">
        <v>9</v>
      </c>
      <c r="K295">
        <v>8</v>
      </c>
      <c r="L295">
        <v>8</v>
      </c>
      <c r="M295">
        <v>0</v>
      </c>
    </row>
    <row r="296" spans="1:13" x14ac:dyDescent="0.35">
      <c r="A296">
        <v>17</v>
      </c>
      <c r="B296" t="s">
        <v>16</v>
      </c>
      <c r="C296">
        <v>3.7</v>
      </c>
      <c r="D296" t="s">
        <v>17</v>
      </c>
      <c r="E296">
        <v>5.3</v>
      </c>
      <c r="F296">
        <v>0.7</v>
      </c>
      <c r="G296">
        <v>2.09</v>
      </c>
      <c r="H296">
        <v>0.8</v>
      </c>
      <c r="I296" t="s">
        <v>18</v>
      </c>
      <c r="J296">
        <v>8</v>
      </c>
      <c r="K296">
        <v>8</v>
      </c>
      <c r="L296">
        <v>10</v>
      </c>
      <c r="M296">
        <v>0</v>
      </c>
    </row>
    <row r="297" spans="1:13" x14ac:dyDescent="0.35">
      <c r="A297">
        <v>13</v>
      </c>
      <c r="B297" t="s">
        <v>13</v>
      </c>
      <c r="C297">
        <v>6.4</v>
      </c>
      <c r="D297" t="s">
        <v>20</v>
      </c>
      <c r="E297">
        <v>8.3000000000000007</v>
      </c>
      <c r="F297">
        <v>1.3</v>
      </c>
      <c r="G297">
        <v>2.21</v>
      </c>
      <c r="H297">
        <v>1.2</v>
      </c>
      <c r="I297" t="s">
        <v>18</v>
      </c>
      <c r="J297">
        <v>4</v>
      </c>
      <c r="K297">
        <v>5</v>
      </c>
      <c r="L297">
        <v>9</v>
      </c>
      <c r="M297">
        <v>0</v>
      </c>
    </row>
    <row r="298" spans="1:13" x14ac:dyDescent="0.35">
      <c r="A298">
        <v>19</v>
      </c>
      <c r="B298" t="s">
        <v>13</v>
      </c>
      <c r="C298">
        <v>6.4</v>
      </c>
      <c r="D298" t="s">
        <v>20</v>
      </c>
      <c r="E298">
        <v>6.7</v>
      </c>
      <c r="F298">
        <v>2.4</v>
      </c>
      <c r="G298">
        <v>2.2000000000000002</v>
      </c>
      <c r="H298">
        <v>1.3</v>
      </c>
      <c r="I298" t="s">
        <v>15</v>
      </c>
      <c r="J298">
        <v>5</v>
      </c>
      <c r="K298">
        <v>2</v>
      </c>
      <c r="L298">
        <v>2</v>
      </c>
      <c r="M298">
        <v>0</v>
      </c>
    </row>
    <row r="299" spans="1:13" x14ac:dyDescent="0.35">
      <c r="A299">
        <v>17</v>
      </c>
      <c r="B299" t="s">
        <v>16</v>
      </c>
      <c r="C299">
        <v>1.1000000000000001</v>
      </c>
      <c r="D299" t="s">
        <v>14</v>
      </c>
      <c r="E299">
        <v>9</v>
      </c>
      <c r="F299">
        <v>2.9</v>
      </c>
      <c r="G299">
        <v>2.74</v>
      </c>
      <c r="H299">
        <v>1</v>
      </c>
      <c r="I299" t="s">
        <v>19</v>
      </c>
      <c r="J299">
        <v>2</v>
      </c>
      <c r="K299">
        <v>8</v>
      </c>
      <c r="L299">
        <v>2</v>
      </c>
      <c r="M299">
        <v>0</v>
      </c>
    </row>
    <row r="300" spans="1:13" x14ac:dyDescent="0.35">
      <c r="A300">
        <v>13</v>
      </c>
      <c r="B300" t="s">
        <v>13</v>
      </c>
      <c r="C300">
        <v>1.3</v>
      </c>
      <c r="D300" t="s">
        <v>17</v>
      </c>
      <c r="E300">
        <v>7.8</v>
      </c>
      <c r="F300">
        <v>2.6</v>
      </c>
      <c r="G300">
        <v>3.01</v>
      </c>
      <c r="H300">
        <v>0.3</v>
      </c>
      <c r="I300" t="s">
        <v>15</v>
      </c>
      <c r="J300">
        <v>2</v>
      </c>
      <c r="K300">
        <v>9</v>
      </c>
      <c r="L300">
        <v>10</v>
      </c>
      <c r="M300">
        <v>0</v>
      </c>
    </row>
    <row r="301" spans="1:13" x14ac:dyDescent="0.35">
      <c r="A301">
        <v>17</v>
      </c>
      <c r="B301" t="s">
        <v>16</v>
      </c>
      <c r="C301">
        <v>4.4000000000000004</v>
      </c>
      <c r="D301" t="s">
        <v>14</v>
      </c>
      <c r="E301">
        <v>6</v>
      </c>
      <c r="F301">
        <v>1.2</v>
      </c>
      <c r="G301">
        <v>2.48</v>
      </c>
      <c r="H301">
        <v>0.9</v>
      </c>
      <c r="I301" t="s">
        <v>19</v>
      </c>
      <c r="J301">
        <v>6</v>
      </c>
      <c r="K301">
        <v>2</v>
      </c>
      <c r="L301">
        <v>6</v>
      </c>
      <c r="M301">
        <v>0</v>
      </c>
    </row>
    <row r="302" spans="1:13" x14ac:dyDescent="0.35">
      <c r="A302">
        <v>13</v>
      </c>
      <c r="B302" t="s">
        <v>13</v>
      </c>
      <c r="C302">
        <v>7.8</v>
      </c>
      <c r="D302" t="s">
        <v>14</v>
      </c>
      <c r="E302">
        <v>5</v>
      </c>
      <c r="F302">
        <v>1.8</v>
      </c>
      <c r="G302">
        <v>3.57</v>
      </c>
      <c r="H302">
        <v>1.5</v>
      </c>
      <c r="I302" t="s">
        <v>19</v>
      </c>
      <c r="J302">
        <v>8</v>
      </c>
      <c r="K302">
        <v>10</v>
      </c>
      <c r="L302">
        <v>3</v>
      </c>
      <c r="M302">
        <v>1</v>
      </c>
    </row>
    <row r="303" spans="1:13" x14ac:dyDescent="0.35">
      <c r="A303">
        <v>14</v>
      </c>
      <c r="B303" t="s">
        <v>16</v>
      </c>
      <c r="C303">
        <v>6.9</v>
      </c>
      <c r="D303" t="s">
        <v>17</v>
      </c>
      <c r="E303">
        <v>6.4</v>
      </c>
      <c r="F303">
        <v>0.9</v>
      </c>
      <c r="G303">
        <v>2.04</v>
      </c>
      <c r="H303">
        <v>1.3</v>
      </c>
      <c r="I303" t="s">
        <v>19</v>
      </c>
      <c r="J303">
        <v>5</v>
      </c>
      <c r="K303">
        <v>5</v>
      </c>
      <c r="L303">
        <v>9</v>
      </c>
      <c r="M303">
        <v>0</v>
      </c>
    </row>
    <row r="304" spans="1:13" x14ac:dyDescent="0.35">
      <c r="A304">
        <v>14</v>
      </c>
      <c r="B304" t="s">
        <v>16</v>
      </c>
      <c r="C304">
        <v>4.8</v>
      </c>
      <c r="D304" t="s">
        <v>14</v>
      </c>
      <c r="E304">
        <v>6.8</v>
      </c>
      <c r="F304">
        <v>0.8</v>
      </c>
      <c r="G304">
        <v>3</v>
      </c>
      <c r="H304">
        <v>0.9</v>
      </c>
      <c r="I304" t="s">
        <v>15</v>
      </c>
      <c r="J304">
        <v>4</v>
      </c>
      <c r="K304">
        <v>3</v>
      </c>
      <c r="L304">
        <v>4</v>
      </c>
      <c r="M304">
        <v>0</v>
      </c>
    </row>
    <row r="305" spans="1:13" x14ac:dyDescent="0.35">
      <c r="A305">
        <v>13</v>
      </c>
      <c r="B305" t="s">
        <v>13</v>
      </c>
      <c r="C305">
        <v>7.5</v>
      </c>
      <c r="D305" t="s">
        <v>14</v>
      </c>
      <c r="E305">
        <v>8.6</v>
      </c>
      <c r="F305">
        <v>1.9</v>
      </c>
      <c r="G305">
        <v>3.33</v>
      </c>
      <c r="H305">
        <v>0.9</v>
      </c>
      <c r="I305" t="s">
        <v>19</v>
      </c>
      <c r="J305">
        <v>7</v>
      </c>
      <c r="K305">
        <v>3</v>
      </c>
      <c r="L305">
        <v>10</v>
      </c>
      <c r="M305">
        <v>0</v>
      </c>
    </row>
    <row r="306" spans="1:13" x14ac:dyDescent="0.35">
      <c r="A306">
        <v>15</v>
      </c>
      <c r="B306" t="s">
        <v>16</v>
      </c>
      <c r="C306">
        <v>6.7</v>
      </c>
      <c r="D306" t="s">
        <v>14</v>
      </c>
      <c r="E306">
        <v>7</v>
      </c>
      <c r="F306">
        <v>2.2000000000000002</v>
      </c>
      <c r="G306">
        <v>2.61</v>
      </c>
      <c r="H306">
        <v>0.7</v>
      </c>
      <c r="I306" t="s">
        <v>18</v>
      </c>
      <c r="J306">
        <v>2</v>
      </c>
      <c r="K306">
        <v>7</v>
      </c>
      <c r="L306">
        <v>8</v>
      </c>
      <c r="M306">
        <v>0</v>
      </c>
    </row>
    <row r="307" spans="1:13" x14ac:dyDescent="0.35">
      <c r="A307">
        <v>14</v>
      </c>
      <c r="B307" t="s">
        <v>13</v>
      </c>
      <c r="C307">
        <v>3.8</v>
      </c>
      <c r="D307" t="s">
        <v>14</v>
      </c>
      <c r="E307">
        <v>4.8</v>
      </c>
      <c r="F307">
        <v>1.9</v>
      </c>
      <c r="G307">
        <v>3.97</v>
      </c>
      <c r="H307">
        <v>0.2</v>
      </c>
      <c r="I307" t="s">
        <v>18</v>
      </c>
      <c r="J307">
        <v>4</v>
      </c>
      <c r="K307">
        <v>6</v>
      </c>
      <c r="L307">
        <v>6</v>
      </c>
      <c r="M307">
        <v>0</v>
      </c>
    </row>
    <row r="308" spans="1:13" x14ac:dyDescent="0.35">
      <c r="A308">
        <v>15</v>
      </c>
      <c r="B308" t="s">
        <v>13</v>
      </c>
      <c r="C308">
        <v>3</v>
      </c>
      <c r="D308" t="s">
        <v>14</v>
      </c>
      <c r="E308">
        <v>8.6</v>
      </c>
      <c r="F308">
        <v>1.5</v>
      </c>
      <c r="G308">
        <v>3.27</v>
      </c>
      <c r="H308">
        <v>0.8</v>
      </c>
      <c r="I308" t="s">
        <v>19</v>
      </c>
      <c r="J308">
        <v>10</v>
      </c>
      <c r="K308">
        <v>10</v>
      </c>
      <c r="L308">
        <v>4</v>
      </c>
      <c r="M308">
        <v>0</v>
      </c>
    </row>
    <row r="309" spans="1:13" x14ac:dyDescent="0.35">
      <c r="A309">
        <v>17</v>
      </c>
      <c r="B309" t="s">
        <v>13</v>
      </c>
      <c r="C309">
        <v>7.8</v>
      </c>
      <c r="D309" t="s">
        <v>17</v>
      </c>
      <c r="E309">
        <v>7.1</v>
      </c>
      <c r="F309">
        <v>0.8</v>
      </c>
      <c r="G309">
        <v>2.79</v>
      </c>
      <c r="H309">
        <v>1.4</v>
      </c>
      <c r="I309" t="s">
        <v>19</v>
      </c>
      <c r="J309">
        <v>9</v>
      </c>
      <c r="K309">
        <v>4</v>
      </c>
      <c r="L309">
        <v>2</v>
      </c>
      <c r="M309">
        <v>0</v>
      </c>
    </row>
    <row r="310" spans="1:13" x14ac:dyDescent="0.35">
      <c r="A310">
        <v>14</v>
      </c>
      <c r="B310" t="s">
        <v>16</v>
      </c>
      <c r="C310">
        <v>7.8</v>
      </c>
      <c r="D310" t="s">
        <v>14</v>
      </c>
      <c r="E310">
        <v>4.3</v>
      </c>
      <c r="F310">
        <v>2.6</v>
      </c>
      <c r="G310">
        <v>3.33</v>
      </c>
      <c r="H310">
        <v>2</v>
      </c>
      <c r="I310" t="s">
        <v>18</v>
      </c>
      <c r="J310">
        <v>3</v>
      </c>
      <c r="K310">
        <v>7</v>
      </c>
      <c r="L310">
        <v>3</v>
      </c>
      <c r="M310">
        <v>0</v>
      </c>
    </row>
    <row r="311" spans="1:13" x14ac:dyDescent="0.35">
      <c r="A311">
        <v>15</v>
      </c>
      <c r="B311" t="s">
        <v>16</v>
      </c>
      <c r="C311">
        <v>6.6</v>
      </c>
      <c r="D311" t="s">
        <v>17</v>
      </c>
      <c r="E311">
        <v>9</v>
      </c>
      <c r="F311">
        <v>1.5</v>
      </c>
      <c r="G311">
        <v>3.04</v>
      </c>
      <c r="H311">
        <v>1.5</v>
      </c>
      <c r="I311" t="s">
        <v>15</v>
      </c>
      <c r="J311">
        <v>4</v>
      </c>
      <c r="K311">
        <v>2</v>
      </c>
      <c r="L311">
        <v>7</v>
      </c>
      <c r="M311">
        <v>0</v>
      </c>
    </row>
    <row r="312" spans="1:13" x14ac:dyDescent="0.35">
      <c r="A312">
        <v>13</v>
      </c>
      <c r="B312" t="s">
        <v>16</v>
      </c>
      <c r="C312">
        <v>7.3</v>
      </c>
      <c r="D312" t="s">
        <v>14</v>
      </c>
      <c r="E312">
        <v>6.4</v>
      </c>
      <c r="F312">
        <v>2.2999999999999998</v>
      </c>
      <c r="G312">
        <v>2.5299999999999998</v>
      </c>
      <c r="H312">
        <v>0.7</v>
      </c>
      <c r="I312" t="s">
        <v>15</v>
      </c>
      <c r="J312">
        <v>9</v>
      </c>
      <c r="K312">
        <v>9</v>
      </c>
      <c r="L312">
        <v>4</v>
      </c>
      <c r="M312">
        <v>0</v>
      </c>
    </row>
    <row r="313" spans="1:13" x14ac:dyDescent="0.35">
      <c r="A313">
        <v>19</v>
      </c>
      <c r="B313" t="s">
        <v>13</v>
      </c>
      <c r="C313">
        <v>6.6</v>
      </c>
      <c r="D313" t="s">
        <v>14</v>
      </c>
      <c r="E313">
        <v>4.4000000000000004</v>
      </c>
      <c r="F313">
        <v>1.1000000000000001</v>
      </c>
      <c r="G313">
        <v>2.29</v>
      </c>
      <c r="H313">
        <v>1</v>
      </c>
      <c r="I313" t="s">
        <v>15</v>
      </c>
      <c r="J313">
        <v>6</v>
      </c>
      <c r="K313">
        <v>8</v>
      </c>
      <c r="L313">
        <v>5</v>
      </c>
      <c r="M313">
        <v>0</v>
      </c>
    </row>
    <row r="314" spans="1:13" x14ac:dyDescent="0.35">
      <c r="A314">
        <v>19</v>
      </c>
      <c r="B314" t="s">
        <v>16</v>
      </c>
      <c r="C314">
        <v>5.6</v>
      </c>
      <c r="D314" t="s">
        <v>17</v>
      </c>
      <c r="E314">
        <v>8.1</v>
      </c>
      <c r="F314">
        <v>3</v>
      </c>
      <c r="G314">
        <v>2.75</v>
      </c>
      <c r="H314">
        <v>0.7</v>
      </c>
      <c r="I314" t="s">
        <v>19</v>
      </c>
      <c r="J314">
        <v>6</v>
      </c>
      <c r="K314">
        <v>3</v>
      </c>
      <c r="L314">
        <v>4</v>
      </c>
      <c r="M314">
        <v>0</v>
      </c>
    </row>
    <row r="315" spans="1:13" x14ac:dyDescent="0.35">
      <c r="A315">
        <v>13</v>
      </c>
      <c r="B315" t="s">
        <v>16</v>
      </c>
      <c r="C315">
        <v>8</v>
      </c>
      <c r="D315" t="s">
        <v>14</v>
      </c>
      <c r="E315">
        <v>5.4</v>
      </c>
      <c r="F315">
        <v>2.8</v>
      </c>
      <c r="G315">
        <v>3.1</v>
      </c>
      <c r="H315">
        <v>1.9</v>
      </c>
      <c r="I315" t="s">
        <v>18</v>
      </c>
      <c r="J315">
        <v>6</v>
      </c>
      <c r="K315">
        <v>10</v>
      </c>
      <c r="L315">
        <v>10</v>
      </c>
      <c r="M315">
        <v>0</v>
      </c>
    </row>
    <row r="316" spans="1:13" x14ac:dyDescent="0.35">
      <c r="A316">
        <v>13</v>
      </c>
      <c r="B316" t="s">
        <v>16</v>
      </c>
      <c r="C316">
        <v>1.3</v>
      </c>
      <c r="D316" t="s">
        <v>14</v>
      </c>
      <c r="E316">
        <v>8.9</v>
      </c>
      <c r="F316">
        <v>2.6</v>
      </c>
      <c r="G316">
        <v>3.54</v>
      </c>
      <c r="H316">
        <v>1.2</v>
      </c>
      <c r="I316" t="s">
        <v>18</v>
      </c>
      <c r="J316">
        <v>8</v>
      </c>
      <c r="K316">
        <v>5</v>
      </c>
      <c r="L316">
        <v>2</v>
      </c>
      <c r="M316">
        <v>0</v>
      </c>
    </row>
    <row r="317" spans="1:13" x14ac:dyDescent="0.35">
      <c r="A317">
        <v>15</v>
      </c>
      <c r="B317" t="s">
        <v>16</v>
      </c>
      <c r="C317">
        <v>5.9</v>
      </c>
      <c r="D317" t="s">
        <v>20</v>
      </c>
      <c r="E317">
        <v>6.9</v>
      </c>
      <c r="F317">
        <v>1.4</v>
      </c>
      <c r="G317">
        <v>3.62</v>
      </c>
      <c r="H317">
        <v>1.5</v>
      </c>
      <c r="I317" t="s">
        <v>19</v>
      </c>
      <c r="J317">
        <v>3</v>
      </c>
      <c r="K317">
        <v>9</v>
      </c>
      <c r="L317">
        <v>1</v>
      </c>
      <c r="M317">
        <v>0</v>
      </c>
    </row>
    <row r="318" spans="1:13" x14ac:dyDescent="0.35">
      <c r="A318">
        <v>14</v>
      </c>
      <c r="B318" t="s">
        <v>16</v>
      </c>
      <c r="C318">
        <v>2</v>
      </c>
      <c r="D318" t="s">
        <v>14</v>
      </c>
      <c r="E318">
        <v>8.8000000000000007</v>
      </c>
      <c r="F318">
        <v>0.9</v>
      </c>
      <c r="G318">
        <v>3.61</v>
      </c>
      <c r="H318">
        <v>0.7</v>
      </c>
      <c r="I318" t="s">
        <v>18</v>
      </c>
      <c r="J318">
        <v>10</v>
      </c>
      <c r="K318">
        <v>2</v>
      </c>
      <c r="L318">
        <v>3</v>
      </c>
      <c r="M318">
        <v>0</v>
      </c>
    </row>
    <row r="319" spans="1:13" x14ac:dyDescent="0.35">
      <c r="A319">
        <v>19</v>
      </c>
      <c r="B319" t="s">
        <v>16</v>
      </c>
      <c r="C319">
        <v>1.4</v>
      </c>
      <c r="D319" t="s">
        <v>14</v>
      </c>
      <c r="E319">
        <v>6.6</v>
      </c>
      <c r="F319">
        <v>1.8</v>
      </c>
      <c r="G319">
        <v>3.07</v>
      </c>
      <c r="H319">
        <v>0</v>
      </c>
      <c r="I319" t="s">
        <v>15</v>
      </c>
      <c r="J319">
        <v>5</v>
      </c>
      <c r="K319">
        <v>2</v>
      </c>
      <c r="L319">
        <v>6</v>
      </c>
      <c r="M319">
        <v>0</v>
      </c>
    </row>
    <row r="320" spans="1:13" x14ac:dyDescent="0.35">
      <c r="A320">
        <v>13</v>
      </c>
      <c r="B320" t="s">
        <v>16</v>
      </c>
      <c r="C320">
        <v>6.4</v>
      </c>
      <c r="D320" t="s">
        <v>20</v>
      </c>
      <c r="E320">
        <v>6.7</v>
      </c>
      <c r="F320">
        <v>0.8</v>
      </c>
      <c r="G320">
        <v>3.9</v>
      </c>
      <c r="H320">
        <v>1.9</v>
      </c>
      <c r="I320" t="s">
        <v>18</v>
      </c>
      <c r="J320">
        <v>3</v>
      </c>
      <c r="K320">
        <v>3</v>
      </c>
      <c r="L320">
        <v>10</v>
      </c>
      <c r="M320">
        <v>0</v>
      </c>
    </row>
    <row r="321" spans="1:13" x14ac:dyDescent="0.35">
      <c r="A321">
        <v>15</v>
      </c>
      <c r="B321" t="s">
        <v>13</v>
      </c>
      <c r="C321">
        <v>7.6</v>
      </c>
      <c r="D321" t="s">
        <v>17</v>
      </c>
      <c r="E321">
        <v>7.9</v>
      </c>
      <c r="F321">
        <v>0.8</v>
      </c>
      <c r="G321">
        <v>3.55</v>
      </c>
      <c r="H321">
        <v>1.9</v>
      </c>
      <c r="I321" t="s">
        <v>18</v>
      </c>
      <c r="J321">
        <v>10</v>
      </c>
      <c r="K321">
        <v>8</v>
      </c>
      <c r="L321">
        <v>6</v>
      </c>
      <c r="M321">
        <v>0</v>
      </c>
    </row>
    <row r="322" spans="1:13" x14ac:dyDescent="0.35">
      <c r="A322">
        <v>16</v>
      </c>
      <c r="B322" t="s">
        <v>13</v>
      </c>
      <c r="C322">
        <v>7.9</v>
      </c>
      <c r="D322" t="s">
        <v>20</v>
      </c>
      <c r="E322">
        <v>5.5</v>
      </c>
      <c r="F322">
        <v>0.6</v>
      </c>
      <c r="G322">
        <v>3.65</v>
      </c>
      <c r="H322">
        <v>1.4</v>
      </c>
      <c r="I322" t="s">
        <v>15</v>
      </c>
      <c r="J322">
        <v>1</v>
      </c>
      <c r="K322">
        <v>4</v>
      </c>
      <c r="L322">
        <v>1</v>
      </c>
      <c r="M322">
        <v>0</v>
      </c>
    </row>
    <row r="323" spans="1:13" x14ac:dyDescent="0.35">
      <c r="A323">
        <v>15</v>
      </c>
      <c r="B323" t="s">
        <v>13</v>
      </c>
      <c r="C323">
        <v>5.0999999999999996</v>
      </c>
      <c r="D323" t="s">
        <v>14</v>
      </c>
      <c r="E323">
        <v>4.0999999999999996</v>
      </c>
      <c r="F323">
        <v>2.8</v>
      </c>
      <c r="G323">
        <v>3.79</v>
      </c>
      <c r="H323">
        <v>0.8</v>
      </c>
      <c r="I323" t="s">
        <v>19</v>
      </c>
      <c r="J323">
        <v>9</v>
      </c>
      <c r="K323">
        <v>7</v>
      </c>
      <c r="L323">
        <v>3</v>
      </c>
      <c r="M323">
        <v>1</v>
      </c>
    </row>
    <row r="324" spans="1:13" x14ac:dyDescent="0.35">
      <c r="A324">
        <v>18</v>
      </c>
      <c r="B324" t="s">
        <v>13</v>
      </c>
      <c r="C324">
        <v>6.4</v>
      </c>
      <c r="D324" t="s">
        <v>17</v>
      </c>
      <c r="E324">
        <v>7.4</v>
      </c>
      <c r="F324">
        <v>1.5</v>
      </c>
      <c r="G324">
        <v>2.92</v>
      </c>
      <c r="H324">
        <v>0.6</v>
      </c>
      <c r="I324" t="s">
        <v>15</v>
      </c>
      <c r="J324">
        <v>9</v>
      </c>
      <c r="K324">
        <v>2</v>
      </c>
      <c r="L324">
        <v>5</v>
      </c>
      <c r="M324">
        <v>0</v>
      </c>
    </row>
    <row r="325" spans="1:13" x14ac:dyDescent="0.35">
      <c r="A325">
        <v>13</v>
      </c>
      <c r="B325" t="s">
        <v>16</v>
      </c>
      <c r="C325">
        <v>7.2</v>
      </c>
      <c r="D325" t="s">
        <v>20</v>
      </c>
      <c r="E325">
        <v>6.7</v>
      </c>
      <c r="F325">
        <v>0.9</v>
      </c>
      <c r="G325">
        <v>2.36</v>
      </c>
      <c r="H325">
        <v>0.6</v>
      </c>
      <c r="I325" t="s">
        <v>15</v>
      </c>
      <c r="J325">
        <v>8</v>
      </c>
      <c r="K325">
        <v>8</v>
      </c>
      <c r="L325">
        <v>1</v>
      </c>
      <c r="M325">
        <v>0</v>
      </c>
    </row>
    <row r="326" spans="1:13" x14ac:dyDescent="0.35">
      <c r="A326">
        <v>18</v>
      </c>
      <c r="B326" t="s">
        <v>16</v>
      </c>
      <c r="C326">
        <v>2.9</v>
      </c>
      <c r="D326" t="s">
        <v>20</v>
      </c>
      <c r="E326">
        <v>4.5999999999999996</v>
      </c>
      <c r="F326">
        <v>2.2999999999999998</v>
      </c>
      <c r="G326">
        <v>3.03</v>
      </c>
      <c r="H326">
        <v>0.3</v>
      </c>
      <c r="I326" t="s">
        <v>15</v>
      </c>
      <c r="J326">
        <v>6</v>
      </c>
      <c r="K326">
        <v>1</v>
      </c>
      <c r="L326">
        <v>9</v>
      </c>
      <c r="M326">
        <v>0</v>
      </c>
    </row>
    <row r="327" spans="1:13" x14ac:dyDescent="0.35">
      <c r="A327">
        <v>19</v>
      </c>
      <c r="B327" t="s">
        <v>13</v>
      </c>
      <c r="C327">
        <v>1.5</v>
      </c>
      <c r="D327" t="s">
        <v>14</v>
      </c>
      <c r="E327">
        <v>7.3</v>
      </c>
      <c r="F327">
        <v>2.7</v>
      </c>
      <c r="G327">
        <v>2.61</v>
      </c>
      <c r="H327">
        <v>0.9</v>
      </c>
      <c r="I327" t="s">
        <v>15</v>
      </c>
      <c r="J327">
        <v>5</v>
      </c>
      <c r="K327">
        <v>7</v>
      </c>
      <c r="L327">
        <v>10</v>
      </c>
      <c r="M327">
        <v>0</v>
      </c>
    </row>
    <row r="328" spans="1:13" x14ac:dyDescent="0.35">
      <c r="A328">
        <v>14</v>
      </c>
      <c r="B328" t="s">
        <v>13</v>
      </c>
      <c r="C328">
        <v>5.4</v>
      </c>
      <c r="D328" t="s">
        <v>20</v>
      </c>
      <c r="E328">
        <v>8.1</v>
      </c>
      <c r="F328">
        <v>1.8</v>
      </c>
      <c r="G328">
        <v>2.5299999999999998</v>
      </c>
      <c r="H328">
        <v>0.9</v>
      </c>
      <c r="I328" t="s">
        <v>19</v>
      </c>
      <c r="J328">
        <v>5</v>
      </c>
      <c r="K328">
        <v>8</v>
      </c>
      <c r="L328">
        <v>8</v>
      </c>
      <c r="M328">
        <v>0</v>
      </c>
    </row>
    <row r="329" spans="1:13" x14ac:dyDescent="0.35">
      <c r="A329">
        <v>13</v>
      </c>
      <c r="B329" t="s">
        <v>13</v>
      </c>
      <c r="C329">
        <v>7.2</v>
      </c>
      <c r="D329" t="s">
        <v>17</v>
      </c>
      <c r="E329">
        <v>4.0999999999999996</v>
      </c>
      <c r="F329">
        <v>1.3</v>
      </c>
      <c r="G329">
        <v>2.4900000000000002</v>
      </c>
      <c r="H329">
        <v>1.8</v>
      </c>
      <c r="I329" t="s">
        <v>19</v>
      </c>
      <c r="J329">
        <v>5</v>
      </c>
      <c r="K329">
        <v>5</v>
      </c>
      <c r="L329">
        <v>4</v>
      </c>
      <c r="M329">
        <v>0</v>
      </c>
    </row>
    <row r="330" spans="1:13" x14ac:dyDescent="0.35">
      <c r="A330">
        <v>15</v>
      </c>
      <c r="B330" t="s">
        <v>16</v>
      </c>
      <c r="C330">
        <v>7</v>
      </c>
      <c r="D330" t="s">
        <v>14</v>
      </c>
      <c r="E330">
        <v>5.9</v>
      </c>
      <c r="F330">
        <v>1.3</v>
      </c>
      <c r="G330">
        <v>2.91</v>
      </c>
      <c r="H330">
        <v>1.2</v>
      </c>
      <c r="I330" t="s">
        <v>15</v>
      </c>
      <c r="J330">
        <v>10</v>
      </c>
      <c r="K330">
        <v>2</v>
      </c>
      <c r="L330">
        <v>6</v>
      </c>
      <c r="M330">
        <v>0</v>
      </c>
    </row>
    <row r="331" spans="1:13" x14ac:dyDescent="0.35">
      <c r="A331">
        <v>17</v>
      </c>
      <c r="B331" t="s">
        <v>16</v>
      </c>
      <c r="C331">
        <v>7.5</v>
      </c>
      <c r="D331" t="s">
        <v>17</v>
      </c>
      <c r="E331">
        <v>6.7</v>
      </c>
      <c r="F331">
        <v>1.1000000000000001</v>
      </c>
      <c r="G331">
        <v>3.77</v>
      </c>
      <c r="H331">
        <v>0.6</v>
      </c>
      <c r="I331" t="s">
        <v>18</v>
      </c>
      <c r="J331">
        <v>3</v>
      </c>
      <c r="K331">
        <v>8</v>
      </c>
      <c r="L331">
        <v>6</v>
      </c>
      <c r="M331">
        <v>0</v>
      </c>
    </row>
    <row r="332" spans="1:13" x14ac:dyDescent="0.35">
      <c r="A332">
        <v>14</v>
      </c>
      <c r="B332" t="s">
        <v>13</v>
      </c>
      <c r="C332">
        <v>1.4</v>
      </c>
      <c r="D332" t="s">
        <v>20</v>
      </c>
      <c r="E332">
        <v>7</v>
      </c>
      <c r="F332">
        <v>1.8</v>
      </c>
      <c r="G332">
        <v>2.69</v>
      </c>
      <c r="H332">
        <v>0.9</v>
      </c>
      <c r="I332" t="s">
        <v>15</v>
      </c>
      <c r="J332">
        <v>10</v>
      </c>
      <c r="K332">
        <v>4</v>
      </c>
      <c r="L332">
        <v>2</v>
      </c>
      <c r="M332">
        <v>0</v>
      </c>
    </row>
    <row r="333" spans="1:13" x14ac:dyDescent="0.35">
      <c r="A333">
        <v>16</v>
      </c>
      <c r="B333" t="s">
        <v>16</v>
      </c>
      <c r="C333">
        <v>6.1</v>
      </c>
      <c r="D333" t="s">
        <v>14</v>
      </c>
      <c r="E333">
        <v>8.1</v>
      </c>
      <c r="F333">
        <v>1.4</v>
      </c>
      <c r="G333">
        <v>3.27</v>
      </c>
      <c r="H333">
        <v>1.6</v>
      </c>
      <c r="I333" t="s">
        <v>15</v>
      </c>
      <c r="J333">
        <v>10</v>
      </c>
      <c r="K333">
        <v>1</v>
      </c>
      <c r="L333">
        <v>4</v>
      </c>
      <c r="M333">
        <v>0</v>
      </c>
    </row>
    <row r="334" spans="1:13" x14ac:dyDescent="0.35">
      <c r="A334">
        <v>16</v>
      </c>
      <c r="B334" t="s">
        <v>16</v>
      </c>
      <c r="C334">
        <v>1.4</v>
      </c>
      <c r="D334" t="s">
        <v>20</v>
      </c>
      <c r="E334">
        <v>5.2</v>
      </c>
      <c r="F334">
        <v>1.7</v>
      </c>
      <c r="G334">
        <v>3.82</v>
      </c>
      <c r="H334">
        <v>0.7</v>
      </c>
      <c r="I334" t="s">
        <v>15</v>
      </c>
      <c r="J334">
        <v>10</v>
      </c>
      <c r="K334">
        <v>4</v>
      </c>
      <c r="L334">
        <v>3</v>
      </c>
      <c r="M334">
        <v>0</v>
      </c>
    </row>
    <row r="335" spans="1:13" x14ac:dyDescent="0.35">
      <c r="A335">
        <v>13</v>
      </c>
      <c r="B335" t="s">
        <v>13</v>
      </c>
      <c r="C335">
        <v>5.4</v>
      </c>
      <c r="D335" t="s">
        <v>14</v>
      </c>
      <c r="E335">
        <v>4.0999999999999996</v>
      </c>
      <c r="F335">
        <v>2</v>
      </c>
      <c r="G335">
        <v>3.82</v>
      </c>
      <c r="H335">
        <v>1.9</v>
      </c>
      <c r="I335" t="s">
        <v>19</v>
      </c>
      <c r="J335">
        <v>6</v>
      </c>
      <c r="K335">
        <v>10</v>
      </c>
      <c r="L335">
        <v>8</v>
      </c>
      <c r="M335">
        <v>0</v>
      </c>
    </row>
    <row r="336" spans="1:13" x14ac:dyDescent="0.35">
      <c r="A336">
        <v>13</v>
      </c>
      <c r="B336" t="s">
        <v>16</v>
      </c>
      <c r="C336">
        <v>2.1</v>
      </c>
      <c r="D336" t="s">
        <v>14</v>
      </c>
      <c r="E336">
        <v>8.1999999999999993</v>
      </c>
      <c r="F336">
        <v>0.9</v>
      </c>
      <c r="G336">
        <v>2.48</v>
      </c>
      <c r="H336">
        <v>0.5</v>
      </c>
      <c r="I336" t="s">
        <v>18</v>
      </c>
      <c r="J336">
        <v>2</v>
      </c>
      <c r="K336">
        <v>7</v>
      </c>
      <c r="L336">
        <v>6</v>
      </c>
      <c r="M336">
        <v>0</v>
      </c>
    </row>
    <row r="337" spans="1:13" x14ac:dyDescent="0.35">
      <c r="A337">
        <v>14</v>
      </c>
      <c r="B337" t="s">
        <v>13</v>
      </c>
      <c r="C337">
        <v>5</v>
      </c>
      <c r="D337" t="s">
        <v>20</v>
      </c>
      <c r="E337">
        <v>4.3</v>
      </c>
      <c r="F337">
        <v>1.1000000000000001</v>
      </c>
      <c r="G337">
        <v>3.8</v>
      </c>
      <c r="H337">
        <v>0.4</v>
      </c>
      <c r="I337" t="s">
        <v>19</v>
      </c>
      <c r="J337">
        <v>9</v>
      </c>
      <c r="K337">
        <v>4</v>
      </c>
      <c r="L337">
        <v>10</v>
      </c>
      <c r="M337">
        <v>0</v>
      </c>
    </row>
    <row r="338" spans="1:13" x14ac:dyDescent="0.35">
      <c r="A338">
        <v>13</v>
      </c>
      <c r="B338" t="s">
        <v>16</v>
      </c>
      <c r="C338">
        <v>4.4000000000000004</v>
      </c>
      <c r="D338" t="s">
        <v>14</v>
      </c>
      <c r="E338">
        <v>4.3</v>
      </c>
      <c r="F338">
        <v>1.9</v>
      </c>
      <c r="G338">
        <v>3.51</v>
      </c>
      <c r="H338">
        <v>0.9</v>
      </c>
      <c r="I338" t="s">
        <v>19</v>
      </c>
      <c r="J338">
        <v>8</v>
      </c>
      <c r="K338">
        <v>4</v>
      </c>
      <c r="L338">
        <v>3</v>
      </c>
      <c r="M338">
        <v>0</v>
      </c>
    </row>
    <row r="339" spans="1:13" x14ac:dyDescent="0.35">
      <c r="A339">
        <v>13</v>
      </c>
      <c r="B339" t="s">
        <v>13</v>
      </c>
      <c r="C339">
        <v>3.4</v>
      </c>
      <c r="D339" t="s">
        <v>20</v>
      </c>
      <c r="E339">
        <v>8.6</v>
      </c>
      <c r="F339">
        <v>0.8</v>
      </c>
      <c r="G339">
        <v>3.08</v>
      </c>
      <c r="H339">
        <v>0.4</v>
      </c>
      <c r="I339" t="s">
        <v>15</v>
      </c>
      <c r="J339">
        <v>7</v>
      </c>
      <c r="K339">
        <v>10</v>
      </c>
      <c r="L339">
        <v>6</v>
      </c>
      <c r="M339">
        <v>0</v>
      </c>
    </row>
    <row r="340" spans="1:13" x14ac:dyDescent="0.35">
      <c r="A340">
        <v>18</v>
      </c>
      <c r="B340" t="s">
        <v>13</v>
      </c>
      <c r="C340">
        <v>1.2</v>
      </c>
      <c r="D340" t="s">
        <v>14</v>
      </c>
      <c r="E340">
        <v>6.4</v>
      </c>
      <c r="F340">
        <v>1.3</v>
      </c>
      <c r="G340">
        <v>3.03</v>
      </c>
      <c r="H340">
        <v>1</v>
      </c>
      <c r="I340" t="s">
        <v>15</v>
      </c>
      <c r="J340">
        <v>5</v>
      </c>
      <c r="K340">
        <v>9</v>
      </c>
      <c r="L340">
        <v>10</v>
      </c>
      <c r="M340">
        <v>0</v>
      </c>
    </row>
    <row r="341" spans="1:13" x14ac:dyDescent="0.35">
      <c r="A341">
        <v>14</v>
      </c>
      <c r="B341" t="s">
        <v>13</v>
      </c>
      <c r="C341">
        <v>5.5</v>
      </c>
      <c r="D341" t="s">
        <v>17</v>
      </c>
      <c r="E341">
        <v>7.3</v>
      </c>
      <c r="F341">
        <v>1.4</v>
      </c>
      <c r="G341">
        <v>2.61</v>
      </c>
      <c r="H341">
        <v>1.2</v>
      </c>
      <c r="I341" t="s">
        <v>18</v>
      </c>
      <c r="J341">
        <v>5</v>
      </c>
      <c r="K341">
        <v>7</v>
      </c>
      <c r="L341">
        <v>1</v>
      </c>
      <c r="M341">
        <v>0</v>
      </c>
    </row>
    <row r="342" spans="1:13" x14ac:dyDescent="0.35">
      <c r="A342">
        <v>15</v>
      </c>
      <c r="B342" t="s">
        <v>13</v>
      </c>
      <c r="C342">
        <v>2.2999999999999998</v>
      </c>
      <c r="D342" t="s">
        <v>20</v>
      </c>
      <c r="E342">
        <v>7.8</v>
      </c>
      <c r="F342">
        <v>3</v>
      </c>
      <c r="G342">
        <v>2.2999999999999998</v>
      </c>
      <c r="H342">
        <v>1.4</v>
      </c>
      <c r="I342" t="s">
        <v>19</v>
      </c>
      <c r="J342">
        <v>4</v>
      </c>
      <c r="K342">
        <v>9</v>
      </c>
      <c r="L342">
        <v>10</v>
      </c>
      <c r="M342">
        <v>0</v>
      </c>
    </row>
    <row r="343" spans="1:13" x14ac:dyDescent="0.35">
      <c r="A343">
        <v>13</v>
      </c>
      <c r="B343" t="s">
        <v>16</v>
      </c>
      <c r="C343">
        <v>1.4</v>
      </c>
      <c r="D343" t="s">
        <v>20</v>
      </c>
      <c r="E343">
        <v>7.4</v>
      </c>
      <c r="F343">
        <v>0.5</v>
      </c>
      <c r="G343">
        <v>2.3199999999999998</v>
      </c>
      <c r="H343">
        <v>1.3</v>
      </c>
      <c r="I343" t="s">
        <v>15</v>
      </c>
      <c r="J343">
        <v>3</v>
      </c>
      <c r="K343">
        <v>2</v>
      </c>
      <c r="L343">
        <v>6</v>
      </c>
      <c r="M343">
        <v>0</v>
      </c>
    </row>
    <row r="344" spans="1:13" x14ac:dyDescent="0.35">
      <c r="A344">
        <v>13</v>
      </c>
      <c r="B344" t="s">
        <v>16</v>
      </c>
      <c r="C344">
        <v>3</v>
      </c>
      <c r="D344" t="s">
        <v>14</v>
      </c>
      <c r="E344">
        <v>7</v>
      </c>
      <c r="F344">
        <v>0.9</v>
      </c>
      <c r="G344">
        <v>2.73</v>
      </c>
      <c r="H344">
        <v>1.7</v>
      </c>
      <c r="I344" t="s">
        <v>18</v>
      </c>
      <c r="J344">
        <v>5</v>
      </c>
      <c r="K344">
        <v>6</v>
      </c>
      <c r="L344">
        <v>9</v>
      </c>
      <c r="M344">
        <v>0</v>
      </c>
    </row>
    <row r="345" spans="1:13" x14ac:dyDescent="0.35">
      <c r="A345">
        <v>14</v>
      </c>
      <c r="B345" t="s">
        <v>13</v>
      </c>
      <c r="C345">
        <v>2.8</v>
      </c>
      <c r="D345" t="s">
        <v>14</v>
      </c>
      <c r="E345">
        <v>5</v>
      </c>
      <c r="F345">
        <v>2.5</v>
      </c>
      <c r="G345">
        <v>3.92</v>
      </c>
      <c r="H345">
        <v>1.8</v>
      </c>
      <c r="I345" t="s">
        <v>18</v>
      </c>
      <c r="J345">
        <v>1</v>
      </c>
      <c r="K345">
        <v>3</v>
      </c>
      <c r="L345">
        <v>4</v>
      </c>
      <c r="M345">
        <v>0</v>
      </c>
    </row>
    <row r="346" spans="1:13" x14ac:dyDescent="0.35">
      <c r="A346">
        <v>14</v>
      </c>
      <c r="B346" t="s">
        <v>13</v>
      </c>
      <c r="C346">
        <v>7</v>
      </c>
      <c r="D346" t="s">
        <v>17</v>
      </c>
      <c r="E346">
        <v>6.9</v>
      </c>
      <c r="F346">
        <v>1</v>
      </c>
      <c r="G346">
        <v>3.93</v>
      </c>
      <c r="H346">
        <v>1.1000000000000001</v>
      </c>
      <c r="I346" t="s">
        <v>18</v>
      </c>
      <c r="J346">
        <v>9</v>
      </c>
      <c r="K346">
        <v>3</v>
      </c>
      <c r="L346">
        <v>7</v>
      </c>
      <c r="M346">
        <v>0</v>
      </c>
    </row>
    <row r="347" spans="1:13" x14ac:dyDescent="0.35">
      <c r="A347">
        <v>13</v>
      </c>
      <c r="B347" t="s">
        <v>16</v>
      </c>
      <c r="C347">
        <v>1.6</v>
      </c>
      <c r="D347" t="s">
        <v>20</v>
      </c>
      <c r="E347">
        <v>8.4</v>
      </c>
      <c r="F347">
        <v>1.4</v>
      </c>
      <c r="G347">
        <v>3.47</v>
      </c>
      <c r="H347">
        <v>0.1</v>
      </c>
      <c r="I347" t="s">
        <v>19</v>
      </c>
      <c r="J347">
        <v>1</v>
      </c>
      <c r="K347">
        <v>6</v>
      </c>
      <c r="L347">
        <v>6</v>
      </c>
      <c r="M347">
        <v>0</v>
      </c>
    </row>
    <row r="348" spans="1:13" x14ac:dyDescent="0.35">
      <c r="A348">
        <v>15</v>
      </c>
      <c r="B348" t="s">
        <v>16</v>
      </c>
      <c r="C348">
        <v>4.2</v>
      </c>
      <c r="D348" t="s">
        <v>14</v>
      </c>
      <c r="E348">
        <v>8.4</v>
      </c>
      <c r="F348">
        <v>1.2</v>
      </c>
      <c r="G348">
        <v>2.61</v>
      </c>
      <c r="H348">
        <v>0</v>
      </c>
      <c r="I348" t="s">
        <v>19</v>
      </c>
      <c r="J348">
        <v>3</v>
      </c>
      <c r="K348">
        <v>10</v>
      </c>
      <c r="L348">
        <v>2</v>
      </c>
      <c r="M348">
        <v>0</v>
      </c>
    </row>
    <row r="349" spans="1:13" x14ac:dyDescent="0.35">
      <c r="A349">
        <v>17</v>
      </c>
      <c r="B349" t="s">
        <v>13</v>
      </c>
      <c r="C349">
        <v>4.9000000000000004</v>
      </c>
      <c r="D349" t="s">
        <v>14</v>
      </c>
      <c r="E349">
        <v>8.6</v>
      </c>
      <c r="F349">
        <v>3</v>
      </c>
      <c r="G349">
        <v>3.62</v>
      </c>
      <c r="H349">
        <v>1.2</v>
      </c>
      <c r="I349" t="s">
        <v>15</v>
      </c>
      <c r="J349">
        <v>6</v>
      </c>
      <c r="K349">
        <v>6</v>
      </c>
      <c r="L349">
        <v>9</v>
      </c>
      <c r="M349">
        <v>0</v>
      </c>
    </row>
    <row r="350" spans="1:13" x14ac:dyDescent="0.35">
      <c r="A350">
        <v>14</v>
      </c>
      <c r="B350" t="s">
        <v>16</v>
      </c>
      <c r="C350">
        <v>3.6</v>
      </c>
      <c r="D350" t="s">
        <v>14</v>
      </c>
      <c r="E350">
        <v>4.0999999999999996</v>
      </c>
      <c r="F350">
        <v>2.9</v>
      </c>
      <c r="G350">
        <v>2.83</v>
      </c>
      <c r="H350">
        <v>0.5</v>
      </c>
      <c r="I350" t="s">
        <v>19</v>
      </c>
      <c r="J350">
        <v>10</v>
      </c>
      <c r="K350">
        <v>6</v>
      </c>
      <c r="L350">
        <v>7</v>
      </c>
      <c r="M350">
        <v>0</v>
      </c>
    </row>
    <row r="351" spans="1:13" x14ac:dyDescent="0.35">
      <c r="A351">
        <v>19</v>
      </c>
      <c r="B351" t="s">
        <v>13</v>
      </c>
      <c r="C351">
        <v>1.8</v>
      </c>
      <c r="D351" t="s">
        <v>17</v>
      </c>
      <c r="E351">
        <v>6</v>
      </c>
      <c r="F351">
        <v>2.2999999999999998</v>
      </c>
      <c r="G351">
        <v>3.22</v>
      </c>
      <c r="H351">
        <v>1</v>
      </c>
      <c r="I351" t="s">
        <v>19</v>
      </c>
      <c r="J351">
        <v>5</v>
      </c>
      <c r="K351">
        <v>6</v>
      </c>
      <c r="L351">
        <v>8</v>
      </c>
      <c r="M351">
        <v>0</v>
      </c>
    </row>
    <row r="352" spans="1:13" x14ac:dyDescent="0.35">
      <c r="A352">
        <v>17</v>
      </c>
      <c r="B352" t="s">
        <v>16</v>
      </c>
      <c r="C352">
        <v>2.7</v>
      </c>
      <c r="D352" t="s">
        <v>14</v>
      </c>
      <c r="E352">
        <v>5.4</v>
      </c>
      <c r="F352">
        <v>2.6</v>
      </c>
      <c r="G352">
        <v>2.0699999999999998</v>
      </c>
      <c r="H352">
        <v>0</v>
      </c>
      <c r="I352" t="s">
        <v>19</v>
      </c>
      <c r="J352">
        <v>6</v>
      </c>
      <c r="K352">
        <v>5</v>
      </c>
      <c r="L352">
        <v>6</v>
      </c>
      <c r="M352">
        <v>0</v>
      </c>
    </row>
    <row r="353" spans="1:13" x14ac:dyDescent="0.35">
      <c r="A353">
        <v>15</v>
      </c>
      <c r="B353" t="s">
        <v>16</v>
      </c>
      <c r="C353">
        <v>1.2</v>
      </c>
      <c r="D353" t="s">
        <v>14</v>
      </c>
      <c r="E353">
        <v>5.2</v>
      </c>
      <c r="F353">
        <v>1</v>
      </c>
      <c r="G353">
        <v>2.78</v>
      </c>
      <c r="H353">
        <v>1.3</v>
      </c>
      <c r="I353" t="s">
        <v>18</v>
      </c>
      <c r="J353">
        <v>5</v>
      </c>
      <c r="K353">
        <v>8</v>
      </c>
      <c r="L353">
        <v>10</v>
      </c>
      <c r="M353">
        <v>0</v>
      </c>
    </row>
    <row r="354" spans="1:13" x14ac:dyDescent="0.35">
      <c r="A354">
        <v>18</v>
      </c>
      <c r="B354" t="s">
        <v>16</v>
      </c>
      <c r="C354">
        <v>6.2</v>
      </c>
      <c r="D354" t="s">
        <v>20</v>
      </c>
      <c r="E354">
        <v>6.7</v>
      </c>
      <c r="F354">
        <v>1.4</v>
      </c>
      <c r="G354">
        <v>3.42</v>
      </c>
      <c r="H354">
        <v>0.9</v>
      </c>
      <c r="I354" t="s">
        <v>15</v>
      </c>
      <c r="J354">
        <v>6</v>
      </c>
      <c r="K354">
        <v>8</v>
      </c>
      <c r="L354">
        <v>6</v>
      </c>
      <c r="M354">
        <v>0</v>
      </c>
    </row>
    <row r="355" spans="1:13" x14ac:dyDescent="0.35">
      <c r="A355">
        <v>18</v>
      </c>
      <c r="B355" t="s">
        <v>13</v>
      </c>
      <c r="C355">
        <v>1.6</v>
      </c>
      <c r="D355" t="s">
        <v>17</v>
      </c>
      <c r="E355">
        <v>6.2</v>
      </c>
      <c r="F355">
        <v>1.9</v>
      </c>
      <c r="G355">
        <v>2.0499999999999998</v>
      </c>
      <c r="H355">
        <v>0.3</v>
      </c>
      <c r="I355" t="s">
        <v>15</v>
      </c>
      <c r="J355">
        <v>8</v>
      </c>
      <c r="K355">
        <v>9</v>
      </c>
      <c r="L355">
        <v>9</v>
      </c>
      <c r="M355">
        <v>0</v>
      </c>
    </row>
    <row r="356" spans="1:13" x14ac:dyDescent="0.35">
      <c r="A356">
        <v>18</v>
      </c>
      <c r="B356" t="s">
        <v>16</v>
      </c>
      <c r="C356">
        <v>5.0999999999999996</v>
      </c>
      <c r="D356" t="s">
        <v>17</v>
      </c>
      <c r="E356">
        <v>7.4</v>
      </c>
      <c r="F356">
        <v>1.3</v>
      </c>
      <c r="G356">
        <v>3.5</v>
      </c>
      <c r="H356">
        <v>1.6</v>
      </c>
      <c r="I356" t="s">
        <v>18</v>
      </c>
      <c r="J356">
        <v>1</v>
      </c>
      <c r="K356">
        <v>5</v>
      </c>
      <c r="L356">
        <v>5</v>
      </c>
      <c r="M356">
        <v>0</v>
      </c>
    </row>
    <row r="357" spans="1:13" x14ac:dyDescent="0.35">
      <c r="A357">
        <v>13</v>
      </c>
      <c r="B357" t="s">
        <v>16</v>
      </c>
      <c r="C357">
        <v>5.2</v>
      </c>
      <c r="D357" t="s">
        <v>17</v>
      </c>
      <c r="E357">
        <v>8.1999999999999993</v>
      </c>
      <c r="F357">
        <v>2.8</v>
      </c>
      <c r="G357">
        <v>2.12</v>
      </c>
      <c r="H357">
        <v>1.4</v>
      </c>
      <c r="I357" t="s">
        <v>19</v>
      </c>
      <c r="J357">
        <v>1</v>
      </c>
      <c r="K357">
        <v>8</v>
      </c>
      <c r="L357">
        <v>1</v>
      </c>
      <c r="M357">
        <v>0</v>
      </c>
    </row>
    <row r="358" spans="1:13" x14ac:dyDescent="0.35">
      <c r="A358">
        <v>14</v>
      </c>
      <c r="B358" t="s">
        <v>13</v>
      </c>
      <c r="C358">
        <v>4.0999999999999996</v>
      </c>
      <c r="D358" t="s">
        <v>17</v>
      </c>
      <c r="E358">
        <v>5.0999999999999996</v>
      </c>
      <c r="F358">
        <v>2</v>
      </c>
      <c r="G358">
        <v>3.51</v>
      </c>
      <c r="H358">
        <v>0.7</v>
      </c>
      <c r="I358" t="s">
        <v>18</v>
      </c>
      <c r="J358">
        <v>2</v>
      </c>
      <c r="K358">
        <v>9</v>
      </c>
      <c r="L358">
        <v>1</v>
      </c>
      <c r="M358">
        <v>0</v>
      </c>
    </row>
    <row r="359" spans="1:13" x14ac:dyDescent="0.35">
      <c r="A359">
        <v>19</v>
      </c>
      <c r="B359" t="s">
        <v>16</v>
      </c>
      <c r="C359">
        <v>5.4</v>
      </c>
      <c r="D359" t="s">
        <v>17</v>
      </c>
      <c r="E359">
        <v>4.4000000000000004</v>
      </c>
      <c r="F359">
        <v>2.2999999999999998</v>
      </c>
      <c r="G359">
        <v>3.34</v>
      </c>
      <c r="H359">
        <v>0.4</v>
      </c>
      <c r="I359" t="s">
        <v>18</v>
      </c>
      <c r="J359">
        <v>3</v>
      </c>
      <c r="K359">
        <v>3</v>
      </c>
      <c r="L359">
        <v>8</v>
      </c>
      <c r="M359">
        <v>0</v>
      </c>
    </row>
    <row r="360" spans="1:13" x14ac:dyDescent="0.35">
      <c r="A360">
        <v>13</v>
      </c>
      <c r="B360" t="s">
        <v>13</v>
      </c>
      <c r="C360">
        <v>2.4</v>
      </c>
      <c r="D360" t="s">
        <v>17</v>
      </c>
      <c r="E360">
        <v>8.4</v>
      </c>
      <c r="F360">
        <v>1.6</v>
      </c>
      <c r="G360">
        <v>2.82</v>
      </c>
      <c r="H360">
        <v>1.1000000000000001</v>
      </c>
      <c r="I360" t="s">
        <v>15</v>
      </c>
      <c r="J360">
        <v>1</v>
      </c>
      <c r="K360">
        <v>3</v>
      </c>
      <c r="L360">
        <v>2</v>
      </c>
      <c r="M360">
        <v>0</v>
      </c>
    </row>
    <row r="361" spans="1:13" x14ac:dyDescent="0.35">
      <c r="A361">
        <v>18</v>
      </c>
      <c r="B361" t="s">
        <v>13</v>
      </c>
      <c r="C361">
        <v>1.7</v>
      </c>
      <c r="D361" t="s">
        <v>20</v>
      </c>
      <c r="E361">
        <v>5.6</v>
      </c>
      <c r="F361">
        <v>1.4</v>
      </c>
      <c r="G361">
        <v>2.85</v>
      </c>
      <c r="H361">
        <v>1</v>
      </c>
      <c r="I361" t="s">
        <v>18</v>
      </c>
      <c r="J361">
        <v>3</v>
      </c>
      <c r="K361">
        <v>3</v>
      </c>
      <c r="L361">
        <v>7</v>
      </c>
      <c r="M361">
        <v>0</v>
      </c>
    </row>
    <row r="362" spans="1:13" x14ac:dyDescent="0.35">
      <c r="A362">
        <v>18</v>
      </c>
      <c r="B362" t="s">
        <v>13</v>
      </c>
      <c r="C362">
        <v>6</v>
      </c>
      <c r="D362" t="s">
        <v>20</v>
      </c>
      <c r="E362">
        <v>6.1</v>
      </c>
      <c r="F362">
        <v>0.9</v>
      </c>
      <c r="G362">
        <v>2.68</v>
      </c>
      <c r="H362">
        <v>0.3</v>
      </c>
      <c r="I362" t="s">
        <v>19</v>
      </c>
      <c r="J362">
        <v>2</v>
      </c>
      <c r="K362">
        <v>10</v>
      </c>
      <c r="L362">
        <v>10</v>
      </c>
      <c r="M362">
        <v>0</v>
      </c>
    </row>
    <row r="363" spans="1:13" x14ac:dyDescent="0.35">
      <c r="A363">
        <v>17</v>
      </c>
      <c r="B363" t="s">
        <v>13</v>
      </c>
      <c r="C363">
        <v>7.2</v>
      </c>
      <c r="D363" t="s">
        <v>20</v>
      </c>
      <c r="E363">
        <v>6.1</v>
      </c>
      <c r="F363">
        <v>0.8</v>
      </c>
      <c r="G363">
        <v>3.9</v>
      </c>
      <c r="H363">
        <v>0.2</v>
      </c>
      <c r="I363" t="s">
        <v>15</v>
      </c>
      <c r="J363">
        <v>8</v>
      </c>
      <c r="K363">
        <v>3</v>
      </c>
      <c r="L363">
        <v>7</v>
      </c>
      <c r="M363">
        <v>0</v>
      </c>
    </row>
    <row r="364" spans="1:13" x14ac:dyDescent="0.35">
      <c r="A364">
        <v>18</v>
      </c>
      <c r="B364" t="s">
        <v>13</v>
      </c>
      <c r="C364">
        <v>3.5</v>
      </c>
      <c r="D364" t="s">
        <v>17</v>
      </c>
      <c r="E364">
        <v>6.3</v>
      </c>
      <c r="F364">
        <v>2.9</v>
      </c>
      <c r="G364">
        <v>3.35</v>
      </c>
      <c r="H364">
        <v>1.6</v>
      </c>
      <c r="I364" t="s">
        <v>18</v>
      </c>
      <c r="J364">
        <v>1</v>
      </c>
      <c r="K364">
        <v>4</v>
      </c>
      <c r="L364">
        <v>2</v>
      </c>
      <c r="M364">
        <v>0</v>
      </c>
    </row>
    <row r="365" spans="1:13" x14ac:dyDescent="0.35">
      <c r="A365">
        <v>15</v>
      </c>
      <c r="B365" t="s">
        <v>16</v>
      </c>
      <c r="C365">
        <v>3.8</v>
      </c>
      <c r="D365" t="s">
        <v>14</v>
      </c>
      <c r="E365">
        <v>4.4000000000000004</v>
      </c>
      <c r="F365">
        <v>1.9</v>
      </c>
      <c r="G365">
        <v>2.04</v>
      </c>
      <c r="H365">
        <v>0.5</v>
      </c>
      <c r="I365" t="s">
        <v>19</v>
      </c>
      <c r="J365">
        <v>4</v>
      </c>
      <c r="K365">
        <v>9</v>
      </c>
      <c r="L365">
        <v>7</v>
      </c>
      <c r="M365">
        <v>0</v>
      </c>
    </row>
    <row r="366" spans="1:13" x14ac:dyDescent="0.35">
      <c r="A366">
        <v>18</v>
      </c>
      <c r="B366" t="s">
        <v>16</v>
      </c>
      <c r="C366">
        <v>4.5</v>
      </c>
      <c r="D366" t="s">
        <v>20</v>
      </c>
      <c r="E366">
        <v>8</v>
      </c>
      <c r="F366">
        <v>1.5</v>
      </c>
      <c r="G366">
        <v>3.45</v>
      </c>
      <c r="H366">
        <v>1</v>
      </c>
      <c r="I366" t="s">
        <v>15</v>
      </c>
      <c r="J366">
        <v>4</v>
      </c>
      <c r="K366">
        <v>3</v>
      </c>
      <c r="L366">
        <v>9</v>
      </c>
      <c r="M366">
        <v>0</v>
      </c>
    </row>
    <row r="367" spans="1:13" x14ac:dyDescent="0.35">
      <c r="A367">
        <v>16</v>
      </c>
      <c r="B367" t="s">
        <v>16</v>
      </c>
      <c r="C367">
        <v>7.3</v>
      </c>
      <c r="D367" t="s">
        <v>20</v>
      </c>
      <c r="E367">
        <v>7.2</v>
      </c>
      <c r="F367">
        <v>0.5</v>
      </c>
      <c r="G367">
        <v>2.78</v>
      </c>
      <c r="H367">
        <v>1.9</v>
      </c>
      <c r="I367" t="s">
        <v>15</v>
      </c>
      <c r="J367">
        <v>7</v>
      </c>
      <c r="K367">
        <v>3</v>
      </c>
      <c r="L367">
        <v>9</v>
      </c>
      <c r="M367">
        <v>0</v>
      </c>
    </row>
    <row r="368" spans="1:13" x14ac:dyDescent="0.35">
      <c r="A368">
        <v>18</v>
      </c>
      <c r="B368" t="s">
        <v>16</v>
      </c>
      <c r="C368">
        <v>6.4</v>
      </c>
      <c r="D368" t="s">
        <v>14</v>
      </c>
      <c r="E368">
        <v>7.7</v>
      </c>
      <c r="F368">
        <v>0.5</v>
      </c>
      <c r="G368">
        <v>3.05</v>
      </c>
      <c r="H368">
        <v>1.2</v>
      </c>
      <c r="I368" t="s">
        <v>15</v>
      </c>
      <c r="J368">
        <v>3</v>
      </c>
      <c r="K368">
        <v>1</v>
      </c>
      <c r="L368">
        <v>2</v>
      </c>
      <c r="M368">
        <v>0</v>
      </c>
    </row>
    <row r="369" spans="1:13" x14ac:dyDescent="0.35">
      <c r="A369">
        <v>16</v>
      </c>
      <c r="B369" t="s">
        <v>13</v>
      </c>
      <c r="C369">
        <v>5.3</v>
      </c>
      <c r="D369" t="s">
        <v>17</v>
      </c>
      <c r="E369">
        <v>8.4</v>
      </c>
      <c r="F369">
        <v>2.2000000000000002</v>
      </c>
      <c r="G369">
        <v>2.81</v>
      </c>
      <c r="H369">
        <v>0.6</v>
      </c>
      <c r="I369" t="s">
        <v>18</v>
      </c>
      <c r="J369">
        <v>2</v>
      </c>
      <c r="K369">
        <v>8</v>
      </c>
      <c r="L369">
        <v>8</v>
      </c>
      <c r="M369">
        <v>0</v>
      </c>
    </row>
    <row r="370" spans="1:13" x14ac:dyDescent="0.35">
      <c r="A370">
        <v>13</v>
      </c>
      <c r="B370" t="s">
        <v>13</v>
      </c>
      <c r="C370">
        <v>2.4</v>
      </c>
      <c r="D370" t="s">
        <v>14</v>
      </c>
      <c r="E370">
        <v>7.1</v>
      </c>
      <c r="F370">
        <v>0.7</v>
      </c>
      <c r="G370">
        <v>3.64</v>
      </c>
      <c r="H370">
        <v>1.1000000000000001</v>
      </c>
      <c r="I370" t="s">
        <v>18</v>
      </c>
      <c r="J370">
        <v>6</v>
      </c>
      <c r="K370">
        <v>5</v>
      </c>
      <c r="L370">
        <v>5</v>
      </c>
      <c r="M370">
        <v>0</v>
      </c>
    </row>
    <row r="371" spans="1:13" x14ac:dyDescent="0.35">
      <c r="A371">
        <v>13</v>
      </c>
      <c r="B371" t="s">
        <v>13</v>
      </c>
      <c r="C371">
        <v>8</v>
      </c>
      <c r="D371" t="s">
        <v>20</v>
      </c>
      <c r="E371">
        <v>8.9</v>
      </c>
      <c r="F371">
        <v>2.2000000000000002</v>
      </c>
      <c r="G371">
        <v>3.82</v>
      </c>
      <c r="H371">
        <v>1.2</v>
      </c>
      <c r="I371" t="s">
        <v>15</v>
      </c>
      <c r="J371">
        <v>8</v>
      </c>
      <c r="K371">
        <v>8</v>
      </c>
      <c r="L371">
        <v>4</v>
      </c>
      <c r="M371">
        <v>0</v>
      </c>
    </row>
    <row r="372" spans="1:13" x14ac:dyDescent="0.35">
      <c r="A372">
        <v>15</v>
      </c>
      <c r="B372" t="s">
        <v>13</v>
      </c>
      <c r="C372">
        <v>7.3</v>
      </c>
      <c r="D372" t="s">
        <v>20</v>
      </c>
      <c r="E372">
        <v>4.4000000000000004</v>
      </c>
      <c r="F372">
        <v>2.2999999999999998</v>
      </c>
      <c r="G372">
        <v>2.76</v>
      </c>
      <c r="H372">
        <v>1.8</v>
      </c>
      <c r="I372" t="s">
        <v>19</v>
      </c>
      <c r="J372">
        <v>4</v>
      </c>
      <c r="K372">
        <v>6</v>
      </c>
      <c r="L372">
        <v>9</v>
      </c>
      <c r="M372">
        <v>0</v>
      </c>
    </row>
    <row r="373" spans="1:13" x14ac:dyDescent="0.35">
      <c r="A373">
        <v>17</v>
      </c>
      <c r="B373" t="s">
        <v>16</v>
      </c>
      <c r="C373">
        <v>4.5</v>
      </c>
      <c r="D373" t="s">
        <v>20</v>
      </c>
      <c r="E373">
        <v>7.3</v>
      </c>
      <c r="F373">
        <v>0.9</v>
      </c>
      <c r="G373">
        <v>2.34</v>
      </c>
      <c r="H373">
        <v>0.9</v>
      </c>
      <c r="I373" t="s">
        <v>19</v>
      </c>
      <c r="J373">
        <v>7</v>
      </c>
      <c r="K373">
        <v>3</v>
      </c>
      <c r="L373">
        <v>8</v>
      </c>
      <c r="M373">
        <v>0</v>
      </c>
    </row>
    <row r="374" spans="1:13" x14ac:dyDescent="0.35">
      <c r="A374">
        <v>19</v>
      </c>
      <c r="B374" t="s">
        <v>13</v>
      </c>
      <c r="C374">
        <v>5</v>
      </c>
      <c r="D374" t="s">
        <v>20</v>
      </c>
      <c r="E374">
        <v>9</v>
      </c>
      <c r="F374">
        <v>2.4</v>
      </c>
      <c r="G374">
        <v>2.5299999999999998</v>
      </c>
      <c r="H374">
        <v>0.4</v>
      </c>
      <c r="I374" t="s">
        <v>19</v>
      </c>
      <c r="J374">
        <v>7</v>
      </c>
      <c r="K374">
        <v>2</v>
      </c>
      <c r="L374">
        <v>10</v>
      </c>
      <c r="M374">
        <v>0</v>
      </c>
    </row>
    <row r="375" spans="1:13" x14ac:dyDescent="0.35">
      <c r="A375">
        <v>16</v>
      </c>
      <c r="B375" t="s">
        <v>16</v>
      </c>
      <c r="C375">
        <v>5.7</v>
      </c>
      <c r="D375" t="s">
        <v>20</v>
      </c>
      <c r="E375">
        <v>4.2</v>
      </c>
      <c r="F375">
        <v>1.4</v>
      </c>
      <c r="G375">
        <v>2.56</v>
      </c>
      <c r="H375">
        <v>0.1</v>
      </c>
      <c r="I375" t="s">
        <v>18</v>
      </c>
      <c r="J375">
        <v>4</v>
      </c>
      <c r="K375">
        <v>3</v>
      </c>
      <c r="L375">
        <v>1</v>
      </c>
      <c r="M375">
        <v>0</v>
      </c>
    </row>
    <row r="376" spans="1:13" x14ac:dyDescent="0.35">
      <c r="A376">
        <v>18</v>
      </c>
      <c r="B376" t="s">
        <v>16</v>
      </c>
      <c r="C376">
        <v>2.9</v>
      </c>
      <c r="D376" t="s">
        <v>14</v>
      </c>
      <c r="E376">
        <v>8.4</v>
      </c>
      <c r="F376">
        <v>2.6</v>
      </c>
      <c r="G376">
        <v>2.57</v>
      </c>
      <c r="H376">
        <v>1.8</v>
      </c>
      <c r="I376" t="s">
        <v>19</v>
      </c>
      <c r="J376">
        <v>4</v>
      </c>
      <c r="K376">
        <v>1</v>
      </c>
      <c r="L376">
        <v>3</v>
      </c>
      <c r="M376">
        <v>0</v>
      </c>
    </row>
    <row r="377" spans="1:13" x14ac:dyDescent="0.35">
      <c r="A377">
        <v>13</v>
      </c>
      <c r="B377" t="s">
        <v>13</v>
      </c>
      <c r="C377">
        <v>7.9</v>
      </c>
      <c r="D377" t="s">
        <v>14</v>
      </c>
      <c r="E377">
        <v>8.8000000000000007</v>
      </c>
      <c r="F377">
        <v>2.2999999999999998</v>
      </c>
      <c r="G377">
        <v>3.39</v>
      </c>
      <c r="H377">
        <v>0.5</v>
      </c>
      <c r="I377" t="s">
        <v>15</v>
      </c>
      <c r="J377">
        <v>1</v>
      </c>
      <c r="K377">
        <v>9</v>
      </c>
      <c r="L377">
        <v>3</v>
      </c>
      <c r="M377">
        <v>0</v>
      </c>
    </row>
    <row r="378" spans="1:13" x14ac:dyDescent="0.35">
      <c r="A378">
        <v>19</v>
      </c>
      <c r="B378" t="s">
        <v>13</v>
      </c>
      <c r="C378">
        <v>4.8</v>
      </c>
      <c r="D378" t="s">
        <v>17</v>
      </c>
      <c r="E378">
        <v>5</v>
      </c>
      <c r="F378">
        <v>2.6</v>
      </c>
      <c r="G378">
        <v>3.25</v>
      </c>
      <c r="H378">
        <v>1.6</v>
      </c>
      <c r="I378" t="s">
        <v>15</v>
      </c>
      <c r="J378">
        <v>4</v>
      </c>
      <c r="K378">
        <v>6</v>
      </c>
      <c r="L378">
        <v>1</v>
      </c>
      <c r="M378">
        <v>0</v>
      </c>
    </row>
    <row r="379" spans="1:13" x14ac:dyDescent="0.35">
      <c r="A379">
        <v>13</v>
      </c>
      <c r="B379" t="s">
        <v>16</v>
      </c>
      <c r="C379">
        <v>3</v>
      </c>
      <c r="D379" t="s">
        <v>20</v>
      </c>
      <c r="E379">
        <v>6</v>
      </c>
      <c r="F379">
        <v>1</v>
      </c>
      <c r="G379">
        <v>2.63</v>
      </c>
      <c r="H379">
        <v>0.1</v>
      </c>
      <c r="I379" t="s">
        <v>15</v>
      </c>
      <c r="J379">
        <v>5</v>
      </c>
      <c r="K379">
        <v>10</v>
      </c>
      <c r="L379">
        <v>9</v>
      </c>
      <c r="M379">
        <v>0</v>
      </c>
    </row>
    <row r="380" spans="1:13" x14ac:dyDescent="0.35">
      <c r="A380">
        <v>14</v>
      </c>
      <c r="B380" t="s">
        <v>16</v>
      </c>
      <c r="C380">
        <v>4.0999999999999996</v>
      </c>
      <c r="D380" t="s">
        <v>20</v>
      </c>
      <c r="E380">
        <v>6.4</v>
      </c>
      <c r="F380">
        <v>2</v>
      </c>
      <c r="G380">
        <v>3.69</v>
      </c>
      <c r="H380">
        <v>1.5</v>
      </c>
      <c r="I380" t="s">
        <v>19</v>
      </c>
      <c r="J380">
        <v>7</v>
      </c>
      <c r="K380">
        <v>7</v>
      </c>
      <c r="L380">
        <v>9</v>
      </c>
      <c r="M380">
        <v>0</v>
      </c>
    </row>
    <row r="381" spans="1:13" x14ac:dyDescent="0.35">
      <c r="A381">
        <v>19</v>
      </c>
      <c r="B381" t="s">
        <v>13</v>
      </c>
      <c r="C381">
        <v>6.9</v>
      </c>
      <c r="D381" t="s">
        <v>14</v>
      </c>
      <c r="E381">
        <v>5</v>
      </c>
      <c r="F381">
        <v>1.2</v>
      </c>
      <c r="G381">
        <v>2.56</v>
      </c>
      <c r="H381">
        <v>1.6</v>
      </c>
      <c r="I381" t="s">
        <v>18</v>
      </c>
      <c r="J381">
        <v>3</v>
      </c>
      <c r="K381">
        <v>10</v>
      </c>
      <c r="L381">
        <v>8</v>
      </c>
      <c r="M381">
        <v>0</v>
      </c>
    </row>
    <row r="382" spans="1:13" x14ac:dyDescent="0.35">
      <c r="A382">
        <v>17</v>
      </c>
      <c r="B382" t="s">
        <v>16</v>
      </c>
      <c r="C382">
        <v>3.2</v>
      </c>
      <c r="D382" t="s">
        <v>14</v>
      </c>
      <c r="E382">
        <v>6.2</v>
      </c>
      <c r="F382">
        <v>2.2000000000000002</v>
      </c>
      <c r="G382">
        <v>2.96</v>
      </c>
      <c r="H382">
        <v>1.6</v>
      </c>
      <c r="I382" t="s">
        <v>15</v>
      </c>
      <c r="J382">
        <v>8</v>
      </c>
      <c r="K382">
        <v>10</v>
      </c>
      <c r="L382">
        <v>9</v>
      </c>
      <c r="M382">
        <v>0</v>
      </c>
    </row>
    <row r="383" spans="1:13" x14ac:dyDescent="0.35">
      <c r="A383">
        <v>18</v>
      </c>
      <c r="B383" t="s">
        <v>16</v>
      </c>
      <c r="C383">
        <v>1.3</v>
      </c>
      <c r="D383" t="s">
        <v>20</v>
      </c>
      <c r="E383">
        <v>4.9000000000000004</v>
      </c>
      <c r="F383">
        <v>0.9</v>
      </c>
      <c r="G383">
        <v>3.86</v>
      </c>
      <c r="H383">
        <v>0</v>
      </c>
      <c r="I383" t="s">
        <v>19</v>
      </c>
      <c r="J383">
        <v>4</v>
      </c>
      <c r="K383">
        <v>9</v>
      </c>
      <c r="L383">
        <v>8</v>
      </c>
      <c r="M383">
        <v>0</v>
      </c>
    </row>
    <row r="384" spans="1:13" x14ac:dyDescent="0.35">
      <c r="A384">
        <v>15</v>
      </c>
      <c r="B384" t="s">
        <v>16</v>
      </c>
      <c r="C384">
        <v>4.2</v>
      </c>
      <c r="D384" t="s">
        <v>17</v>
      </c>
      <c r="E384">
        <v>6.8</v>
      </c>
      <c r="F384">
        <v>1.1000000000000001</v>
      </c>
      <c r="G384">
        <v>3.37</v>
      </c>
      <c r="H384">
        <v>0.7</v>
      </c>
      <c r="I384" t="s">
        <v>18</v>
      </c>
      <c r="J384">
        <v>3</v>
      </c>
      <c r="K384">
        <v>6</v>
      </c>
      <c r="L384">
        <v>8</v>
      </c>
      <c r="M384">
        <v>0</v>
      </c>
    </row>
    <row r="385" spans="1:13" x14ac:dyDescent="0.35">
      <c r="A385">
        <v>19</v>
      </c>
      <c r="B385" t="s">
        <v>13</v>
      </c>
      <c r="C385">
        <v>6.6</v>
      </c>
      <c r="D385" t="s">
        <v>20</v>
      </c>
      <c r="E385">
        <v>6</v>
      </c>
      <c r="F385">
        <v>2.1</v>
      </c>
      <c r="G385">
        <v>2.84</v>
      </c>
      <c r="H385">
        <v>1.5</v>
      </c>
      <c r="I385" t="s">
        <v>15</v>
      </c>
      <c r="J385">
        <v>9</v>
      </c>
      <c r="K385">
        <v>4</v>
      </c>
      <c r="L385">
        <v>5</v>
      </c>
      <c r="M385">
        <v>0</v>
      </c>
    </row>
    <row r="386" spans="1:13" x14ac:dyDescent="0.35">
      <c r="A386">
        <v>13</v>
      </c>
      <c r="B386" t="s">
        <v>13</v>
      </c>
      <c r="C386">
        <v>7.5</v>
      </c>
      <c r="D386" t="s">
        <v>17</v>
      </c>
      <c r="E386">
        <v>4.8</v>
      </c>
      <c r="F386">
        <v>0.7</v>
      </c>
      <c r="G386">
        <v>2.91</v>
      </c>
      <c r="H386">
        <v>2</v>
      </c>
      <c r="I386" t="s">
        <v>18</v>
      </c>
      <c r="J386">
        <v>10</v>
      </c>
      <c r="K386">
        <v>9</v>
      </c>
      <c r="L386">
        <v>1</v>
      </c>
      <c r="M386">
        <v>1</v>
      </c>
    </row>
    <row r="387" spans="1:13" x14ac:dyDescent="0.35">
      <c r="A387">
        <v>15</v>
      </c>
      <c r="B387" t="s">
        <v>13</v>
      </c>
      <c r="C387">
        <v>7</v>
      </c>
      <c r="D387" t="s">
        <v>20</v>
      </c>
      <c r="E387">
        <v>8.6999999999999993</v>
      </c>
      <c r="F387">
        <v>3</v>
      </c>
      <c r="G387">
        <v>2.84</v>
      </c>
      <c r="H387">
        <v>1.4</v>
      </c>
      <c r="I387" t="s">
        <v>19</v>
      </c>
      <c r="J387">
        <v>5</v>
      </c>
      <c r="K387">
        <v>3</v>
      </c>
      <c r="L387">
        <v>2</v>
      </c>
      <c r="M387">
        <v>0</v>
      </c>
    </row>
    <row r="388" spans="1:13" x14ac:dyDescent="0.35">
      <c r="A388">
        <v>15</v>
      </c>
      <c r="B388" t="s">
        <v>16</v>
      </c>
      <c r="C388">
        <v>6.7</v>
      </c>
      <c r="D388" t="s">
        <v>20</v>
      </c>
      <c r="E388">
        <v>5</v>
      </c>
      <c r="F388">
        <v>0.6</v>
      </c>
      <c r="G388">
        <v>2.75</v>
      </c>
      <c r="H388">
        <v>1.5</v>
      </c>
      <c r="I388" t="s">
        <v>19</v>
      </c>
      <c r="J388">
        <v>7</v>
      </c>
      <c r="K388">
        <v>4</v>
      </c>
      <c r="L388">
        <v>8</v>
      </c>
      <c r="M388">
        <v>0</v>
      </c>
    </row>
    <row r="389" spans="1:13" x14ac:dyDescent="0.35">
      <c r="A389">
        <v>15</v>
      </c>
      <c r="B389" t="s">
        <v>16</v>
      </c>
      <c r="C389">
        <v>2.2999999999999998</v>
      </c>
      <c r="D389" t="s">
        <v>14</v>
      </c>
      <c r="E389">
        <v>5.6</v>
      </c>
      <c r="F389">
        <v>2.9</v>
      </c>
      <c r="G389">
        <v>2.72</v>
      </c>
      <c r="H389">
        <v>1</v>
      </c>
      <c r="I389" t="s">
        <v>18</v>
      </c>
      <c r="J389">
        <v>6</v>
      </c>
      <c r="K389">
        <v>6</v>
      </c>
      <c r="L389">
        <v>2</v>
      </c>
      <c r="M389">
        <v>0</v>
      </c>
    </row>
    <row r="390" spans="1:13" x14ac:dyDescent="0.35">
      <c r="A390">
        <v>14</v>
      </c>
      <c r="B390" t="s">
        <v>13</v>
      </c>
      <c r="C390">
        <v>5.3</v>
      </c>
      <c r="D390" t="s">
        <v>20</v>
      </c>
      <c r="E390">
        <v>9</v>
      </c>
      <c r="F390">
        <v>2.8</v>
      </c>
      <c r="G390">
        <v>3.1</v>
      </c>
      <c r="H390">
        <v>1.6</v>
      </c>
      <c r="I390" t="s">
        <v>18</v>
      </c>
      <c r="J390">
        <v>10</v>
      </c>
      <c r="K390">
        <v>7</v>
      </c>
      <c r="L390">
        <v>6</v>
      </c>
      <c r="M390">
        <v>0</v>
      </c>
    </row>
    <row r="391" spans="1:13" x14ac:dyDescent="0.35">
      <c r="A391">
        <v>13</v>
      </c>
      <c r="B391" t="s">
        <v>16</v>
      </c>
      <c r="C391">
        <v>2.7</v>
      </c>
      <c r="D391" t="s">
        <v>17</v>
      </c>
      <c r="E391">
        <v>6.5</v>
      </c>
      <c r="F391">
        <v>1.5</v>
      </c>
      <c r="G391">
        <v>2.58</v>
      </c>
      <c r="H391">
        <v>0.4</v>
      </c>
      <c r="I391" t="s">
        <v>18</v>
      </c>
      <c r="J391">
        <v>1</v>
      </c>
      <c r="K391">
        <v>1</v>
      </c>
      <c r="L391">
        <v>6</v>
      </c>
      <c r="M391">
        <v>0</v>
      </c>
    </row>
    <row r="392" spans="1:13" x14ac:dyDescent="0.35">
      <c r="A392">
        <v>13</v>
      </c>
      <c r="B392" t="s">
        <v>13</v>
      </c>
      <c r="C392">
        <v>5.4</v>
      </c>
      <c r="D392" t="s">
        <v>14</v>
      </c>
      <c r="E392">
        <v>7.8</v>
      </c>
      <c r="F392">
        <v>1.8</v>
      </c>
      <c r="G392">
        <v>3.46</v>
      </c>
      <c r="H392">
        <v>1</v>
      </c>
      <c r="I392" t="s">
        <v>18</v>
      </c>
      <c r="J392">
        <v>4</v>
      </c>
      <c r="K392">
        <v>7</v>
      </c>
      <c r="L392">
        <v>7</v>
      </c>
      <c r="M392">
        <v>0</v>
      </c>
    </row>
    <row r="393" spans="1:13" x14ac:dyDescent="0.35">
      <c r="A393">
        <v>17</v>
      </c>
      <c r="B393" t="s">
        <v>13</v>
      </c>
      <c r="C393">
        <v>7.2</v>
      </c>
      <c r="D393" t="s">
        <v>14</v>
      </c>
      <c r="E393">
        <v>8</v>
      </c>
      <c r="F393">
        <v>1.9</v>
      </c>
      <c r="G393">
        <v>2.66</v>
      </c>
      <c r="H393">
        <v>1.4</v>
      </c>
      <c r="I393" t="s">
        <v>19</v>
      </c>
      <c r="J393">
        <v>5</v>
      </c>
      <c r="K393">
        <v>8</v>
      </c>
      <c r="L393">
        <v>6</v>
      </c>
      <c r="M393">
        <v>0</v>
      </c>
    </row>
    <row r="394" spans="1:13" x14ac:dyDescent="0.35">
      <c r="A394">
        <v>19</v>
      </c>
      <c r="B394" t="s">
        <v>13</v>
      </c>
      <c r="C394">
        <v>1.5</v>
      </c>
      <c r="D394" t="s">
        <v>17</v>
      </c>
      <c r="E394">
        <v>6.8</v>
      </c>
      <c r="F394">
        <v>2.5</v>
      </c>
      <c r="G394">
        <v>2.13</v>
      </c>
      <c r="H394">
        <v>0.2</v>
      </c>
      <c r="I394" t="s">
        <v>19</v>
      </c>
      <c r="J394">
        <v>9</v>
      </c>
      <c r="K394">
        <v>8</v>
      </c>
      <c r="L394">
        <v>10</v>
      </c>
      <c r="M394">
        <v>0</v>
      </c>
    </row>
    <row r="395" spans="1:13" x14ac:dyDescent="0.35">
      <c r="A395">
        <v>13</v>
      </c>
      <c r="B395" t="s">
        <v>13</v>
      </c>
      <c r="C395">
        <v>4</v>
      </c>
      <c r="D395" t="s">
        <v>20</v>
      </c>
      <c r="E395">
        <v>4.2</v>
      </c>
      <c r="F395">
        <v>0.5</v>
      </c>
      <c r="G395">
        <v>2.46</v>
      </c>
      <c r="H395">
        <v>0.6</v>
      </c>
      <c r="I395" t="s">
        <v>15</v>
      </c>
      <c r="J395">
        <v>2</v>
      </c>
      <c r="K395">
        <v>9</v>
      </c>
      <c r="L395">
        <v>9</v>
      </c>
      <c r="M395">
        <v>0</v>
      </c>
    </row>
    <row r="396" spans="1:13" x14ac:dyDescent="0.35">
      <c r="A396">
        <v>15</v>
      </c>
      <c r="B396" t="s">
        <v>16</v>
      </c>
      <c r="C396">
        <v>4.2</v>
      </c>
      <c r="D396" t="s">
        <v>20</v>
      </c>
      <c r="E396">
        <v>7.1</v>
      </c>
      <c r="F396">
        <v>2.1</v>
      </c>
      <c r="G396">
        <v>2.21</v>
      </c>
      <c r="H396">
        <v>1.8</v>
      </c>
      <c r="I396" t="s">
        <v>19</v>
      </c>
      <c r="J396">
        <v>4</v>
      </c>
      <c r="K396">
        <v>1</v>
      </c>
      <c r="L396">
        <v>3</v>
      </c>
      <c r="M396">
        <v>0</v>
      </c>
    </row>
    <row r="397" spans="1:13" x14ac:dyDescent="0.35">
      <c r="A397">
        <v>19</v>
      </c>
      <c r="B397" t="s">
        <v>13</v>
      </c>
      <c r="C397">
        <v>1.8</v>
      </c>
      <c r="D397" t="s">
        <v>17</v>
      </c>
      <c r="E397">
        <v>7.7</v>
      </c>
      <c r="F397">
        <v>2.2000000000000002</v>
      </c>
      <c r="G397">
        <v>3.77</v>
      </c>
      <c r="H397">
        <v>0.3</v>
      </c>
      <c r="I397" t="s">
        <v>19</v>
      </c>
      <c r="J397">
        <v>4</v>
      </c>
      <c r="K397">
        <v>6</v>
      </c>
      <c r="L397">
        <v>7</v>
      </c>
      <c r="M397">
        <v>0</v>
      </c>
    </row>
    <row r="398" spans="1:13" x14ac:dyDescent="0.35">
      <c r="A398">
        <v>17</v>
      </c>
      <c r="B398" t="s">
        <v>16</v>
      </c>
      <c r="C398">
        <v>3.3</v>
      </c>
      <c r="D398" t="s">
        <v>14</v>
      </c>
      <c r="E398">
        <v>8.6</v>
      </c>
      <c r="F398">
        <v>1.1000000000000001</v>
      </c>
      <c r="G398">
        <v>2.62</v>
      </c>
      <c r="H398">
        <v>0.4</v>
      </c>
      <c r="I398" t="s">
        <v>15</v>
      </c>
      <c r="J398">
        <v>4</v>
      </c>
      <c r="K398">
        <v>7</v>
      </c>
      <c r="L398">
        <v>9</v>
      </c>
      <c r="M398">
        <v>0</v>
      </c>
    </row>
    <row r="399" spans="1:13" x14ac:dyDescent="0.35">
      <c r="A399">
        <v>14</v>
      </c>
      <c r="B399" t="s">
        <v>16</v>
      </c>
      <c r="C399">
        <v>1</v>
      </c>
      <c r="D399" t="s">
        <v>20</v>
      </c>
      <c r="E399">
        <v>6.6</v>
      </c>
      <c r="F399">
        <v>1.4</v>
      </c>
      <c r="G399">
        <v>2.02</v>
      </c>
      <c r="H399">
        <v>1.9</v>
      </c>
      <c r="I399" t="s">
        <v>15</v>
      </c>
      <c r="J399">
        <v>6</v>
      </c>
      <c r="K399">
        <v>5</v>
      </c>
      <c r="L399">
        <v>5</v>
      </c>
      <c r="M399">
        <v>0</v>
      </c>
    </row>
    <row r="400" spans="1:13" x14ac:dyDescent="0.35">
      <c r="A400">
        <v>13</v>
      </c>
      <c r="B400" t="s">
        <v>16</v>
      </c>
      <c r="C400">
        <v>1.2</v>
      </c>
      <c r="D400" t="s">
        <v>17</v>
      </c>
      <c r="E400">
        <v>8</v>
      </c>
      <c r="F400">
        <v>2.8</v>
      </c>
      <c r="G400">
        <v>2.1800000000000002</v>
      </c>
      <c r="H400">
        <v>1.1000000000000001</v>
      </c>
      <c r="I400" t="s">
        <v>18</v>
      </c>
      <c r="J400">
        <v>5</v>
      </c>
      <c r="K400">
        <v>8</v>
      </c>
      <c r="L400">
        <v>5</v>
      </c>
      <c r="M400">
        <v>0</v>
      </c>
    </row>
    <row r="401" spans="1:13" x14ac:dyDescent="0.35">
      <c r="A401">
        <v>19</v>
      </c>
      <c r="B401" t="s">
        <v>13</v>
      </c>
      <c r="C401">
        <v>2</v>
      </c>
      <c r="D401" t="s">
        <v>14</v>
      </c>
      <c r="E401">
        <v>4.0999999999999996</v>
      </c>
      <c r="F401">
        <v>1.3</v>
      </c>
      <c r="G401">
        <v>3.71</v>
      </c>
      <c r="H401">
        <v>1.6</v>
      </c>
      <c r="I401" t="s">
        <v>15</v>
      </c>
      <c r="J401">
        <v>7</v>
      </c>
      <c r="K401">
        <v>7</v>
      </c>
      <c r="L401">
        <v>8</v>
      </c>
      <c r="M401">
        <v>0</v>
      </c>
    </row>
    <row r="402" spans="1:13" x14ac:dyDescent="0.35">
      <c r="A402">
        <v>13</v>
      </c>
      <c r="B402" t="s">
        <v>16</v>
      </c>
      <c r="C402">
        <v>7.1</v>
      </c>
      <c r="D402" t="s">
        <v>20</v>
      </c>
      <c r="E402">
        <v>6.5</v>
      </c>
      <c r="F402">
        <v>1.6</v>
      </c>
      <c r="G402">
        <v>2.0299999999999998</v>
      </c>
      <c r="H402">
        <v>0.3</v>
      </c>
      <c r="I402" t="s">
        <v>19</v>
      </c>
      <c r="J402">
        <v>1</v>
      </c>
      <c r="K402">
        <v>10</v>
      </c>
      <c r="L402">
        <v>6</v>
      </c>
      <c r="M402">
        <v>0</v>
      </c>
    </row>
    <row r="403" spans="1:13" x14ac:dyDescent="0.35">
      <c r="A403">
        <v>15</v>
      </c>
      <c r="B403" t="s">
        <v>16</v>
      </c>
      <c r="C403">
        <v>5.5</v>
      </c>
      <c r="D403" t="s">
        <v>17</v>
      </c>
      <c r="E403">
        <v>7.8</v>
      </c>
      <c r="F403">
        <v>1.5</v>
      </c>
      <c r="G403">
        <v>2.79</v>
      </c>
      <c r="H403">
        <v>0.7</v>
      </c>
      <c r="I403" t="s">
        <v>18</v>
      </c>
      <c r="J403">
        <v>9</v>
      </c>
      <c r="K403">
        <v>10</v>
      </c>
      <c r="L403">
        <v>7</v>
      </c>
      <c r="M403">
        <v>0</v>
      </c>
    </row>
    <row r="404" spans="1:13" x14ac:dyDescent="0.35">
      <c r="A404">
        <v>17</v>
      </c>
      <c r="B404" t="s">
        <v>13</v>
      </c>
      <c r="C404">
        <v>7.7</v>
      </c>
      <c r="D404" t="s">
        <v>17</v>
      </c>
      <c r="E404">
        <v>4.7</v>
      </c>
      <c r="F404">
        <v>2.8</v>
      </c>
      <c r="G404">
        <v>3.5</v>
      </c>
      <c r="H404">
        <v>1.5</v>
      </c>
      <c r="I404" t="s">
        <v>15</v>
      </c>
      <c r="J404">
        <v>8</v>
      </c>
      <c r="K404">
        <v>4</v>
      </c>
      <c r="L404">
        <v>8</v>
      </c>
      <c r="M404">
        <v>0</v>
      </c>
    </row>
    <row r="405" spans="1:13" x14ac:dyDescent="0.35">
      <c r="A405">
        <v>17</v>
      </c>
      <c r="B405" t="s">
        <v>16</v>
      </c>
      <c r="C405">
        <v>7.6</v>
      </c>
      <c r="D405" t="s">
        <v>14</v>
      </c>
      <c r="E405">
        <v>5.9</v>
      </c>
      <c r="F405">
        <v>2</v>
      </c>
      <c r="G405">
        <v>2.52</v>
      </c>
      <c r="H405">
        <v>1.5</v>
      </c>
      <c r="I405" t="s">
        <v>19</v>
      </c>
      <c r="J405">
        <v>1</v>
      </c>
      <c r="K405">
        <v>5</v>
      </c>
      <c r="L405">
        <v>1</v>
      </c>
      <c r="M405">
        <v>0</v>
      </c>
    </row>
    <row r="406" spans="1:13" x14ac:dyDescent="0.35">
      <c r="A406">
        <v>13</v>
      </c>
      <c r="B406" t="s">
        <v>13</v>
      </c>
      <c r="C406">
        <v>8</v>
      </c>
      <c r="D406" t="s">
        <v>14</v>
      </c>
      <c r="E406">
        <v>6.9</v>
      </c>
      <c r="F406">
        <v>2.5</v>
      </c>
      <c r="G406">
        <v>2.4500000000000002</v>
      </c>
      <c r="H406">
        <v>1.7</v>
      </c>
      <c r="I406" t="s">
        <v>19</v>
      </c>
      <c r="J406">
        <v>10</v>
      </c>
      <c r="K406">
        <v>1</v>
      </c>
      <c r="L406">
        <v>3</v>
      </c>
      <c r="M406">
        <v>0</v>
      </c>
    </row>
    <row r="407" spans="1:13" x14ac:dyDescent="0.35">
      <c r="A407">
        <v>16</v>
      </c>
      <c r="B407" t="s">
        <v>16</v>
      </c>
      <c r="C407">
        <v>4.3</v>
      </c>
      <c r="D407" t="s">
        <v>14</v>
      </c>
      <c r="E407">
        <v>6</v>
      </c>
      <c r="F407">
        <v>1.4</v>
      </c>
      <c r="G407">
        <v>2.98</v>
      </c>
      <c r="H407">
        <v>1.7</v>
      </c>
      <c r="I407" t="s">
        <v>15</v>
      </c>
      <c r="J407">
        <v>8</v>
      </c>
      <c r="K407">
        <v>7</v>
      </c>
      <c r="L407">
        <v>4</v>
      </c>
      <c r="M407">
        <v>0</v>
      </c>
    </row>
    <row r="408" spans="1:13" x14ac:dyDescent="0.35">
      <c r="A408">
        <v>13</v>
      </c>
      <c r="B408" t="s">
        <v>13</v>
      </c>
      <c r="C408">
        <v>3.8</v>
      </c>
      <c r="D408" t="s">
        <v>20</v>
      </c>
      <c r="E408">
        <v>5.3</v>
      </c>
      <c r="F408">
        <v>2.5</v>
      </c>
      <c r="G408">
        <v>3.48</v>
      </c>
      <c r="H408">
        <v>1</v>
      </c>
      <c r="I408" t="s">
        <v>15</v>
      </c>
      <c r="J408">
        <v>6</v>
      </c>
      <c r="K408">
        <v>7</v>
      </c>
      <c r="L408">
        <v>7</v>
      </c>
      <c r="M408">
        <v>0</v>
      </c>
    </row>
    <row r="409" spans="1:13" x14ac:dyDescent="0.35">
      <c r="A409">
        <v>16</v>
      </c>
      <c r="B409" t="s">
        <v>16</v>
      </c>
      <c r="C409">
        <v>2.9</v>
      </c>
      <c r="D409" t="s">
        <v>17</v>
      </c>
      <c r="E409">
        <v>6.3</v>
      </c>
      <c r="F409">
        <v>3</v>
      </c>
      <c r="G409">
        <v>2.6</v>
      </c>
      <c r="H409">
        <v>0.4</v>
      </c>
      <c r="I409" t="s">
        <v>19</v>
      </c>
      <c r="J409">
        <v>9</v>
      </c>
      <c r="K409">
        <v>7</v>
      </c>
      <c r="L409">
        <v>3</v>
      </c>
      <c r="M409">
        <v>0</v>
      </c>
    </row>
    <row r="410" spans="1:13" x14ac:dyDescent="0.35">
      <c r="A410">
        <v>13</v>
      </c>
      <c r="B410" t="s">
        <v>16</v>
      </c>
      <c r="C410">
        <v>5.3</v>
      </c>
      <c r="D410" t="s">
        <v>17</v>
      </c>
      <c r="E410">
        <v>6.5</v>
      </c>
      <c r="F410">
        <v>1.1000000000000001</v>
      </c>
      <c r="G410">
        <v>3.48</v>
      </c>
      <c r="H410">
        <v>1.8</v>
      </c>
      <c r="I410" t="s">
        <v>15</v>
      </c>
      <c r="J410">
        <v>9</v>
      </c>
      <c r="K410">
        <v>5</v>
      </c>
      <c r="L410">
        <v>4</v>
      </c>
      <c r="M410">
        <v>0</v>
      </c>
    </row>
    <row r="411" spans="1:13" x14ac:dyDescent="0.35">
      <c r="A411">
        <v>15</v>
      </c>
      <c r="B411" t="s">
        <v>16</v>
      </c>
      <c r="C411">
        <v>5.7</v>
      </c>
      <c r="D411" t="s">
        <v>14</v>
      </c>
      <c r="E411">
        <v>7.5</v>
      </c>
      <c r="F411">
        <v>2.4</v>
      </c>
      <c r="G411">
        <v>2.84</v>
      </c>
      <c r="H411">
        <v>1.3</v>
      </c>
      <c r="I411" t="s">
        <v>19</v>
      </c>
      <c r="J411">
        <v>10</v>
      </c>
      <c r="K411">
        <v>10</v>
      </c>
      <c r="L411">
        <v>2</v>
      </c>
      <c r="M411">
        <v>0</v>
      </c>
    </row>
    <row r="412" spans="1:13" x14ac:dyDescent="0.35">
      <c r="A412">
        <v>18</v>
      </c>
      <c r="B412" t="s">
        <v>16</v>
      </c>
      <c r="C412">
        <v>2.8</v>
      </c>
      <c r="D412" t="s">
        <v>14</v>
      </c>
      <c r="E412">
        <v>7.4</v>
      </c>
      <c r="F412">
        <v>1</v>
      </c>
      <c r="G412">
        <v>3.73</v>
      </c>
      <c r="H412">
        <v>1.9</v>
      </c>
      <c r="I412" t="s">
        <v>15</v>
      </c>
      <c r="J412">
        <v>7</v>
      </c>
      <c r="K412">
        <v>3</v>
      </c>
      <c r="L412">
        <v>6</v>
      </c>
      <c r="M412">
        <v>0</v>
      </c>
    </row>
    <row r="413" spans="1:13" x14ac:dyDescent="0.35">
      <c r="A413">
        <v>15</v>
      </c>
      <c r="B413" t="s">
        <v>13</v>
      </c>
      <c r="C413">
        <v>2.8</v>
      </c>
      <c r="D413" t="s">
        <v>17</v>
      </c>
      <c r="E413">
        <v>6.1</v>
      </c>
      <c r="F413">
        <v>2.9</v>
      </c>
      <c r="G413">
        <v>2.98</v>
      </c>
      <c r="H413">
        <v>1.8</v>
      </c>
      <c r="I413" t="s">
        <v>19</v>
      </c>
      <c r="J413">
        <v>6</v>
      </c>
      <c r="K413">
        <v>3</v>
      </c>
      <c r="L413">
        <v>7</v>
      </c>
      <c r="M413">
        <v>0</v>
      </c>
    </row>
    <row r="414" spans="1:13" x14ac:dyDescent="0.35">
      <c r="A414">
        <v>13</v>
      </c>
      <c r="B414" t="s">
        <v>16</v>
      </c>
      <c r="C414">
        <v>1.1000000000000001</v>
      </c>
      <c r="D414" t="s">
        <v>14</v>
      </c>
      <c r="E414">
        <v>7</v>
      </c>
      <c r="F414">
        <v>1.9</v>
      </c>
      <c r="G414">
        <v>4</v>
      </c>
      <c r="H414">
        <v>0.9</v>
      </c>
      <c r="I414" t="s">
        <v>19</v>
      </c>
      <c r="J414">
        <v>2</v>
      </c>
      <c r="K414">
        <v>9</v>
      </c>
      <c r="L414">
        <v>6</v>
      </c>
      <c r="M414">
        <v>0</v>
      </c>
    </row>
    <row r="415" spans="1:13" x14ac:dyDescent="0.35">
      <c r="A415">
        <v>14</v>
      </c>
      <c r="B415" t="s">
        <v>16</v>
      </c>
      <c r="C415">
        <v>2</v>
      </c>
      <c r="D415" t="s">
        <v>20</v>
      </c>
      <c r="E415">
        <v>5</v>
      </c>
      <c r="F415">
        <v>2.6</v>
      </c>
      <c r="G415">
        <v>2.71</v>
      </c>
      <c r="H415">
        <v>2</v>
      </c>
      <c r="I415" t="s">
        <v>15</v>
      </c>
      <c r="J415">
        <v>5</v>
      </c>
      <c r="K415">
        <v>4</v>
      </c>
      <c r="L415">
        <v>3</v>
      </c>
      <c r="M415">
        <v>0</v>
      </c>
    </row>
    <row r="416" spans="1:13" x14ac:dyDescent="0.35">
      <c r="A416">
        <v>16</v>
      </c>
      <c r="B416" t="s">
        <v>16</v>
      </c>
      <c r="C416">
        <v>6.5</v>
      </c>
      <c r="D416" t="s">
        <v>17</v>
      </c>
      <c r="E416">
        <v>5.3</v>
      </c>
      <c r="F416">
        <v>1.8</v>
      </c>
      <c r="G416">
        <v>2.29</v>
      </c>
      <c r="H416">
        <v>0.2</v>
      </c>
      <c r="I416" t="s">
        <v>18</v>
      </c>
      <c r="J416">
        <v>4</v>
      </c>
      <c r="K416">
        <v>10</v>
      </c>
      <c r="L416">
        <v>2</v>
      </c>
      <c r="M416">
        <v>0</v>
      </c>
    </row>
    <row r="417" spans="1:13" x14ac:dyDescent="0.35">
      <c r="A417">
        <v>16</v>
      </c>
      <c r="B417" t="s">
        <v>16</v>
      </c>
      <c r="C417">
        <v>7.5</v>
      </c>
      <c r="D417" t="s">
        <v>17</v>
      </c>
      <c r="E417">
        <v>7.8</v>
      </c>
      <c r="F417">
        <v>1.3</v>
      </c>
      <c r="G417">
        <v>2.73</v>
      </c>
      <c r="H417">
        <v>1.5</v>
      </c>
      <c r="I417" t="s">
        <v>19</v>
      </c>
      <c r="J417">
        <v>4</v>
      </c>
      <c r="K417">
        <v>5</v>
      </c>
      <c r="L417">
        <v>8</v>
      </c>
      <c r="M417">
        <v>0</v>
      </c>
    </row>
    <row r="418" spans="1:13" x14ac:dyDescent="0.35">
      <c r="A418">
        <v>16</v>
      </c>
      <c r="B418" t="s">
        <v>16</v>
      </c>
      <c r="C418">
        <v>3.1</v>
      </c>
      <c r="D418" t="s">
        <v>14</v>
      </c>
      <c r="E418">
        <v>7.9</v>
      </c>
      <c r="F418">
        <v>1.2</v>
      </c>
      <c r="G418">
        <v>2.85</v>
      </c>
      <c r="H418">
        <v>0.7</v>
      </c>
      <c r="I418" t="s">
        <v>18</v>
      </c>
      <c r="J418">
        <v>2</v>
      </c>
      <c r="K418">
        <v>2</v>
      </c>
      <c r="L418">
        <v>5</v>
      </c>
      <c r="M418">
        <v>0</v>
      </c>
    </row>
    <row r="419" spans="1:13" x14ac:dyDescent="0.35">
      <c r="A419">
        <v>19</v>
      </c>
      <c r="B419" t="s">
        <v>13</v>
      </c>
      <c r="C419">
        <v>5.9</v>
      </c>
      <c r="D419" t="s">
        <v>20</v>
      </c>
      <c r="E419">
        <v>7</v>
      </c>
      <c r="F419">
        <v>2.2999999999999998</v>
      </c>
      <c r="G419">
        <v>3</v>
      </c>
      <c r="H419">
        <v>1.6</v>
      </c>
      <c r="I419" t="s">
        <v>15</v>
      </c>
      <c r="J419">
        <v>3</v>
      </c>
      <c r="K419">
        <v>5</v>
      </c>
      <c r="L419">
        <v>10</v>
      </c>
      <c r="M419">
        <v>0</v>
      </c>
    </row>
    <row r="420" spans="1:13" x14ac:dyDescent="0.35">
      <c r="A420">
        <v>15</v>
      </c>
      <c r="B420" t="s">
        <v>13</v>
      </c>
      <c r="C420">
        <v>7.9</v>
      </c>
      <c r="D420" t="s">
        <v>17</v>
      </c>
      <c r="E420">
        <v>4.0999999999999996</v>
      </c>
      <c r="F420">
        <v>0.7</v>
      </c>
      <c r="G420">
        <v>2.33</v>
      </c>
      <c r="H420">
        <v>1.2</v>
      </c>
      <c r="I420" t="s">
        <v>19</v>
      </c>
      <c r="J420">
        <v>3</v>
      </c>
      <c r="K420">
        <v>8</v>
      </c>
      <c r="L420">
        <v>1</v>
      </c>
      <c r="M420">
        <v>0</v>
      </c>
    </row>
    <row r="421" spans="1:13" x14ac:dyDescent="0.35">
      <c r="A421">
        <v>15</v>
      </c>
      <c r="B421" t="s">
        <v>13</v>
      </c>
      <c r="C421">
        <v>5.0999999999999996</v>
      </c>
      <c r="D421" t="s">
        <v>14</v>
      </c>
      <c r="E421">
        <v>7.4</v>
      </c>
      <c r="F421">
        <v>0.7</v>
      </c>
      <c r="G421">
        <v>2.64</v>
      </c>
      <c r="H421">
        <v>0.2</v>
      </c>
      <c r="I421" t="s">
        <v>19</v>
      </c>
      <c r="J421">
        <v>5</v>
      </c>
      <c r="K421">
        <v>8</v>
      </c>
      <c r="L421">
        <v>1</v>
      </c>
      <c r="M421">
        <v>0</v>
      </c>
    </row>
    <row r="422" spans="1:13" x14ac:dyDescent="0.35">
      <c r="A422">
        <v>16</v>
      </c>
      <c r="B422" t="s">
        <v>13</v>
      </c>
      <c r="C422">
        <v>1.9</v>
      </c>
      <c r="D422" t="s">
        <v>20</v>
      </c>
      <c r="E422">
        <v>5.8</v>
      </c>
      <c r="F422">
        <v>2.1</v>
      </c>
      <c r="G422">
        <v>2.27</v>
      </c>
      <c r="H422">
        <v>0.6</v>
      </c>
      <c r="I422" t="s">
        <v>19</v>
      </c>
      <c r="J422">
        <v>3</v>
      </c>
      <c r="K422">
        <v>3</v>
      </c>
      <c r="L422">
        <v>2</v>
      </c>
      <c r="M422">
        <v>0</v>
      </c>
    </row>
    <row r="423" spans="1:13" x14ac:dyDescent="0.35">
      <c r="A423">
        <v>17</v>
      </c>
      <c r="B423" t="s">
        <v>13</v>
      </c>
      <c r="C423">
        <v>8</v>
      </c>
      <c r="D423" t="s">
        <v>14</v>
      </c>
      <c r="E423">
        <v>8.6999999999999993</v>
      </c>
      <c r="F423">
        <v>1.5</v>
      </c>
      <c r="G423">
        <v>3.7</v>
      </c>
      <c r="H423">
        <v>2</v>
      </c>
      <c r="I423" t="s">
        <v>18</v>
      </c>
      <c r="J423">
        <v>10</v>
      </c>
      <c r="K423">
        <v>9</v>
      </c>
      <c r="L423">
        <v>5</v>
      </c>
      <c r="M423">
        <v>0</v>
      </c>
    </row>
    <row r="424" spans="1:13" x14ac:dyDescent="0.35">
      <c r="A424">
        <v>19</v>
      </c>
      <c r="B424" t="s">
        <v>13</v>
      </c>
      <c r="C424">
        <v>2.9</v>
      </c>
      <c r="D424" t="s">
        <v>20</v>
      </c>
      <c r="E424">
        <v>4</v>
      </c>
      <c r="F424">
        <v>0.5</v>
      </c>
      <c r="G424">
        <v>3.16</v>
      </c>
      <c r="H424">
        <v>0.2</v>
      </c>
      <c r="I424" t="s">
        <v>18</v>
      </c>
      <c r="J424">
        <v>7</v>
      </c>
      <c r="K424">
        <v>6</v>
      </c>
      <c r="L424">
        <v>3</v>
      </c>
      <c r="M424">
        <v>0</v>
      </c>
    </row>
    <row r="425" spans="1:13" x14ac:dyDescent="0.35">
      <c r="A425">
        <v>14</v>
      </c>
      <c r="B425" t="s">
        <v>13</v>
      </c>
      <c r="C425">
        <v>4.3</v>
      </c>
      <c r="D425" t="s">
        <v>14</v>
      </c>
      <c r="E425">
        <v>8.4</v>
      </c>
      <c r="F425">
        <v>0.9</v>
      </c>
      <c r="G425">
        <v>3.2</v>
      </c>
      <c r="H425">
        <v>1.6</v>
      </c>
      <c r="I425" t="s">
        <v>18</v>
      </c>
      <c r="J425">
        <v>10</v>
      </c>
      <c r="K425">
        <v>10</v>
      </c>
      <c r="L425">
        <v>1</v>
      </c>
      <c r="M425">
        <v>0</v>
      </c>
    </row>
    <row r="426" spans="1:13" x14ac:dyDescent="0.35">
      <c r="A426">
        <v>16</v>
      </c>
      <c r="B426" t="s">
        <v>13</v>
      </c>
      <c r="C426">
        <v>1.1000000000000001</v>
      </c>
      <c r="D426" t="s">
        <v>14</v>
      </c>
      <c r="E426">
        <v>6.4</v>
      </c>
      <c r="F426">
        <v>3</v>
      </c>
      <c r="G426">
        <v>2.5099999999999998</v>
      </c>
      <c r="H426">
        <v>0.1</v>
      </c>
      <c r="I426" t="s">
        <v>19</v>
      </c>
      <c r="J426">
        <v>8</v>
      </c>
      <c r="K426">
        <v>6</v>
      </c>
      <c r="L426">
        <v>9</v>
      </c>
      <c r="M426">
        <v>0</v>
      </c>
    </row>
    <row r="427" spans="1:13" x14ac:dyDescent="0.35">
      <c r="A427">
        <v>16</v>
      </c>
      <c r="B427" t="s">
        <v>13</v>
      </c>
      <c r="C427">
        <v>4.9000000000000004</v>
      </c>
      <c r="D427" t="s">
        <v>14</v>
      </c>
      <c r="E427">
        <v>5.7</v>
      </c>
      <c r="F427">
        <v>1.2</v>
      </c>
      <c r="G427">
        <v>2.0699999999999998</v>
      </c>
      <c r="H427">
        <v>0.1</v>
      </c>
      <c r="I427" t="s">
        <v>19</v>
      </c>
      <c r="J427">
        <v>8</v>
      </c>
      <c r="K427">
        <v>2</v>
      </c>
      <c r="L427">
        <v>1</v>
      </c>
      <c r="M427">
        <v>0</v>
      </c>
    </row>
    <row r="428" spans="1:13" x14ac:dyDescent="0.35">
      <c r="A428">
        <v>14</v>
      </c>
      <c r="B428" t="s">
        <v>13</v>
      </c>
      <c r="C428">
        <v>6.1</v>
      </c>
      <c r="D428" t="s">
        <v>20</v>
      </c>
      <c r="E428">
        <v>7.6</v>
      </c>
      <c r="F428">
        <v>1.4</v>
      </c>
      <c r="G428">
        <v>2.72</v>
      </c>
      <c r="H428">
        <v>0.9</v>
      </c>
      <c r="I428" t="s">
        <v>15</v>
      </c>
      <c r="J428">
        <v>9</v>
      </c>
      <c r="K428">
        <v>3</v>
      </c>
      <c r="L428">
        <v>3</v>
      </c>
      <c r="M428">
        <v>0</v>
      </c>
    </row>
    <row r="429" spans="1:13" x14ac:dyDescent="0.35">
      <c r="A429">
        <v>15</v>
      </c>
      <c r="B429" t="s">
        <v>16</v>
      </c>
      <c r="C429">
        <v>2.7</v>
      </c>
      <c r="D429" t="s">
        <v>20</v>
      </c>
      <c r="E429">
        <v>6.5</v>
      </c>
      <c r="F429">
        <v>1.6</v>
      </c>
      <c r="G429">
        <v>2.14</v>
      </c>
      <c r="H429">
        <v>0.4</v>
      </c>
      <c r="I429" t="s">
        <v>18</v>
      </c>
      <c r="J429">
        <v>6</v>
      </c>
      <c r="K429">
        <v>6</v>
      </c>
      <c r="L429">
        <v>6</v>
      </c>
      <c r="M429">
        <v>0</v>
      </c>
    </row>
    <row r="430" spans="1:13" x14ac:dyDescent="0.35">
      <c r="A430">
        <v>16</v>
      </c>
      <c r="B430" t="s">
        <v>16</v>
      </c>
      <c r="C430">
        <v>7.8</v>
      </c>
      <c r="D430" t="s">
        <v>20</v>
      </c>
      <c r="E430">
        <v>7.4</v>
      </c>
      <c r="F430">
        <v>0.7</v>
      </c>
      <c r="G430">
        <v>2.54</v>
      </c>
      <c r="H430">
        <v>1.2</v>
      </c>
      <c r="I430" t="s">
        <v>19</v>
      </c>
      <c r="J430">
        <v>10</v>
      </c>
      <c r="K430">
        <v>4</v>
      </c>
      <c r="L430">
        <v>9</v>
      </c>
      <c r="M430">
        <v>0</v>
      </c>
    </row>
    <row r="431" spans="1:13" x14ac:dyDescent="0.35">
      <c r="A431">
        <v>18</v>
      </c>
      <c r="B431" t="s">
        <v>13</v>
      </c>
      <c r="C431">
        <v>4.2</v>
      </c>
      <c r="D431" t="s">
        <v>17</v>
      </c>
      <c r="E431">
        <v>6.5</v>
      </c>
      <c r="F431">
        <v>1.4</v>
      </c>
      <c r="G431">
        <v>2.91</v>
      </c>
      <c r="H431">
        <v>1.5</v>
      </c>
      <c r="I431" t="s">
        <v>15</v>
      </c>
      <c r="J431">
        <v>5</v>
      </c>
      <c r="K431">
        <v>6</v>
      </c>
      <c r="L431">
        <v>4</v>
      </c>
      <c r="M431">
        <v>0</v>
      </c>
    </row>
    <row r="432" spans="1:13" x14ac:dyDescent="0.35">
      <c r="A432">
        <v>13</v>
      </c>
      <c r="B432" t="s">
        <v>16</v>
      </c>
      <c r="C432">
        <v>4.4000000000000004</v>
      </c>
      <c r="D432" t="s">
        <v>14</v>
      </c>
      <c r="E432">
        <v>5.5</v>
      </c>
      <c r="F432">
        <v>2.7</v>
      </c>
      <c r="G432">
        <v>3.17</v>
      </c>
      <c r="H432">
        <v>0.3</v>
      </c>
      <c r="I432" t="s">
        <v>15</v>
      </c>
      <c r="J432">
        <v>5</v>
      </c>
      <c r="K432">
        <v>1</v>
      </c>
      <c r="L432">
        <v>5</v>
      </c>
      <c r="M432">
        <v>0</v>
      </c>
    </row>
    <row r="433" spans="1:13" x14ac:dyDescent="0.35">
      <c r="A433">
        <v>13</v>
      </c>
      <c r="B433" t="s">
        <v>16</v>
      </c>
      <c r="C433">
        <v>1.4</v>
      </c>
      <c r="D433" t="s">
        <v>20</v>
      </c>
      <c r="E433">
        <v>7.8</v>
      </c>
      <c r="F433">
        <v>0.6</v>
      </c>
      <c r="G433">
        <v>3.42</v>
      </c>
      <c r="H433">
        <v>1.6</v>
      </c>
      <c r="I433" t="s">
        <v>19</v>
      </c>
      <c r="J433">
        <v>10</v>
      </c>
      <c r="K433">
        <v>4</v>
      </c>
      <c r="L433">
        <v>6</v>
      </c>
      <c r="M433">
        <v>0</v>
      </c>
    </row>
    <row r="434" spans="1:13" x14ac:dyDescent="0.35">
      <c r="A434">
        <v>17</v>
      </c>
      <c r="B434" t="s">
        <v>13</v>
      </c>
      <c r="C434">
        <v>3.7</v>
      </c>
      <c r="D434" t="s">
        <v>17</v>
      </c>
      <c r="E434">
        <v>7.2</v>
      </c>
      <c r="F434">
        <v>0.6</v>
      </c>
      <c r="G434">
        <v>3.34</v>
      </c>
      <c r="H434">
        <v>1.8</v>
      </c>
      <c r="I434" t="s">
        <v>18</v>
      </c>
      <c r="J434">
        <v>2</v>
      </c>
      <c r="K434">
        <v>6</v>
      </c>
      <c r="L434">
        <v>2</v>
      </c>
      <c r="M434">
        <v>0</v>
      </c>
    </row>
    <row r="435" spans="1:13" x14ac:dyDescent="0.35">
      <c r="A435">
        <v>14</v>
      </c>
      <c r="B435" t="s">
        <v>13</v>
      </c>
      <c r="C435">
        <v>3.8</v>
      </c>
      <c r="D435" t="s">
        <v>14</v>
      </c>
      <c r="E435">
        <v>8.9</v>
      </c>
      <c r="F435">
        <v>1.9</v>
      </c>
      <c r="G435">
        <v>2.77</v>
      </c>
      <c r="H435">
        <v>0.2</v>
      </c>
      <c r="I435" t="s">
        <v>19</v>
      </c>
      <c r="J435">
        <v>6</v>
      </c>
      <c r="K435">
        <v>2</v>
      </c>
      <c r="L435">
        <v>2</v>
      </c>
      <c r="M435">
        <v>0</v>
      </c>
    </row>
    <row r="436" spans="1:13" x14ac:dyDescent="0.35">
      <c r="A436">
        <v>15</v>
      </c>
      <c r="B436" t="s">
        <v>16</v>
      </c>
      <c r="C436">
        <v>5.4</v>
      </c>
      <c r="D436" t="s">
        <v>17</v>
      </c>
      <c r="E436">
        <v>7</v>
      </c>
      <c r="F436">
        <v>1.8</v>
      </c>
      <c r="G436">
        <v>2.54</v>
      </c>
      <c r="H436">
        <v>0.1</v>
      </c>
      <c r="I436" t="s">
        <v>15</v>
      </c>
      <c r="J436">
        <v>1</v>
      </c>
      <c r="K436">
        <v>4</v>
      </c>
      <c r="L436">
        <v>4</v>
      </c>
      <c r="M436">
        <v>0</v>
      </c>
    </row>
    <row r="437" spans="1:13" x14ac:dyDescent="0.35">
      <c r="A437">
        <v>17</v>
      </c>
      <c r="B437" t="s">
        <v>13</v>
      </c>
      <c r="C437">
        <v>4</v>
      </c>
      <c r="D437" t="s">
        <v>20</v>
      </c>
      <c r="E437">
        <v>4.3</v>
      </c>
      <c r="F437">
        <v>1.8</v>
      </c>
      <c r="G437">
        <v>2.17</v>
      </c>
      <c r="H437">
        <v>0.9</v>
      </c>
      <c r="I437" t="s">
        <v>18</v>
      </c>
      <c r="J437">
        <v>8</v>
      </c>
      <c r="K437">
        <v>8</v>
      </c>
      <c r="L437">
        <v>3</v>
      </c>
      <c r="M437">
        <v>0</v>
      </c>
    </row>
    <row r="438" spans="1:13" x14ac:dyDescent="0.35">
      <c r="A438">
        <v>19</v>
      </c>
      <c r="B438" t="s">
        <v>13</v>
      </c>
      <c r="C438">
        <v>3.5</v>
      </c>
      <c r="D438" t="s">
        <v>17</v>
      </c>
      <c r="E438">
        <v>5.8</v>
      </c>
      <c r="F438">
        <v>1.8</v>
      </c>
      <c r="G438">
        <v>3.3</v>
      </c>
      <c r="H438">
        <v>0.9</v>
      </c>
      <c r="I438" t="s">
        <v>15</v>
      </c>
      <c r="J438">
        <v>7</v>
      </c>
      <c r="K438">
        <v>6</v>
      </c>
      <c r="L438">
        <v>9</v>
      </c>
      <c r="M438">
        <v>0</v>
      </c>
    </row>
    <row r="439" spans="1:13" x14ac:dyDescent="0.35">
      <c r="A439">
        <v>17</v>
      </c>
      <c r="B439" t="s">
        <v>13</v>
      </c>
      <c r="C439">
        <v>1.3</v>
      </c>
      <c r="D439" t="s">
        <v>20</v>
      </c>
      <c r="E439">
        <v>8.3000000000000007</v>
      </c>
      <c r="F439">
        <v>1</v>
      </c>
      <c r="G439">
        <v>3.95</v>
      </c>
      <c r="H439">
        <v>1.2</v>
      </c>
      <c r="I439" t="s">
        <v>19</v>
      </c>
      <c r="J439">
        <v>4</v>
      </c>
      <c r="K439">
        <v>1</v>
      </c>
      <c r="L439">
        <v>1</v>
      </c>
      <c r="M439">
        <v>0</v>
      </c>
    </row>
    <row r="440" spans="1:13" x14ac:dyDescent="0.35">
      <c r="A440">
        <v>14</v>
      </c>
      <c r="B440" t="s">
        <v>13</v>
      </c>
      <c r="C440">
        <v>5.6</v>
      </c>
      <c r="D440" t="s">
        <v>14</v>
      </c>
      <c r="E440">
        <v>8.8000000000000007</v>
      </c>
      <c r="F440">
        <v>0.9</v>
      </c>
      <c r="G440">
        <v>3.03</v>
      </c>
      <c r="H440">
        <v>2</v>
      </c>
      <c r="I440" t="s">
        <v>15</v>
      </c>
      <c r="J440">
        <v>8</v>
      </c>
      <c r="K440">
        <v>10</v>
      </c>
      <c r="L440">
        <v>3</v>
      </c>
      <c r="M440">
        <v>0</v>
      </c>
    </row>
    <row r="441" spans="1:13" x14ac:dyDescent="0.35">
      <c r="A441">
        <v>13</v>
      </c>
      <c r="B441" t="s">
        <v>16</v>
      </c>
      <c r="C441">
        <v>2.4</v>
      </c>
      <c r="D441" t="s">
        <v>14</v>
      </c>
      <c r="E441">
        <v>5.5</v>
      </c>
      <c r="F441">
        <v>0.6</v>
      </c>
      <c r="G441">
        <v>3.56</v>
      </c>
      <c r="H441">
        <v>1.6</v>
      </c>
      <c r="I441" t="s">
        <v>19</v>
      </c>
      <c r="J441">
        <v>4</v>
      </c>
      <c r="K441">
        <v>8</v>
      </c>
      <c r="L441">
        <v>7</v>
      </c>
      <c r="M441">
        <v>0</v>
      </c>
    </row>
    <row r="442" spans="1:13" x14ac:dyDescent="0.35">
      <c r="A442">
        <v>16</v>
      </c>
      <c r="B442" t="s">
        <v>13</v>
      </c>
      <c r="C442">
        <v>2</v>
      </c>
      <c r="D442" t="s">
        <v>20</v>
      </c>
      <c r="E442">
        <v>7.8</v>
      </c>
      <c r="F442">
        <v>2.8</v>
      </c>
      <c r="G442">
        <v>2.1</v>
      </c>
      <c r="H442">
        <v>0.6</v>
      </c>
      <c r="I442" t="s">
        <v>19</v>
      </c>
      <c r="J442">
        <v>2</v>
      </c>
      <c r="K442">
        <v>6</v>
      </c>
      <c r="L442">
        <v>8</v>
      </c>
      <c r="M442">
        <v>0</v>
      </c>
    </row>
    <row r="443" spans="1:13" x14ac:dyDescent="0.35">
      <c r="A443">
        <v>15</v>
      </c>
      <c r="B443" t="s">
        <v>13</v>
      </c>
      <c r="C443">
        <v>6.6</v>
      </c>
      <c r="D443" t="s">
        <v>14</v>
      </c>
      <c r="E443">
        <v>8.6</v>
      </c>
      <c r="F443">
        <v>1.5</v>
      </c>
      <c r="G443">
        <v>2.63</v>
      </c>
      <c r="H443">
        <v>1.1000000000000001</v>
      </c>
      <c r="I443" t="s">
        <v>15</v>
      </c>
      <c r="J443">
        <v>1</v>
      </c>
      <c r="K443">
        <v>9</v>
      </c>
      <c r="L443">
        <v>9</v>
      </c>
      <c r="M443">
        <v>0</v>
      </c>
    </row>
    <row r="444" spans="1:13" x14ac:dyDescent="0.35">
      <c r="A444">
        <v>17</v>
      </c>
      <c r="B444" t="s">
        <v>16</v>
      </c>
      <c r="C444">
        <v>2.2999999999999998</v>
      </c>
      <c r="D444" t="s">
        <v>17</v>
      </c>
      <c r="E444">
        <v>6.4</v>
      </c>
      <c r="F444">
        <v>2.4</v>
      </c>
      <c r="G444">
        <v>3.61</v>
      </c>
      <c r="H444">
        <v>0.6</v>
      </c>
      <c r="I444" t="s">
        <v>19</v>
      </c>
      <c r="J444">
        <v>2</v>
      </c>
      <c r="K444">
        <v>1</v>
      </c>
      <c r="L444">
        <v>1</v>
      </c>
      <c r="M444">
        <v>0</v>
      </c>
    </row>
    <row r="445" spans="1:13" x14ac:dyDescent="0.35">
      <c r="A445">
        <v>16</v>
      </c>
      <c r="B445" t="s">
        <v>13</v>
      </c>
      <c r="C445">
        <v>6.4</v>
      </c>
      <c r="D445" t="s">
        <v>17</v>
      </c>
      <c r="E445">
        <v>5.4</v>
      </c>
      <c r="F445">
        <v>1.4</v>
      </c>
      <c r="G445">
        <v>2.42</v>
      </c>
      <c r="H445">
        <v>1.9</v>
      </c>
      <c r="I445" t="s">
        <v>19</v>
      </c>
      <c r="J445">
        <v>4</v>
      </c>
      <c r="K445">
        <v>9</v>
      </c>
      <c r="L445">
        <v>5</v>
      </c>
      <c r="M445">
        <v>0</v>
      </c>
    </row>
    <row r="446" spans="1:13" x14ac:dyDescent="0.35">
      <c r="A446">
        <v>18</v>
      </c>
      <c r="B446" t="s">
        <v>16</v>
      </c>
      <c r="C446">
        <v>3.5</v>
      </c>
      <c r="D446" t="s">
        <v>20</v>
      </c>
      <c r="E446">
        <v>5.9</v>
      </c>
      <c r="F446">
        <v>1.3</v>
      </c>
      <c r="G446">
        <v>3.68</v>
      </c>
      <c r="H446">
        <v>2</v>
      </c>
      <c r="I446" t="s">
        <v>19</v>
      </c>
      <c r="J446">
        <v>7</v>
      </c>
      <c r="K446">
        <v>4</v>
      </c>
      <c r="L446">
        <v>10</v>
      </c>
      <c r="M446">
        <v>0</v>
      </c>
    </row>
    <row r="447" spans="1:13" x14ac:dyDescent="0.35">
      <c r="A447">
        <v>18</v>
      </c>
      <c r="B447" t="s">
        <v>16</v>
      </c>
      <c r="C447">
        <v>1.7</v>
      </c>
      <c r="D447" t="s">
        <v>14</v>
      </c>
      <c r="E447">
        <v>8.5</v>
      </c>
      <c r="F447">
        <v>1</v>
      </c>
      <c r="G447">
        <v>3.32</v>
      </c>
      <c r="H447">
        <v>1.3</v>
      </c>
      <c r="I447" t="s">
        <v>19</v>
      </c>
      <c r="J447">
        <v>1</v>
      </c>
      <c r="K447">
        <v>1</v>
      </c>
      <c r="L447">
        <v>7</v>
      </c>
      <c r="M447">
        <v>0</v>
      </c>
    </row>
    <row r="448" spans="1:13" x14ac:dyDescent="0.35">
      <c r="A448">
        <v>14</v>
      </c>
      <c r="B448" t="s">
        <v>13</v>
      </c>
      <c r="C448">
        <v>4.0999999999999996</v>
      </c>
      <c r="D448" t="s">
        <v>14</v>
      </c>
      <c r="E448">
        <v>8.1999999999999993</v>
      </c>
      <c r="F448">
        <v>1.7</v>
      </c>
      <c r="G448">
        <v>2.3199999999999998</v>
      </c>
      <c r="H448">
        <v>1.4</v>
      </c>
      <c r="I448" t="s">
        <v>18</v>
      </c>
      <c r="J448">
        <v>9</v>
      </c>
      <c r="K448">
        <v>2</v>
      </c>
      <c r="L448">
        <v>4</v>
      </c>
      <c r="M448">
        <v>0</v>
      </c>
    </row>
    <row r="449" spans="1:13" x14ac:dyDescent="0.35">
      <c r="A449">
        <v>14</v>
      </c>
      <c r="B449" t="s">
        <v>13</v>
      </c>
      <c r="C449">
        <v>3.3</v>
      </c>
      <c r="D449" t="s">
        <v>14</v>
      </c>
      <c r="E449">
        <v>6.5</v>
      </c>
      <c r="F449">
        <v>0.8</v>
      </c>
      <c r="G449">
        <v>2.54</v>
      </c>
      <c r="H449">
        <v>0.8</v>
      </c>
      <c r="I449" t="s">
        <v>15</v>
      </c>
      <c r="J449">
        <v>1</v>
      </c>
      <c r="K449">
        <v>2</v>
      </c>
      <c r="L449">
        <v>3</v>
      </c>
      <c r="M449">
        <v>0</v>
      </c>
    </row>
    <row r="450" spans="1:13" x14ac:dyDescent="0.35">
      <c r="A450">
        <v>14</v>
      </c>
      <c r="B450" t="s">
        <v>16</v>
      </c>
      <c r="C450">
        <v>5</v>
      </c>
      <c r="D450" t="s">
        <v>17</v>
      </c>
      <c r="E450">
        <v>4.9000000000000004</v>
      </c>
      <c r="F450">
        <v>2.6</v>
      </c>
      <c r="G450">
        <v>3.82</v>
      </c>
      <c r="H450">
        <v>1.9</v>
      </c>
      <c r="I450" t="s">
        <v>19</v>
      </c>
      <c r="J450">
        <v>3</v>
      </c>
      <c r="K450">
        <v>10</v>
      </c>
      <c r="L450">
        <v>10</v>
      </c>
      <c r="M450">
        <v>0</v>
      </c>
    </row>
    <row r="451" spans="1:13" x14ac:dyDescent="0.35">
      <c r="A451">
        <v>19</v>
      </c>
      <c r="B451" t="s">
        <v>16</v>
      </c>
      <c r="C451">
        <v>1.5</v>
      </c>
      <c r="D451" t="s">
        <v>14</v>
      </c>
      <c r="E451">
        <v>8.4</v>
      </c>
      <c r="F451">
        <v>3</v>
      </c>
      <c r="G451">
        <v>2.46</v>
      </c>
      <c r="H451">
        <v>1.5</v>
      </c>
      <c r="I451" t="s">
        <v>18</v>
      </c>
      <c r="J451">
        <v>1</v>
      </c>
      <c r="K451">
        <v>7</v>
      </c>
      <c r="L451">
        <v>6</v>
      </c>
      <c r="M451">
        <v>0</v>
      </c>
    </row>
    <row r="452" spans="1:13" x14ac:dyDescent="0.35">
      <c r="A452">
        <v>17</v>
      </c>
      <c r="B452" t="s">
        <v>16</v>
      </c>
      <c r="C452">
        <v>3.3</v>
      </c>
      <c r="D452" t="s">
        <v>17</v>
      </c>
      <c r="E452">
        <v>8.4</v>
      </c>
      <c r="F452">
        <v>2.1</v>
      </c>
      <c r="G452">
        <v>3.4</v>
      </c>
      <c r="H452">
        <v>0.2</v>
      </c>
      <c r="I452" t="s">
        <v>18</v>
      </c>
      <c r="J452">
        <v>1</v>
      </c>
      <c r="K452">
        <v>3</v>
      </c>
      <c r="L452">
        <v>10</v>
      </c>
      <c r="M452">
        <v>0</v>
      </c>
    </row>
    <row r="453" spans="1:13" x14ac:dyDescent="0.35">
      <c r="A453">
        <v>13</v>
      </c>
      <c r="B453" t="s">
        <v>13</v>
      </c>
      <c r="C453">
        <v>6.4</v>
      </c>
      <c r="D453" t="s">
        <v>20</v>
      </c>
      <c r="E453">
        <v>4.0999999999999996</v>
      </c>
      <c r="F453">
        <v>1.3</v>
      </c>
      <c r="G453">
        <v>2.77</v>
      </c>
      <c r="H453">
        <v>1.3</v>
      </c>
      <c r="I453" t="s">
        <v>15</v>
      </c>
      <c r="J453">
        <v>10</v>
      </c>
      <c r="K453">
        <v>6</v>
      </c>
      <c r="L453">
        <v>1</v>
      </c>
      <c r="M453">
        <v>0</v>
      </c>
    </row>
    <row r="454" spans="1:13" x14ac:dyDescent="0.35">
      <c r="A454">
        <v>17</v>
      </c>
      <c r="B454" t="s">
        <v>16</v>
      </c>
      <c r="C454">
        <v>8</v>
      </c>
      <c r="D454" t="s">
        <v>14</v>
      </c>
      <c r="E454">
        <v>8.1</v>
      </c>
      <c r="F454">
        <v>1.2</v>
      </c>
      <c r="G454">
        <v>2.13</v>
      </c>
      <c r="H454">
        <v>1</v>
      </c>
      <c r="I454" t="s">
        <v>15</v>
      </c>
      <c r="J454">
        <v>1</v>
      </c>
      <c r="K454">
        <v>8</v>
      </c>
      <c r="L454">
        <v>7</v>
      </c>
      <c r="M454">
        <v>0</v>
      </c>
    </row>
    <row r="455" spans="1:13" x14ac:dyDescent="0.35">
      <c r="A455">
        <v>16</v>
      </c>
      <c r="B455" t="s">
        <v>16</v>
      </c>
      <c r="C455">
        <v>1</v>
      </c>
      <c r="D455" t="s">
        <v>20</v>
      </c>
      <c r="E455">
        <v>4.0999999999999996</v>
      </c>
      <c r="F455">
        <v>1.3</v>
      </c>
      <c r="G455">
        <v>2.2200000000000002</v>
      </c>
      <c r="H455">
        <v>0.4</v>
      </c>
      <c r="I455" t="s">
        <v>15</v>
      </c>
      <c r="J455">
        <v>2</v>
      </c>
      <c r="K455">
        <v>1</v>
      </c>
      <c r="L455">
        <v>8</v>
      </c>
      <c r="M455">
        <v>0</v>
      </c>
    </row>
    <row r="456" spans="1:13" x14ac:dyDescent="0.35">
      <c r="A456">
        <v>18</v>
      </c>
      <c r="B456" t="s">
        <v>16</v>
      </c>
      <c r="C456">
        <v>4.2</v>
      </c>
      <c r="D456" t="s">
        <v>14</v>
      </c>
      <c r="E456">
        <v>5.4</v>
      </c>
      <c r="F456">
        <v>1.1000000000000001</v>
      </c>
      <c r="G456">
        <v>2.31</v>
      </c>
      <c r="H456">
        <v>0.3</v>
      </c>
      <c r="I456" t="s">
        <v>15</v>
      </c>
      <c r="J456">
        <v>4</v>
      </c>
      <c r="K456">
        <v>9</v>
      </c>
      <c r="L456">
        <v>1</v>
      </c>
      <c r="M456">
        <v>0</v>
      </c>
    </row>
    <row r="457" spans="1:13" x14ac:dyDescent="0.35">
      <c r="A457">
        <v>18</v>
      </c>
      <c r="B457" t="s">
        <v>16</v>
      </c>
      <c r="C457">
        <v>4.5999999999999996</v>
      </c>
      <c r="D457" t="s">
        <v>17</v>
      </c>
      <c r="E457">
        <v>7.3</v>
      </c>
      <c r="F457">
        <v>2.8</v>
      </c>
      <c r="G457">
        <v>3.22</v>
      </c>
      <c r="H457">
        <v>0.6</v>
      </c>
      <c r="I457" t="s">
        <v>18</v>
      </c>
      <c r="J457">
        <v>1</v>
      </c>
      <c r="K457">
        <v>3</v>
      </c>
      <c r="L457">
        <v>6</v>
      </c>
      <c r="M457">
        <v>0</v>
      </c>
    </row>
    <row r="458" spans="1:13" x14ac:dyDescent="0.35">
      <c r="A458">
        <v>17</v>
      </c>
      <c r="B458" t="s">
        <v>16</v>
      </c>
      <c r="C458">
        <v>2.8</v>
      </c>
      <c r="D458" t="s">
        <v>20</v>
      </c>
      <c r="E458">
        <v>6.2</v>
      </c>
      <c r="F458">
        <v>2.4</v>
      </c>
      <c r="G458">
        <v>2.58</v>
      </c>
      <c r="H458">
        <v>0.4</v>
      </c>
      <c r="I458" t="s">
        <v>18</v>
      </c>
      <c r="J458">
        <v>4</v>
      </c>
      <c r="K458">
        <v>10</v>
      </c>
      <c r="L458">
        <v>9</v>
      </c>
      <c r="M458">
        <v>0</v>
      </c>
    </row>
    <row r="459" spans="1:13" x14ac:dyDescent="0.35">
      <c r="A459">
        <v>16</v>
      </c>
      <c r="B459" t="s">
        <v>16</v>
      </c>
      <c r="C459">
        <v>6.3</v>
      </c>
      <c r="D459" t="s">
        <v>14</v>
      </c>
      <c r="E459">
        <v>6.9</v>
      </c>
      <c r="F459">
        <v>1.3</v>
      </c>
      <c r="G459">
        <v>2.15</v>
      </c>
      <c r="H459">
        <v>1.4</v>
      </c>
      <c r="I459" t="s">
        <v>15</v>
      </c>
      <c r="J459">
        <v>9</v>
      </c>
      <c r="K459">
        <v>2</v>
      </c>
      <c r="L459">
        <v>10</v>
      </c>
      <c r="M459">
        <v>0</v>
      </c>
    </row>
    <row r="460" spans="1:13" x14ac:dyDescent="0.35">
      <c r="A460">
        <v>17</v>
      </c>
      <c r="B460" t="s">
        <v>16</v>
      </c>
      <c r="C460">
        <v>7.2</v>
      </c>
      <c r="D460" t="s">
        <v>17</v>
      </c>
      <c r="E460">
        <v>7</v>
      </c>
      <c r="F460">
        <v>1.3</v>
      </c>
      <c r="G460">
        <v>3.86</v>
      </c>
      <c r="H460">
        <v>0.9</v>
      </c>
      <c r="I460" t="s">
        <v>15</v>
      </c>
      <c r="J460">
        <v>7</v>
      </c>
      <c r="K460">
        <v>8</v>
      </c>
      <c r="L460">
        <v>4</v>
      </c>
      <c r="M460">
        <v>0</v>
      </c>
    </row>
    <row r="461" spans="1:13" x14ac:dyDescent="0.35">
      <c r="A461">
        <v>13</v>
      </c>
      <c r="B461" t="s">
        <v>13</v>
      </c>
      <c r="C461">
        <v>4.5</v>
      </c>
      <c r="D461" t="s">
        <v>20</v>
      </c>
      <c r="E461">
        <v>6.7</v>
      </c>
      <c r="F461">
        <v>2.2000000000000002</v>
      </c>
      <c r="G461">
        <v>3.73</v>
      </c>
      <c r="H461">
        <v>0.3</v>
      </c>
      <c r="I461" t="s">
        <v>15</v>
      </c>
      <c r="J461">
        <v>3</v>
      </c>
      <c r="K461">
        <v>5</v>
      </c>
      <c r="L461">
        <v>10</v>
      </c>
      <c r="M461">
        <v>0</v>
      </c>
    </row>
    <row r="462" spans="1:13" x14ac:dyDescent="0.35">
      <c r="A462">
        <v>18</v>
      </c>
      <c r="B462" t="s">
        <v>13</v>
      </c>
      <c r="C462">
        <v>5.3</v>
      </c>
      <c r="D462" t="s">
        <v>20</v>
      </c>
      <c r="E462">
        <v>5.0999999999999996</v>
      </c>
      <c r="F462">
        <v>1.2</v>
      </c>
      <c r="G462">
        <v>3.32</v>
      </c>
      <c r="H462">
        <v>1.8</v>
      </c>
      <c r="I462" t="s">
        <v>15</v>
      </c>
      <c r="J462">
        <v>7</v>
      </c>
      <c r="K462">
        <v>3</v>
      </c>
      <c r="L462">
        <v>8</v>
      </c>
      <c r="M462">
        <v>0</v>
      </c>
    </row>
    <row r="463" spans="1:13" x14ac:dyDescent="0.35">
      <c r="A463">
        <v>13</v>
      </c>
      <c r="B463" t="s">
        <v>13</v>
      </c>
      <c r="C463">
        <v>5.2</v>
      </c>
      <c r="D463" t="s">
        <v>17</v>
      </c>
      <c r="E463">
        <v>6.7</v>
      </c>
      <c r="F463">
        <v>2.5</v>
      </c>
      <c r="G463">
        <v>3.82</v>
      </c>
      <c r="H463">
        <v>0.9</v>
      </c>
      <c r="I463" t="s">
        <v>19</v>
      </c>
      <c r="J463">
        <v>8</v>
      </c>
      <c r="K463">
        <v>8</v>
      </c>
      <c r="L463">
        <v>6</v>
      </c>
      <c r="M463">
        <v>0</v>
      </c>
    </row>
    <row r="464" spans="1:13" x14ac:dyDescent="0.35">
      <c r="A464">
        <v>13</v>
      </c>
      <c r="B464" t="s">
        <v>13</v>
      </c>
      <c r="C464">
        <v>7.9</v>
      </c>
      <c r="D464" t="s">
        <v>17</v>
      </c>
      <c r="E464">
        <v>6</v>
      </c>
      <c r="F464">
        <v>2.7</v>
      </c>
      <c r="G464">
        <v>2.85</v>
      </c>
      <c r="H464">
        <v>0.3</v>
      </c>
      <c r="I464" t="s">
        <v>15</v>
      </c>
      <c r="J464">
        <v>9</v>
      </c>
      <c r="K464">
        <v>10</v>
      </c>
      <c r="L464">
        <v>3</v>
      </c>
      <c r="M464">
        <v>0</v>
      </c>
    </row>
    <row r="465" spans="1:13" x14ac:dyDescent="0.35">
      <c r="A465">
        <v>19</v>
      </c>
      <c r="B465" t="s">
        <v>13</v>
      </c>
      <c r="C465">
        <v>6.9</v>
      </c>
      <c r="D465" t="s">
        <v>17</v>
      </c>
      <c r="E465">
        <v>8.5</v>
      </c>
      <c r="F465">
        <v>1.5</v>
      </c>
      <c r="G465">
        <v>3.55</v>
      </c>
      <c r="H465">
        <v>1.3</v>
      </c>
      <c r="I465" t="s">
        <v>15</v>
      </c>
      <c r="J465">
        <v>5</v>
      </c>
      <c r="K465">
        <v>6</v>
      </c>
      <c r="L465">
        <v>1</v>
      </c>
      <c r="M465">
        <v>0</v>
      </c>
    </row>
    <row r="466" spans="1:13" x14ac:dyDescent="0.35">
      <c r="A466">
        <v>17</v>
      </c>
      <c r="B466" t="s">
        <v>16</v>
      </c>
      <c r="C466">
        <v>5.8</v>
      </c>
      <c r="D466" t="s">
        <v>14</v>
      </c>
      <c r="E466">
        <v>4.0999999999999996</v>
      </c>
      <c r="F466">
        <v>2.9</v>
      </c>
      <c r="G466">
        <v>2.33</v>
      </c>
      <c r="H466">
        <v>0.4</v>
      </c>
      <c r="I466" t="s">
        <v>18</v>
      </c>
      <c r="J466">
        <v>9</v>
      </c>
      <c r="K466">
        <v>6</v>
      </c>
      <c r="L466">
        <v>8</v>
      </c>
      <c r="M466">
        <v>0</v>
      </c>
    </row>
    <row r="467" spans="1:13" x14ac:dyDescent="0.35">
      <c r="A467">
        <v>19</v>
      </c>
      <c r="B467" t="s">
        <v>13</v>
      </c>
      <c r="C467">
        <v>7</v>
      </c>
      <c r="D467" t="s">
        <v>14</v>
      </c>
      <c r="E467">
        <v>8.3000000000000007</v>
      </c>
      <c r="F467">
        <v>2.1</v>
      </c>
      <c r="G467">
        <v>3.09</v>
      </c>
      <c r="H467">
        <v>1.5</v>
      </c>
      <c r="I467" t="s">
        <v>15</v>
      </c>
      <c r="J467">
        <v>9</v>
      </c>
      <c r="K467">
        <v>7</v>
      </c>
      <c r="L467">
        <v>3</v>
      </c>
      <c r="M467">
        <v>0</v>
      </c>
    </row>
    <row r="468" spans="1:13" x14ac:dyDescent="0.35">
      <c r="A468">
        <v>14</v>
      </c>
      <c r="B468" t="s">
        <v>16</v>
      </c>
      <c r="C468">
        <v>3</v>
      </c>
      <c r="D468" t="s">
        <v>17</v>
      </c>
      <c r="E468">
        <v>8.3000000000000007</v>
      </c>
      <c r="F468">
        <v>2.7</v>
      </c>
      <c r="G468">
        <v>3.9</v>
      </c>
      <c r="H468">
        <v>0.7</v>
      </c>
      <c r="I468" t="s">
        <v>18</v>
      </c>
      <c r="J468">
        <v>3</v>
      </c>
      <c r="K468">
        <v>1</v>
      </c>
      <c r="L468">
        <v>5</v>
      </c>
      <c r="M468">
        <v>0</v>
      </c>
    </row>
    <row r="469" spans="1:13" x14ac:dyDescent="0.35">
      <c r="A469">
        <v>18</v>
      </c>
      <c r="B469" t="s">
        <v>13</v>
      </c>
      <c r="C469">
        <v>6.3</v>
      </c>
      <c r="D469" t="s">
        <v>20</v>
      </c>
      <c r="E469">
        <v>7.9</v>
      </c>
      <c r="F469">
        <v>1.7</v>
      </c>
      <c r="G469">
        <v>2.85</v>
      </c>
      <c r="H469">
        <v>0.3</v>
      </c>
      <c r="I469" t="s">
        <v>19</v>
      </c>
      <c r="J469">
        <v>1</v>
      </c>
      <c r="K469">
        <v>1</v>
      </c>
      <c r="L469">
        <v>2</v>
      </c>
      <c r="M469">
        <v>0</v>
      </c>
    </row>
    <row r="470" spans="1:13" x14ac:dyDescent="0.35">
      <c r="A470">
        <v>17</v>
      </c>
      <c r="B470" t="s">
        <v>16</v>
      </c>
      <c r="C470">
        <v>5.5</v>
      </c>
      <c r="D470" t="s">
        <v>14</v>
      </c>
      <c r="E470">
        <v>4.9000000000000004</v>
      </c>
      <c r="F470">
        <v>2.6</v>
      </c>
      <c r="G470">
        <v>3.64</v>
      </c>
      <c r="H470">
        <v>0.8</v>
      </c>
      <c r="I470" t="s">
        <v>19</v>
      </c>
      <c r="J470">
        <v>6</v>
      </c>
      <c r="K470">
        <v>8</v>
      </c>
      <c r="L470">
        <v>3</v>
      </c>
      <c r="M470">
        <v>0</v>
      </c>
    </row>
    <row r="471" spans="1:13" x14ac:dyDescent="0.35">
      <c r="A471">
        <v>17</v>
      </c>
      <c r="B471" t="s">
        <v>16</v>
      </c>
      <c r="C471">
        <v>2.2000000000000002</v>
      </c>
      <c r="D471" t="s">
        <v>20</v>
      </c>
      <c r="E471">
        <v>7.5</v>
      </c>
      <c r="F471">
        <v>2.2000000000000002</v>
      </c>
      <c r="G471">
        <v>2.95</v>
      </c>
      <c r="H471">
        <v>1.6</v>
      </c>
      <c r="I471" t="s">
        <v>15</v>
      </c>
      <c r="J471">
        <v>9</v>
      </c>
      <c r="K471">
        <v>7</v>
      </c>
      <c r="L471">
        <v>4</v>
      </c>
      <c r="M471">
        <v>0</v>
      </c>
    </row>
    <row r="472" spans="1:13" x14ac:dyDescent="0.35">
      <c r="A472">
        <v>14</v>
      </c>
      <c r="B472" t="s">
        <v>13</v>
      </c>
      <c r="C472">
        <v>1.4</v>
      </c>
      <c r="D472" t="s">
        <v>20</v>
      </c>
      <c r="E472">
        <v>4.5</v>
      </c>
      <c r="F472">
        <v>1.4</v>
      </c>
      <c r="G472">
        <v>3.17</v>
      </c>
      <c r="H472">
        <v>1.7</v>
      </c>
      <c r="I472" t="s">
        <v>18</v>
      </c>
      <c r="J472">
        <v>9</v>
      </c>
      <c r="K472">
        <v>10</v>
      </c>
      <c r="L472">
        <v>9</v>
      </c>
      <c r="M472">
        <v>0</v>
      </c>
    </row>
    <row r="473" spans="1:13" x14ac:dyDescent="0.35">
      <c r="A473">
        <v>18</v>
      </c>
      <c r="B473" t="s">
        <v>13</v>
      </c>
      <c r="C473">
        <v>4.5</v>
      </c>
      <c r="D473" t="s">
        <v>14</v>
      </c>
      <c r="E473">
        <v>4.4000000000000004</v>
      </c>
      <c r="F473">
        <v>1.9</v>
      </c>
      <c r="G473">
        <v>2.2599999999999998</v>
      </c>
      <c r="H473">
        <v>0</v>
      </c>
      <c r="I473" t="s">
        <v>15</v>
      </c>
      <c r="J473">
        <v>7</v>
      </c>
      <c r="K473">
        <v>8</v>
      </c>
      <c r="L473">
        <v>10</v>
      </c>
      <c r="M473">
        <v>0</v>
      </c>
    </row>
    <row r="474" spans="1:13" x14ac:dyDescent="0.35">
      <c r="A474">
        <v>14</v>
      </c>
      <c r="B474" t="s">
        <v>16</v>
      </c>
      <c r="C474">
        <v>6.1</v>
      </c>
      <c r="D474" t="s">
        <v>14</v>
      </c>
      <c r="E474">
        <v>5.7</v>
      </c>
      <c r="F474">
        <v>2</v>
      </c>
      <c r="G474">
        <v>3.9</v>
      </c>
      <c r="H474">
        <v>1</v>
      </c>
      <c r="I474" t="s">
        <v>15</v>
      </c>
      <c r="J474">
        <v>8</v>
      </c>
      <c r="K474">
        <v>4</v>
      </c>
      <c r="L474">
        <v>6</v>
      </c>
      <c r="M474">
        <v>0</v>
      </c>
    </row>
    <row r="475" spans="1:13" x14ac:dyDescent="0.35">
      <c r="A475">
        <v>17</v>
      </c>
      <c r="B475" t="s">
        <v>13</v>
      </c>
      <c r="C475">
        <v>3.3</v>
      </c>
      <c r="D475" t="s">
        <v>17</v>
      </c>
      <c r="E475">
        <v>5.7</v>
      </c>
      <c r="F475">
        <v>2</v>
      </c>
      <c r="G475">
        <v>3.71</v>
      </c>
      <c r="H475">
        <v>0.1</v>
      </c>
      <c r="I475" t="s">
        <v>15</v>
      </c>
      <c r="J475">
        <v>6</v>
      </c>
      <c r="K475">
        <v>6</v>
      </c>
      <c r="L475">
        <v>8</v>
      </c>
      <c r="M475">
        <v>0</v>
      </c>
    </row>
    <row r="476" spans="1:13" x14ac:dyDescent="0.35">
      <c r="A476">
        <v>15</v>
      </c>
      <c r="B476" t="s">
        <v>13</v>
      </c>
      <c r="C476">
        <v>5.2</v>
      </c>
      <c r="D476" t="s">
        <v>20</v>
      </c>
      <c r="E476">
        <v>5.6</v>
      </c>
      <c r="F476">
        <v>1.1000000000000001</v>
      </c>
      <c r="G476">
        <v>2.88</v>
      </c>
      <c r="H476">
        <v>0.1</v>
      </c>
      <c r="I476" t="s">
        <v>19</v>
      </c>
      <c r="J476">
        <v>4</v>
      </c>
      <c r="K476">
        <v>8</v>
      </c>
      <c r="L476">
        <v>7</v>
      </c>
      <c r="M476">
        <v>0</v>
      </c>
    </row>
    <row r="477" spans="1:13" x14ac:dyDescent="0.35">
      <c r="A477">
        <v>18</v>
      </c>
      <c r="B477" t="s">
        <v>13</v>
      </c>
      <c r="C477">
        <v>5</v>
      </c>
      <c r="D477" t="s">
        <v>20</v>
      </c>
      <c r="E477">
        <v>5.8</v>
      </c>
      <c r="F477">
        <v>1.3</v>
      </c>
      <c r="G477">
        <v>2.12</v>
      </c>
      <c r="H477">
        <v>0.1</v>
      </c>
      <c r="I477" t="s">
        <v>15</v>
      </c>
      <c r="J477">
        <v>1</v>
      </c>
      <c r="K477">
        <v>9</v>
      </c>
      <c r="L477">
        <v>2</v>
      </c>
      <c r="M477">
        <v>0</v>
      </c>
    </row>
    <row r="478" spans="1:13" x14ac:dyDescent="0.35">
      <c r="A478">
        <v>17</v>
      </c>
      <c r="B478" t="s">
        <v>16</v>
      </c>
      <c r="C478">
        <v>1.8</v>
      </c>
      <c r="D478" t="s">
        <v>17</v>
      </c>
      <c r="E478">
        <v>5.9</v>
      </c>
      <c r="F478">
        <v>1.9</v>
      </c>
      <c r="G478">
        <v>2.89</v>
      </c>
      <c r="H478">
        <v>0.6</v>
      </c>
      <c r="I478" t="s">
        <v>15</v>
      </c>
      <c r="J478">
        <v>8</v>
      </c>
      <c r="K478">
        <v>8</v>
      </c>
      <c r="L478">
        <v>5</v>
      </c>
      <c r="M478">
        <v>0</v>
      </c>
    </row>
    <row r="479" spans="1:13" x14ac:dyDescent="0.35">
      <c r="A479">
        <v>13</v>
      </c>
      <c r="B479" t="s">
        <v>13</v>
      </c>
      <c r="C479">
        <v>2.2999999999999998</v>
      </c>
      <c r="D479" t="s">
        <v>17</v>
      </c>
      <c r="E479">
        <v>4.5</v>
      </c>
      <c r="F479">
        <v>0.7</v>
      </c>
      <c r="G479">
        <v>2.71</v>
      </c>
      <c r="H479">
        <v>0.2</v>
      </c>
      <c r="I479" t="s">
        <v>15</v>
      </c>
      <c r="J479">
        <v>6</v>
      </c>
      <c r="K479">
        <v>3</v>
      </c>
      <c r="L479">
        <v>7</v>
      </c>
      <c r="M479">
        <v>0</v>
      </c>
    </row>
    <row r="480" spans="1:13" x14ac:dyDescent="0.35">
      <c r="A480">
        <v>14</v>
      </c>
      <c r="B480" t="s">
        <v>13</v>
      </c>
      <c r="C480">
        <v>2.7</v>
      </c>
      <c r="D480" t="s">
        <v>20</v>
      </c>
      <c r="E480">
        <v>6.3</v>
      </c>
      <c r="F480">
        <v>0.6</v>
      </c>
      <c r="G480">
        <v>3.88</v>
      </c>
      <c r="H480">
        <v>0.3</v>
      </c>
      <c r="I480" t="s">
        <v>19</v>
      </c>
      <c r="J480">
        <v>6</v>
      </c>
      <c r="K480">
        <v>6</v>
      </c>
      <c r="L480">
        <v>6</v>
      </c>
      <c r="M480">
        <v>0</v>
      </c>
    </row>
    <row r="481" spans="1:13" x14ac:dyDescent="0.35">
      <c r="A481">
        <v>16</v>
      </c>
      <c r="B481" t="s">
        <v>13</v>
      </c>
      <c r="C481">
        <v>7.4</v>
      </c>
      <c r="D481" t="s">
        <v>17</v>
      </c>
      <c r="E481">
        <v>7.5</v>
      </c>
      <c r="F481">
        <v>1.7</v>
      </c>
      <c r="G481">
        <v>3.16</v>
      </c>
      <c r="H481">
        <v>1.8</v>
      </c>
      <c r="I481" t="s">
        <v>19</v>
      </c>
      <c r="J481">
        <v>2</v>
      </c>
      <c r="K481">
        <v>3</v>
      </c>
      <c r="L481">
        <v>2</v>
      </c>
      <c r="M481">
        <v>0</v>
      </c>
    </row>
    <row r="482" spans="1:13" x14ac:dyDescent="0.35">
      <c r="A482">
        <v>15</v>
      </c>
      <c r="B482" t="s">
        <v>13</v>
      </c>
      <c r="C482">
        <v>6.2</v>
      </c>
      <c r="D482" t="s">
        <v>17</v>
      </c>
      <c r="E482">
        <v>4.5999999999999996</v>
      </c>
      <c r="F482">
        <v>1.1000000000000001</v>
      </c>
      <c r="G482">
        <v>2.94</v>
      </c>
      <c r="H482">
        <v>1.8</v>
      </c>
      <c r="I482" t="s">
        <v>18</v>
      </c>
      <c r="J482">
        <v>4</v>
      </c>
      <c r="K482">
        <v>2</v>
      </c>
      <c r="L482">
        <v>3</v>
      </c>
      <c r="M482">
        <v>0</v>
      </c>
    </row>
    <row r="483" spans="1:13" x14ac:dyDescent="0.35">
      <c r="A483">
        <v>16</v>
      </c>
      <c r="B483" t="s">
        <v>13</v>
      </c>
      <c r="C483">
        <v>2.2999999999999998</v>
      </c>
      <c r="D483" t="s">
        <v>17</v>
      </c>
      <c r="E483">
        <v>8.8000000000000007</v>
      </c>
      <c r="F483">
        <v>1</v>
      </c>
      <c r="G483">
        <v>2.5099999999999998</v>
      </c>
      <c r="H483">
        <v>2</v>
      </c>
      <c r="I483" t="s">
        <v>19</v>
      </c>
      <c r="J483">
        <v>6</v>
      </c>
      <c r="K483">
        <v>10</v>
      </c>
      <c r="L483">
        <v>10</v>
      </c>
      <c r="M483">
        <v>0</v>
      </c>
    </row>
    <row r="484" spans="1:13" x14ac:dyDescent="0.35">
      <c r="A484">
        <v>18</v>
      </c>
      <c r="B484" t="s">
        <v>13</v>
      </c>
      <c r="C484">
        <v>1.8</v>
      </c>
      <c r="D484" t="s">
        <v>17</v>
      </c>
      <c r="E484">
        <v>5.2</v>
      </c>
      <c r="F484">
        <v>1.4</v>
      </c>
      <c r="G484">
        <v>2.68</v>
      </c>
      <c r="H484">
        <v>0.1</v>
      </c>
      <c r="I484" t="s">
        <v>18</v>
      </c>
      <c r="J484">
        <v>6</v>
      </c>
      <c r="K484">
        <v>2</v>
      </c>
      <c r="L484">
        <v>10</v>
      </c>
      <c r="M484">
        <v>0</v>
      </c>
    </row>
    <row r="485" spans="1:13" x14ac:dyDescent="0.35">
      <c r="A485">
        <v>16</v>
      </c>
      <c r="B485" t="s">
        <v>16</v>
      </c>
      <c r="C485">
        <v>1.3</v>
      </c>
      <c r="D485" t="s">
        <v>14</v>
      </c>
      <c r="E485">
        <v>4.9000000000000004</v>
      </c>
      <c r="F485">
        <v>2.6</v>
      </c>
      <c r="G485">
        <v>2.89</v>
      </c>
      <c r="H485">
        <v>0.2</v>
      </c>
      <c r="I485" t="s">
        <v>15</v>
      </c>
      <c r="J485">
        <v>2</v>
      </c>
      <c r="K485">
        <v>5</v>
      </c>
      <c r="L485">
        <v>2</v>
      </c>
      <c r="M485">
        <v>0</v>
      </c>
    </row>
    <row r="486" spans="1:13" x14ac:dyDescent="0.35">
      <c r="A486">
        <v>15</v>
      </c>
      <c r="B486" t="s">
        <v>13</v>
      </c>
      <c r="C486">
        <v>2.1</v>
      </c>
      <c r="D486" t="s">
        <v>14</v>
      </c>
      <c r="E486">
        <v>4.4000000000000004</v>
      </c>
      <c r="F486">
        <v>2.1</v>
      </c>
      <c r="G486">
        <v>3.43</v>
      </c>
      <c r="H486">
        <v>1.9</v>
      </c>
      <c r="I486" t="s">
        <v>15</v>
      </c>
      <c r="J486">
        <v>6</v>
      </c>
      <c r="K486">
        <v>6</v>
      </c>
      <c r="L486">
        <v>7</v>
      </c>
      <c r="M486">
        <v>0</v>
      </c>
    </row>
    <row r="487" spans="1:13" x14ac:dyDescent="0.35">
      <c r="A487">
        <v>14</v>
      </c>
      <c r="B487" t="s">
        <v>13</v>
      </c>
      <c r="C487">
        <v>3.9</v>
      </c>
      <c r="D487" t="s">
        <v>14</v>
      </c>
      <c r="E487">
        <v>7.7</v>
      </c>
      <c r="F487">
        <v>1.4</v>
      </c>
      <c r="G487">
        <v>2.86</v>
      </c>
      <c r="H487">
        <v>1.7</v>
      </c>
      <c r="I487" t="s">
        <v>18</v>
      </c>
      <c r="J487">
        <v>3</v>
      </c>
      <c r="K487">
        <v>5</v>
      </c>
      <c r="L487">
        <v>1</v>
      </c>
      <c r="M487">
        <v>0</v>
      </c>
    </row>
    <row r="488" spans="1:13" x14ac:dyDescent="0.35">
      <c r="A488">
        <v>18</v>
      </c>
      <c r="B488" t="s">
        <v>16</v>
      </c>
      <c r="C488">
        <v>3.8</v>
      </c>
      <c r="D488" t="s">
        <v>20</v>
      </c>
      <c r="E488">
        <v>4.5</v>
      </c>
      <c r="F488">
        <v>1.3</v>
      </c>
      <c r="G488">
        <v>3.06</v>
      </c>
      <c r="H488">
        <v>0.3</v>
      </c>
      <c r="I488" t="s">
        <v>19</v>
      </c>
      <c r="J488">
        <v>7</v>
      </c>
      <c r="K488">
        <v>8</v>
      </c>
      <c r="L488">
        <v>1</v>
      </c>
      <c r="M488">
        <v>0</v>
      </c>
    </row>
    <row r="489" spans="1:13" x14ac:dyDescent="0.35">
      <c r="A489">
        <v>15</v>
      </c>
      <c r="B489" t="s">
        <v>13</v>
      </c>
      <c r="C489">
        <v>6.4</v>
      </c>
      <c r="D489" t="s">
        <v>14</v>
      </c>
      <c r="E489">
        <v>7.8</v>
      </c>
      <c r="F489">
        <v>0.7</v>
      </c>
      <c r="G489">
        <v>2.6</v>
      </c>
      <c r="H489">
        <v>0.7</v>
      </c>
      <c r="I489" t="s">
        <v>18</v>
      </c>
      <c r="J489">
        <v>4</v>
      </c>
      <c r="K489">
        <v>4</v>
      </c>
      <c r="L489">
        <v>2</v>
      </c>
      <c r="M489">
        <v>0</v>
      </c>
    </row>
    <row r="490" spans="1:13" x14ac:dyDescent="0.35">
      <c r="A490">
        <v>19</v>
      </c>
      <c r="B490" t="s">
        <v>13</v>
      </c>
      <c r="C490">
        <v>3.2</v>
      </c>
      <c r="D490" t="s">
        <v>14</v>
      </c>
      <c r="E490">
        <v>6.2</v>
      </c>
      <c r="F490">
        <v>2.6</v>
      </c>
      <c r="G490">
        <v>3.72</v>
      </c>
      <c r="H490">
        <v>1.9</v>
      </c>
      <c r="I490" t="s">
        <v>18</v>
      </c>
      <c r="J490">
        <v>9</v>
      </c>
      <c r="K490">
        <v>5</v>
      </c>
      <c r="L490">
        <v>7</v>
      </c>
      <c r="M490">
        <v>0</v>
      </c>
    </row>
    <row r="491" spans="1:13" x14ac:dyDescent="0.35">
      <c r="A491">
        <v>13</v>
      </c>
      <c r="B491" t="s">
        <v>13</v>
      </c>
      <c r="C491">
        <v>4.4000000000000004</v>
      </c>
      <c r="D491" t="s">
        <v>20</v>
      </c>
      <c r="E491">
        <v>8.1999999999999993</v>
      </c>
      <c r="F491">
        <v>1.5</v>
      </c>
      <c r="G491">
        <v>3.98</v>
      </c>
      <c r="H491">
        <v>1.4</v>
      </c>
      <c r="I491" t="s">
        <v>18</v>
      </c>
      <c r="J491">
        <v>9</v>
      </c>
      <c r="K491">
        <v>6</v>
      </c>
      <c r="L491">
        <v>6</v>
      </c>
      <c r="M491">
        <v>0</v>
      </c>
    </row>
    <row r="492" spans="1:13" x14ac:dyDescent="0.35">
      <c r="A492">
        <v>15</v>
      </c>
      <c r="B492" t="s">
        <v>13</v>
      </c>
      <c r="C492">
        <v>1.3</v>
      </c>
      <c r="D492" t="s">
        <v>17</v>
      </c>
      <c r="E492">
        <v>7.5</v>
      </c>
      <c r="F492">
        <v>1.3</v>
      </c>
      <c r="G492">
        <v>2.99</v>
      </c>
      <c r="H492">
        <v>1.4</v>
      </c>
      <c r="I492" t="s">
        <v>15</v>
      </c>
      <c r="J492">
        <v>1</v>
      </c>
      <c r="K492">
        <v>5</v>
      </c>
      <c r="L492">
        <v>2</v>
      </c>
      <c r="M492">
        <v>0</v>
      </c>
    </row>
    <row r="493" spans="1:13" x14ac:dyDescent="0.35">
      <c r="A493">
        <v>18</v>
      </c>
      <c r="B493" t="s">
        <v>16</v>
      </c>
      <c r="C493">
        <v>5.7</v>
      </c>
      <c r="D493" t="s">
        <v>17</v>
      </c>
      <c r="E493">
        <v>6.2</v>
      </c>
      <c r="F493">
        <v>0.5</v>
      </c>
      <c r="G493">
        <v>3.98</v>
      </c>
      <c r="H493">
        <v>1.7</v>
      </c>
      <c r="I493" t="s">
        <v>19</v>
      </c>
      <c r="J493">
        <v>7</v>
      </c>
      <c r="K493">
        <v>6</v>
      </c>
      <c r="L493">
        <v>3</v>
      </c>
      <c r="M493">
        <v>0</v>
      </c>
    </row>
    <row r="494" spans="1:13" x14ac:dyDescent="0.35">
      <c r="A494">
        <v>13</v>
      </c>
      <c r="B494" t="s">
        <v>13</v>
      </c>
      <c r="C494">
        <v>4</v>
      </c>
      <c r="D494" t="s">
        <v>17</v>
      </c>
      <c r="E494">
        <v>5</v>
      </c>
      <c r="F494">
        <v>2.9</v>
      </c>
      <c r="G494">
        <v>3.84</v>
      </c>
      <c r="H494">
        <v>0.1</v>
      </c>
      <c r="I494" t="s">
        <v>15</v>
      </c>
      <c r="J494">
        <v>7</v>
      </c>
      <c r="K494">
        <v>8</v>
      </c>
      <c r="L494">
        <v>10</v>
      </c>
      <c r="M494">
        <v>0</v>
      </c>
    </row>
    <row r="495" spans="1:13" x14ac:dyDescent="0.35">
      <c r="A495">
        <v>16</v>
      </c>
      <c r="B495" t="s">
        <v>16</v>
      </c>
      <c r="C495">
        <v>4.8</v>
      </c>
      <c r="D495" t="s">
        <v>14</v>
      </c>
      <c r="E495">
        <v>6.7</v>
      </c>
      <c r="F495">
        <v>1.4</v>
      </c>
      <c r="G495">
        <v>2.44</v>
      </c>
      <c r="H495">
        <v>0.3</v>
      </c>
      <c r="I495" t="s">
        <v>15</v>
      </c>
      <c r="J495">
        <v>1</v>
      </c>
      <c r="K495">
        <v>3</v>
      </c>
      <c r="L495">
        <v>1</v>
      </c>
      <c r="M495">
        <v>0</v>
      </c>
    </row>
    <row r="496" spans="1:13" x14ac:dyDescent="0.35">
      <c r="A496">
        <v>19</v>
      </c>
      <c r="B496" t="s">
        <v>13</v>
      </c>
      <c r="C496">
        <v>5.8</v>
      </c>
      <c r="D496" t="s">
        <v>20</v>
      </c>
      <c r="E496">
        <v>7.5</v>
      </c>
      <c r="F496">
        <v>1.9</v>
      </c>
      <c r="G496">
        <v>2.08</v>
      </c>
      <c r="H496">
        <v>0.1</v>
      </c>
      <c r="I496" t="s">
        <v>18</v>
      </c>
      <c r="J496">
        <v>2</v>
      </c>
      <c r="K496">
        <v>1</v>
      </c>
      <c r="L496">
        <v>3</v>
      </c>
      <c r="M496">
        <v>0</v>
      </c>
    </row>
    <row r="497" spans="1:13" x14ac:dyDescent="0.35">
      <c r="A497">
        <v>16</v>
      </c>
      <c r="B497" t="s">
        <v>13</v>
      </c>
      <c r="C497">
        <v>5.8</v>
      </c>
      <c r="D497" t="s">
        <v>20</v>
      </c>
      <c r="E497">
        <v>8.9</v>
      </c>
      <c r="F497">
        <v>1.1000000000000001</v>
      </c>
      <c r="G497">
        <v>2.08</v>
      </c>
      <c r="H497">
        <v>1.9</v>
      </c>
      <c r="I497" t="s">
        <v>19</v>
      </c>
      <c r="J497">
        <v>8</v>
      </c>
      <c r="K497">
        <v>5</v>
      </c>
      <c r="L497">
        <v>9</v>
      </c>
      <c r="M497">
        <v>0</v>
      </c>
    </row>
    <row r="498" spans="1:13" x14ac:dyDescent="0.35">
      <c r="A498">
        <v>13</v>
      </c>
      <c r="B498" t="s">
        <v>13</v>
      </c>
      <c r="C498">
        <v>3.2</v>
      </c>
      <c r="D498" t="s">
        <v>17</v>
      </c>
      <c r="E498">
        <v>5.0999999999999996</v>
      </c>
      <c r="F498">
        <v>1.6</v>
      </c>
      <c r="G498">
        <v>2.87</v>
      </c>
      <c r="H498">
        <v>1.8</v>
      </c>
      <c r="I498" t="s">
        <v>19</v>
      </c>
      <c r="J498">
        <v>4</v>
      </c>
      <c r="K498">
        <v>9</v>
      </c>
      <c r="L498">
        <v>8</v>
      </c>
      <c r="M498">
        <v>0</v>
      </c>
    </row>
    <row r="499" spans="1:13" x14ac:dyDescent="0.35">
      <c r="A499">
        <v>16</v>
      </c>
      <c r="B499" t="s">
        <v>16</v>
      </c>
      <c r="C499">
        <v>5.2</v>
      </c>
      <c r="D499" t="s">
        <v>20</v>
      </c>
      <c r="E499">
        <v>4</v>
      </c>
      <c r="F499">
        <v>2.4</v>
      </c>
      <c r="G499">
        <v>2.35</v>
      </c>
      <c r="H499">
        <v>1.6</v>
      </c>
      <c r="I499" t="s">
        <v>15</v>
      </c>
      <c r="J499">
        <v>10</v>
      </c>
      <c r="K499">
        <v>5</v>
      </c>
      <c r="L499">
        <v>2</v>
      </c>
      <c r="M499">
        <v>0</v>
      </c>
    </row>
    <row r="500" spans="1:13" x14ac:dyDescent="0.35">
      <c r="A500">
        <v>17</v>
      </c>
      <c r="B500" t="s">
        <v>13</v>
      </c>
      <c r="C500">
        <v>2.4</v>
      </c>
      <c r="D500" t="s">
        <v>17</v>
      </c>
      <c r="E500">
        <v>6</v>
      </c>
      <c r="F500">
        <v>0.7</v>
      </c>
      <c r="G500">
        <v>3.67</v>
      </c>
      <c r="H500">
        <v>1.5</v>
      </c>
      <c r="I500" t="s">
        <v>15</v>
      </c>
      <c r="J500">
        <v>7</v>
      </c>
      <c r="K500">
        <v>9</v>
      </c>
      <c r="L500">
        <v>2</v>
      </c>
      <c r="M500">
        <v>0</v>
      </c>
    </row>
    <row r="501" spans="1:13" x14ac:dyDescent="0.35">
      <c r="A501">
        <v>15</v>
      </c>
      <c r="B501" t="s">
        <v>13</v>
      </c>
      <c r="C501">
        <v>7.4</v>
      </c>
      <c r="D501" t="s">
        <v>20</v>
      </c>
      <c r="E501">
        <v>5.9</v>
      </c>
      <c r="F501">
        <v>2.6</v>
      </c>
      <c r="G501">
        <v>2.89</v>
      </c>
      <c r="H501">
        <v>1.9</v>
      </c>
      <c r="I501" t="s">
        <v>19</v>
      </c>
      <c r="J501">
        <v>7</v>
      </c>
      <c r="K501">
        <v>3</v>
      </c>
      <c r="L501">
        <v>8</v>
      </c>
      <c r="M501">
        <v>0</v>
      </c>
    </row>
    <row r="502" spans="1:13" x14ac:dyDescent="0.35">
      <c r="A502">
        <v>18</v>
      </c>
      <c r="B502" t="s">
        <v>16</v>
      </c>
      <c r="C502">
        <v>7.1</v>
      </c>
      <c r="D502" t="s">
        <v>14</v>
      </c>
      <c r="E502">
        <v>4.8</v>
      </c>
      <c r="F502">
        <v>2.1</v>
      </c>
      <c r="G502">
        <v>2.5099999999999998</v>
      </c>
      <c r="H502">
        <v>0.9</v>
      </c>
      <c r="I502" t="s">
        <v>18</v>
      </c>
      <c r="J502">
        <v>1</v>
      </c>
      <c r="K502">
        <v>1</v>
      </c>
      <c r="L502">
        <v>10</v>
      </c>
      <c r="M502">
        <v>0</v>
      </c>
    </row>
    <row r="503" spans="1:13" x14ac:dyDescent="0.35">
      <c r="A503">
        <v>16</v>
      </c>
      <c r="B503" t="s">
        <v>13</v>
      </c>
      <c r="C503">
        <v>6.5</v>
      </c>
      <c r="D503" t="s">
        <v>17</v>
      </c>
      <c r="E503">
        <v>7.4</v>
      </c>
      <c r="F503">
        <v>1.9</v>
      </c>
      <c r="G503">
        <v>2.2200000000000002</v>
      </c>
      <c r="H503">
        <v>1.1000000000000001</v>
      </c>
      <c r="I503" t="s">
        <v>19</v>
      </c>
      <c r="J503">
        <v>10</v>
      </c>
      <c r="K503">
        <v>10</v>
      </c>
      <c r="L503">
        <v>2</v>
      </c>
      <c r="M503">
        <v>0</v>
      </c>
    </row>
    <row r="504" spans="1:13" x14ac:dyDescent="0.35">
      <c r="A504">
        <v>13</v>
      </c>
      <c r="B504" t="s">
        <v>13</v>
      </c>
      <c r="C504">
        <v>7.4</v>
      </c>
      <c r="D504" t="s">
        <v>20</v>
      </c>
      <c r="E504">
        <v>7</v>
      </c>
      <c r="F504">
        <v>1.8</v>
      </c>
      <c r="G504">
        <v>2.17</v>
      </c>
      <c r="H504">
        <v>1.4</v>
      </c>
      <c r="I504" t="s">
        <v>19</v>
      </c>
      <c r="J504">
        <v>9</v>
      </c>
      <c r="K504">
        <v>10</v>
      </c>
      <c r="L504">
        <v>5</v>
      </c>
      <c r="M504">
        <v>0</v>
      </c>
    </row>
    <row r="505" spans="1:13" x14ac:dyDescent="0.35">
      <c r="A505">
        <v>15</v>
      </c>
      <c r="B505" t="s">
        <v>16</v>
      </c>
      <c r="C505">
        <v>3.9</v>
      </c>
      <c r="D505" t="s">
        <v>14</v>
      </c>
      <c r="E505">
        <v>6.4</v>
      </c>
      <c r="F505">
        <v>1.7</v>
      </c>
      <c r="G505">
        <v>2.87</v>
      </c>
      <c r="H505">
        <v>1.8</v>
      </c>
      <c r="I505" t="s">
        <v>18</v>
      </c>
      <c r="J505">
        <v>6</v>
      </c>
      <c r="K505">
        <v>6</v>
      </c>
      <c r="L505">
        <v>6</v>
      </c>
      <c r="M505">
        <v>0</v>
      </c>
    </row>
    <row r="506" spans="1:13" x14ac:dyDescent="0.35">
      <c r="A506">
        <v>15</v>
      </c>
      <c r="B506" t="s">
        <v>16</v>
      </c>
      <c r="C506">
        <v>4.5999999999999996</v>
      </c>
      <c r="D506" t="s">
        <v>20</v>
      </c>
      <c r="E506">
        <v>8.6</v>
      </c>
      <c r="F506">
        <v>2</v>
      </c>
      <c r="G506">
        <v>3.01</v>
      </c>
      <c r="H506">
        <v>0</v>
      </c>
      <c r="I506" t="s">
        <v>15</v>
      </c>
      <c r="J506">
        <v>1</v>
      </c>
      <c r="K506">
        <v>8</v>
      </c>
      <c r="L506">
        <v>3</v>
      </c>
      <c r="M506">
        <v>0</v>
      </c>
    </row>
    <row r="507" spans="1:13" x14ac:dyDescent="0.35">
      <c r="A507">
        <v>19</v>
      </c>
      <c r="B507" t="s">
        <v>13</v>
      </c>
      <c r="C507">
        <v>1.5</v>
      </c>
      <c r="D507" t="s">
        <v>17</v>
      </c>
      <c r="E507">
        <v>6.7</v>
      </c>
      <c r="F507">
        <v>1</v>
      </c>
      <c r="G507">
        <v>3.9</v>
      </c>
      <c r="H507">
        <v>0.4</v>
      </c>
      <c r="I507" t="s">
        <v>15</v>
      </c>
      <c r="J507">
        <v>4</v>
      </c>
      <c r="K507">
        <v>3</v>
      </c>
      <c r="L507">
        <v>3</v>
      </c>
      <c r="M507">
        <v>0</v>
      </c>
    </row>
    <row r="508" spans="1:13" x14ac:dyDescent="0.35">
      <c r="A508">
        <v>15</v>
      </c>
      <c r="B508" t="s">
        <v>16</v>
      </c>
      <c r="C508">
        <v>5.8</v>
      </c>
      <c r="D508" t="s">
        <v>14</v>
      </c>
      <c r="E508">
        <v>7.1</v>
      </c>
      <c r="F508">
        <v>1.1000000000000001</v>
      </c>
      <c r="G508">
        <v>3.72</v>
      </c>
      <c r="H508">
        <v>1.5</v>
      </c>
      <c r="I508" t="s">
        <v>15</v>
      </c>
      <c r="J508">
        <v>9</v>
      </c>
      <c r="K508">
        <v>6</v>
      </c>
      <c r="L508">
        <v>6</v>
      </c>
      <c r="M508">
        <v>0</v>
      </c>
    </row>
    <row r="509" spans="1:13" x14ac:dyDescent="0.35">
      <c r="A509">
        <v>17</v>
      </c>
      <c r="B509" t="s">
        <v>16</v>
      </c>
      <c r="C509">
        <v>6.4</v>
      </c>
      <c r="D509" t="s">
        <v>17</v>
      </c>
      <c r="E509">
        <v>4.9000000000000004</v>
      </c>
      <c r="F509">
        <v>2.1</v>
      </c>
      <c r="G509">
        <v>2.78</v>
      </c>
      <c r="H509">
        <v>1</v>
      </c>
      <c r="I509" t="s">
        <v>18</v>
      </c>
      <c r="J509">
        <v>2</v>
      </c>
      <c r="K509">
        <v>2</v>
      </c>
      <c r="L509">
        <v>6</v>
      </c>
      <c r="M509">
        <v>0</v>
      </c>
    </row>
    <row r="510" spans="1:13" x14ac:dyDescent="0.35">
      <c r="A510">
        <v>16</v>
      </c>
      <c r="B510" t="s">
        <v>16</v>
      </c>
      <c r="C510">
        <v>2.1</v>
      </c>
      <c r="D510" t="s">
        <v>17</v>
      </c>
      <c r="E510">
        <v>8.1999999999999993</v>
      </c>
      <c r="F510">
        <v>2.4</v>
      </c>
      <c r="G510">
        <v>3.25</v>
      </c>
      <c r="H510">
        <v>0.1</v>
      </c>
      <c r="I510" t="s">
        <v>18</v>
      </c>
      <c r="J510">
        <v>1</v>
      </c>
      <c r="K510">
        <v>1</v>
      </c>
      <c r="L510">
        <v>8</v>
      </c>
      <c r="M510">
        <v>0</v>
      </c>
    </row>
    <row r="511" spans="1:13" x14ac:dyDescent="0.35">
      <c r="A511">
        <v>17</v>
      </c>
      <c r="B511" t="s">
        <v>16</v>
      </c>
      <c r="C511">
        <v>2.2000000000000002</v>
      </c>
      <c r="D511" t="s">
        <v>17</v>
      </c>
      <c r="E511">
        <v>6.5</v>
      </c>
      <c r="F511">
        <v>3</v>
      </c>
      <c r="G511">
        <v>2.4900000000000002</v>
      </c>
      <c r="H511">
        <v>0.2</v>
      </c>
      <c r="I511" t="s">
        <v>19</v>
      </c>
      <c r="J511">
        <v>5</v>
      </c>
      <c r="K511">
        <v>8</v>
      </c>
      <c r="L511">
        <v>4</v>
      </c>
      <c r="M511">
        <v>0</v>
      </c>
    </row>
    <row r="512" spans="1:13" x14ac:dyDescent="0.35">
      <c r="A512">
        <v>14</v>
      </c>
      <c r="B512" t="s">
        <v>13</v>
      </c>
      <c r="C512">
        <v>5.5</v>
      </c>
      <c r="D512" t="s">
        <v>17</v>
      </c>
      <c r="E512">
        <v>7.4</v>
      </c>
      <c r="F512">
        <v>2.9</v>
      </c>
      <c r="G512">
        <v>3.54</v>
      </c>
      <c r="H512">
        <v>1.1000000000000001</v>
      </c>
      <c r="I512" t="s">
        <v>18</v>
      </c>
      <c r="J512">
        <v>8</v>
      </c>
      <c r="K512">
        <v>4</v>
      </c>
      <c r="L512">
        <v>10</v>
      </c>
      <c r="M512">
        <v>0</v>
      </c>
    </row>
    <row r="513" spans="1:13" x14ac:dyDescent="0.35">
      <c r="A513">
        <v>17</v>
      </c>
      <c r="B513" t="s">
        <v>16</v>
      </c>
      <c r="C513">
        <v>6.6</v>
      </c>
      <c r="D513" t="s">
        <v>20</v>
      </c>
      <c r="E513">
        <v>7.4</v>
      </c>
      <c r="F513">
        <v>2.2000000000000002</v>
      </c>
      <c r="G513">
        <v>2.63</v>
      </c>
      <c r="H513">
        <v>0.6</v>
      </c>
      <c r="I513" t="s">
        <v>18</v>
      </c>
      <c r="J513">
        <v>7</v>
      </c>
      <c r="K513">
        <v>4</v>
      </c>
      <c r="L513">
        <v>9</v>
      </c>
      <c r="M513">
        <v>0</v>
      </c>
    </row>
    <row r="514" spans="1:13" x14ac:dyDescent="0.35">
      <c r="A514">
        <v>19</v>
      </c>
      <c r="B514" t="s">
        <v>16</v>
      </c>
      <c r="C514">
        <v>5.2</v>
      </c>
      <c r="D514" t="s">
        <v>14</v>
      </c>
      <c r="E514">
        <v>6.6</v>
      </c>
      <c r="F514">
        <v>1.6</v>
      </c>
      <c r="G514">
        <v>2.36</v>
      </c>
      <c r="H514">
        <v>1.4</v>
      </c>
      <c r="I514" t="s">
        <v>15</v>
      </c>
      <c r="J514">
        <v>2</v>
      </c>
      <c r="K514">
        <v>6</v>
      </c>
      <c r="L514">
        <v>10</v>
      </c>
      <c r="M514">
        <v>0</v>
      </c>
    </row>
    <row r="515" spans="1:13" x14ac:dyDescent="0.35">
      <c r="A515">
        <v>17</v>
      </c>
      <c r="B515" t="s">
        <v>13</v>
      </c>
      <c r="C515">
        <v>4.7</v>
      </c>
      <c r="D515" t="s">
        <v>17</v>
      </c>
      <c r="E515">
        <v>5.0999999999999996</v>
      </c>
      <c r="F515">
        <v>2</v>
      </c>
      <c r="G515">
        <v>2.35</v>
      </c>
      <c r="H515">
        <v>1.8</v>
      </c>
      <c r="I515" t="s">
        <v>15</v>
      </c>
      <c r="J515">
        <v>8</v>
      </c>
      <c r="K515">
        <v>9</v>
      </c>
      <c r="L515">
        <v>1</v>
      </c>
      <c r="M515">
        <v>0</v>
      </c>
    </row>
    <row r="516" spans="1:13" x14ac:dyDescent="0.35">
      <c r="A516">
        <v>19</v>
      </c>
      <c r="B516" t="s">
        <v>16</v>
      </c>
      <c r="C516">
        <v>7.1</v>
      </c>
      <c r="D516" t="s">
        <v>20</v>
      </c>
      <c r="E516">
        <v>6.3</v>
      </c>
      <c r="F516">
        <v>2.2000000000000002</v>
      </c>
      <c r="G516">
        <v>3.88</v>
      </c>
      <c r="H516">
        <v>0.8</v>
      </c>
      <c r="I516" t="s">
        <v>18</v>
      </c>
      <c r="J516">
        <v>10</v>
      </c>
      <c r="K516">
        <v>4</v>
      </c>
      <c r="L516">
        <v>9</v>
      </c>
      <c r="M516">
        <v>0</v>
      </c>
    </row>
    <row r="517" spans="1:13" x14ac:dyDescent="0.35">
      <c r="A517">
        <v>19</v>
      </c>
      <c r="B517" t="s">
        <v>16</v>
      </c>
      <c r="C517">
        <v>4.2</v>
      </c>
      <c r="D517" t="s">
        <v>20</v>
      </c>
      <c r="E517">
        <v>8.1</v>
      </c>
      <c r="F517">
        <v>1.4</v>
      </c>
      <c r="G517">
        <v>2.66</v>
      </c>
      <c r="H517">
        <v>1.9</v>
      </c>
      <c r="I517" t="s">
        <v>15</v>
      </c>
      <c r="J517">
        <v>9</v>
      </c>
      <c r="K517">
        <v>4</v>
      </c>
      <c r="L517">
        <v>2</v>
      </c>
      <c r="M517">
        <v>0</v>
      </c>
    </row>
    <row r="518" spans="1:13" x14ac:dyDescent="0.35">
      <c r="A518">
        <v>17</v>
      </c>
      <c r="B518" t="s">
        <v>16</v>
      </c>
      <c r="C518">
        <v>1.3</v>
      </c>
      <c r="D518" t="s">
        <v>14</v>
      </c>
      <c r="E518">
        <v>5.0999999999999996</v>
      </c>
      <c r="F518">
        <v>2.2000000000000002</v>
      </c>
      <c r="G518">
        <v>3.44</v>
      </c>
      <c r="H518">
        <v>0.6</v>
      </c>
      <c r="I518" t="s">
        <v>18</v>
      </c>
      <c r="J518">
        <v>7</v>
      </c>
      <c r="K518">
        <v>8</v>
      </c>
      <c r="L518">
        <v>6</v>
      </c>
      <c r="M518">
        <v>0</v>
      </c>
    </row>
    <row r="519" spans="1:13" x14ac:dyDescent="0.35">
      <c r="A519">
        <v>18</v>
      </c>
      <c r="B519" t="s">
        <v>13</v>
      </c>
      <c r="C519">
        <v>2.6</v>
      </c>
      <c r="D519" t="s">
        <v>20</v>
      </c>
      <c r="E519">
        <v>7.8</v>
      </c>
      <c r="F519">
        <v>1.9</v>
      </c>
      <c r="G519">
        <v>3.15</v>
      </c>
      <c r="H519">
        <v>0.4</v>
      </c>
      <c r="I519" t="s">
        <v>19</v>
      </c>
      <c r="J519">
        <v>8</v>
      </c>
      <c r="K519">
        <v>3</v>
      </c>
      <c r="L519">
        <v>2</v>
      </c>
      <c r="M519">
        <v>0</v>
      </c>
    </row>
    <row r="520" spans="1:13" x14ac:dyDescent="0.35">
      <c r="A520">
        <v>15</v>
      </c>
      <c r="B520" t="s">
        <v>13</v>
      </c>
      <c r="C520">
        <v>6.2</v>
      </c>
      <c r="D520" t="s">
        <v>14</v>
      </c>
      <c r="E520">
        <v>8.1</v>
      </c>
      <c r="F520">
        <v>2.2999999999999998</v>
      </c>
      <c r="G520">
        <v>3.46</v>
      </c>
      <c r="H520">
        <v>1.3</v>
      </c>
      <c r="I520" t="s">
        <v>15</v>
      </c>
      <c r="J520">
        <v>5</v>
      </c>
      <c r="K520">
        <v>4</v>
      </c>
      <c r="L520">
        <v>9</v>
      </c>
      <c r="M520">
        <v>0</v>
      </c>
    </row>
    <row r="521" spans="1:13" x14ac:dyDescent="0.35">
      <c r="A521">
        <v>14</v>
      </c>
      <c r="B521" t="s">
        <v>16</v>
      </c>
      <c r="C521">
        <v>6.2</v>
      </c>
      <c r="D521" t="s">
        <v>17</v>
      </c>
      <c r="E521">
        <v>5.0999999999999996</v>
      </c>
      <c r="F521">
        <v>1.5</v>
      </c>
      <c r="G521">
        <v>3.85</v>
      </c>
      <c r="H521">
        <v>0.2</v>
      </c>
      <c r="I521" t="s">
        <v>18</v>
      </c>
      <c r="J521">
        <v>3</v>
      </c>
      <c r="K521">
        <v>4</v>
      </c>
      <c r="L521">
        <v>10</v>
      </c>
      <c r="M521">
        <v>0</v>
      </c>
    </row>
    <row r="522" spans="1:13" x14ac:dyDescent="0.35">
      <c r="A522">
        <v>18</v>
      </c>
      <c r="B522" t="s">
        <v>13</v>
      </c>
      <c r="C522">
        <v>4.8</v>
      </c>
      <c r="D522" t="s">
        <v>17</v>
      </c>
      <c r="E522">
        <v>8.5</v>
      </c>
      <c r="F522">
        <v>2.8</v>
      </c>
      <c r="G522">
        <v>3.77</v>
      </c>
      <c r="H522">
        <v>1.3</v>
      </c>
      <c r="I522" t="s">
        <v>15</v>
      </c>
      <c r="J522">
        <v>5</v>
      </c>
      <c r="K522">
        <v>4</v>
      </c>
      <c r="L522">
        <v>3</v>
      </c>
      <c r="M522">
        <v>0</v>
      </c>
    </row>
    <row r="523" spans="1:13" x14ac:dyDescent="0.35">
      <c r="A523">
        <v>18</v>
      </c>
      <c r="B523" t="s">
        <v>16</v>
      </c>
      <c r="C523">
        <v>3</v>
      </c>
      <c r="D523" t="s">
        <v>20</v>
      </c>
      <c r="E523">
        <v>4.5999999999999996</v>
      </c>
      <c r="F523">
        <v>2</v>
      </c>
      <c r="G523">
        <v>2.2400000000000002</v>
      </c>
      <c r="H523">
        <v>1.5</v>
      </c>
      <c r="I523" t="s">
        <v>19</v>
      </c>
      <c r="J523">
        <v>10</v>
      </c>
      <c r="K523">
        <v>2</v>
      </c>
      <c r="L523">
        <v>5</v>
      </c>
      <c r="M523">
        <v>0</v>
      </c>
    </row>
    <row r="524" spans="1:13" x14ac:dyDescent="0.35">
      <c r="A524">
        <v>16</v>
      </c>
      <c r="B524" t="s">
        <v>13</v>
      </c>
      <c r="C524">
        <v>4.7</v>
      </c>
      <c r="D524" t="s">
        <v>14</v>
      </c>
      <c r="E524">
        <v>8.1999999999999993</v>
      </c>
      <c r="F524">
        <v>2.7</v>
      </c>
      <c r="G524">
        <v>3.04</v>
      </c>
      <c r="H524">
        <v>0.3</v>
      </c>
      <c r="I524" t="s">
        <v>18</v>
      </c>
      <c r="J524">
        <v>1</v>
      </c>
      <c r="K524">
        <v>3</v>
      </c>
      <c r="L524">
        <v>4</v>
      </c>
      <c r="M524">
        <v>0</v>
      </c>
    </row>
    <row r="525" spans="1:13" x14ac:dyDescent="0.35">
      <c r="A525">
        <v>18</v>
      </c>
      <c r="B525" t="s">
        <v>16</v>
      </c>
      <c r="C525">
        <v>4.4000000000000004</v>
      </c>
      <c r="D525" t="s">
        <v>20</v>
      </c>
      <c r="E525">
        <v>5.0999999999999996</v>
      </c>
      <c r="F525">
        <v>1.4</v>
      </c>
      <c r="G525">
        <v>2.33</v>
      </c>
      <c r="H525">
        <v>0.6</v>
      </c>
      <c r="I525" t="s">
        <v>15</v>
      </c>
      <c r="J525">
        <v>2</v>
      </c>
      <c r="K525">
        <v>7</v>
      </c>
      <c r="L525">
        <v>4</v>
      </c>
      <c r="M525">
        <v>0</v>
      </c>
    </row>
    <row r="526" spans="1:13" x14ac:dyDescent="0.35">
      <c r="A526">
        <v>14</v>
      </c>
      <c r="B526" t="s">
        <v>16</v>
      </c>
      <c r="C526">
        <v>2.2999999999999998</v>
      </c>
      <c r="D526" t="s">
        <v>17</v>
      </c>
      <c r="E526">
        <v>7.3</v>
      </c>
      <c r="F526">
        <v>2.2999999999999998</v>
      </c>
      <c r="G526">
        <v>2.8</v>
      </c>
      <c r="H526">
        <v>1.5</v>
      </c>
      <c r="I526" t="s">
        <v>19</v>
      </c>
      <c r="J526">
        <v>4</v>
      </c>
      <c r="K526">
        <v>6</v>
      </c>
      <c r="L526">
        <v>5</v>
      </c>
      <c r="M526">
        <v>0</v>
      </c>
    </row>
    <row r="527" spans="1:13" x14ac:dyDescent="0.35">
      <c r="A527">
        <v>14</v>
      </c>
      <c r="B527" t="s">
        <v>16</v>
      </c>
      <c r="C527">
        <v>3.1</v>
      </c>
      <c r="D527" t="s">
        <v>14</v>
      </c>
      <c r="E527">
        <v>6.9</v>
      </c>
      <c r="F527">
        <v>1.9</v>
      </c>
      <c r="G527">
        <v>2.2000000000000002</v>
      </c>
      <c r="H527">
        <v>1.2</v>
      </c>
      <c r="I527" t="s">
        <v>19</v>
      </c>
      <c r="J527">
        <v>3</v>
      </c>
      <c r="K527">
        <v>4</v>
      </c>
      <c r="L527">
        <v>2</v>
      </c>
      <c r="M527">
        <v>0</v>
      </c>
    </row>
    <row r="528" spans="1:13" x14ac:dyDescent="0.35">
      <c r="A528">
        <v>18</v>
      </c>
      <c r="B528" t="s">
        <v>13</v>
      </c>
      <c r="C528">
        <v>2.9</v>
      </c>
      <c r="D528" t="s">
        <v>17</v>
      </c>
      <c r="E528">
        <v>7.5</v>
      </c>
      <c r="F528">
        <v>0.6</v>
      </c>
      <c r="G528">
        <v>2.25</v>
      </c>
      <c r="H528">
        <v>1</v>
      </c>
      <c r="I528" t="s">
        <v>18</v>
      </c>
      <c r="J528">
        <v>4</v>
      </c>
      <c r="K528">
        <v>7</v>
      </c>
      <c r="L528">
        <v>4</v>
      </c>
      <c r="M528">
        <v>0</v>
      </c>
    </row>
    <row r="529" spans="1:13" x14ac:dyDescent="0.35">
      <c r="A529">
        <v>13</v>
      </c>
      <c r="B529" t="s">
        <v>13</v>
      </c>
      <c r="C529">
        <v>1.8</v>
      </c>
      <c r="D529" t="s">
        <v>14</v>
      </c>
      <c r="E529">
        <v>4.4000000000000004</v>
      </c>
      <c r="F529">
        <v>0.6</v>
      </c>
      <c r="G529">
        <v>3.48</v>
      </c>
      <c r="H529">
        <v>1.7</v>
      </c>
      <c r="I529" t="s">
        <v>19</v>
      </c>
      <c r="J529">
        <v>3</v>
      </c>
      <c r="K529">
        <v>1</v>
      </c>
      <c r="L529">
        <v>10</v>
      </c>
      <c r="M529">
        <v>0</v>
      </c>
    </row>
    <row r="530" spans="1:13" x14ac:dyDescent="0.35">
      <c r="A530">
        <v>15</v>
      </c>
      <c r="B530" t="s">
        <v>16</v>
      </c>
      <c r="C530">
        <v>2</v>
      </c>
      <c r="D530" t="s">
        <v>14</v>
      </c>
      <c r="E530">
        <v>4.7</v>
      </c>
      <c r="F530">
        <v>1.3</v>
      </c>
      <c r="G530">
        <v>3.55</v>
      </c>
      <c r="H530">
        <v>1.3</v>
      </c>
      <c r="I530" t="s">
        <v>15</v>
      </c>
      <c r="J530">
        <v>2</v>
      </c>
      <c r="K530">
        <v>6</v>
      </c>
      <c r="L530">
        <v>5</v>
      </c>
      <c r="M530">
        <v>0</v>
      </c>
    </row>
    <row r="531" spans="1:13" x14ac:dyDescent="0.35">
      <c r="A531">
        <v>13</v>
      </c>
      <c r="B531" t="s">
        <v>16</v>
      </c>
      <c r="C531">
        <v>4.2</v>
      </c>
      <c r="D531" t="s">
        <v>14</v>
      </c>
      <c r="E531">
        <v>7.9</v>
      </c>
      <c r="F531">
        <v>2.7</v>
      </c>
      <c r="G531">
        <v>3.76</v>
      </c>
      <c r="H531">
        <v>0.1</v>
      </c>
      <c r="I531" t="s">
        <v>19</v>
      </c>
      <c r="J531">
        <v>10</v>
      </c>
      <c r="K531">
        <v>7</v>
      </c>
      <c r="L531">
        <v>2</v>
      </c>
      <c r="M531">
        <v>0</v>
      </c>
    </row>
    <row r="532" spans="1:13" x14ac:dyDescent="0.35">
      <c r="A532">
        <v>17</v>
      </c>
      <c r="B532" t="s">
        <v>16</v>
      </c>
      <c r="C532">
        <v>6.7</v>
      </c>
      <c r="D532" t="s">
        <v>20</v>
      </c>
      <c r="E532">
        <v>7.9</v>
      </c>
      <c r="F532">
        <v>1.4</v>
      </c>
      <c r="G532">
        <v>3.91</v>
      </c>
      <c r="H532">
        <v>0.4</v>
      </c>
      <c r="I532" t="s">
        <v>18</v>
      </c>
      <c r="J532">
        <v>3</v>
      </c>
      <c r="K532">
        <v>3</v>
      </c>
      <c r="L532">
        <v>1</v>
      </c>
      <c r="M532">
        <v>0</v>
      </c>
    </row>
    <row r="533" spans="1:13" x14ac:dyDescent="0.35">
      <c r="A533">
        <v>17</v>
      </c>
      <c r="B533" t="s">
        <v>16</v>
      </c>
      <c r="C533">
        <v>2.2000000000000002</v>
      </c>
      <c r="D533" t="s">
        <v>20</v>
      </c>
      <c r="E533">
        <v>7.2</v>
      </c>
      <c r="F533">
        <v>0.5</v>
      </c>
      <c r="G533">
        <v>2.38</v>
      </c>
      <c r="H533">
        <v>1.2</v>
      </c>
      <c r="I533" t="s">
        <v>19</v>
      </c>
      <c r="J533">
        <v>10</v>
      </c>
      <c r="K533">
        <v>4</v>
      </c>
      <c r="L533">
        <v>8</v>
      </c>
      <c r="M533">
        <v>0</v>
      </c>
    </row>
    <row r="534" spans="1:13" x14ac:dyDescent="0.35">
      <c r="A534">
        <v>17</v>
      </c>
      <c r="B534" t="s">
        <v>16</v>
      </c>
      <c r="C534">
        <v>1.1000000000000001</v>
      </c>
      <c r="D534" t="s">
        <v>17</v>
      </c>
      <c r="E534">
        <v>6.8</v>
      </c>
      <c r="F534">
        <v>0.6</v>
      </c>
      <c r="G534">
        <v>2.2799999999999998</v>
      </c>
      <c r="H534">
        <v>1.6</v>
      </c>
      <c r="I534" t="s">
        <v>19</v>
      </c>
      <c r="J534">
        <v>9</v>
      </c>
      <c r="K534">
        <v>3</v>
      </c>
      <c r="L534">
        <v>7</v>
      </c>
      <c r="M534">
        <v>0</v>
      </c>
    </row>
    <row r="535" spans="1:13" x14ac:dyDescent="0.35">
      <c r="A535">
        <v>16</v>
      </c>
      <c r="B535" t="s">
        <v>16</v>
      </c>
      <c r="C535">
        <v>6.4</v>
      </c>
      <c r="D535" t="s">
        <v>17</v>
      </c>
      <c r="E535">
        <v>5.9</v>
      </c>
      <c r="F535">
        <v>2.8</v>
      </c>
      <c r="G535">
        <v>3.81</v>
      </c>
      <c r="H535">
        <v>1.3</v>
      </c>
      <c r="I535" t="s">
        <v>18</v>
      </c>
      <c r="J535">
        <v>1</v>
      </c>
      <c r="K535">
        <v>3</v>
      </c>
      <c r="L535">
        <v>7</v>
      </c>
      <c r="M535">
        <v>0</v>
      </c>
    </row>
    <row r="536" spans="1:13" x14ac:dyDescent="0.35">
      <c r="A536">
        <v>19</v>
      </c>
      <c r="B536" t="s">
        <v>16</v>
      </c>
      <c r="C536">
        <v>2.8</v>
      </c>
      <c r="D536" t="s">
        <v>14</v>
      </c>
      <c r="E536">
        <v>5.9</v>
      </c>
      <c r="F536">
        <v>1.5</v>
      </c>
      <c r="G536">
        <v>2.85</v>
      </c>
      <c r="H536">
        <v>0.6</v>
      </c>
      <c r="I536" t="s">
        <v>18</v>
      </c>
      <c r="J536">
        <v>10</v>
      </c>
      <c r="K536">
        <v>9</v>
      </c>
      <c r="L536">
        <v>4</v>
      </c>
      <c r="M536">
        <v>0</v>
      </c>
    </row>
    <row r="537" spans="1:13" x14ac:dyDescent="0.35">
      <c r="A537">
        <v>13</v>
      </c>
      <c r="B537" t="s">
        <v>13</v>
      </c>
      <c r="C537">
        <v>2.2000000000000002</v>
      </c>
      <c r="D537" t="s">
        <v>20</v>
      </c>
      <c r="E537">
        <v>5.8</v>
      </c>
      <c r="F537">
        <v>2</v>
      </c>
      <c r="G537">
        <v>3.63</v>
      </c>
      <c r="H537">
        <v>1.9</v>
      </c>
      <c r="I537" t="s">
        <v>15</v>
      </c>
      <c r="J537">
        <v>4</v>
      </c>
      <c r="K537">
        <v>4</v>
      </c>
      <c r="L537">
        <v>10</v>
      </c>
      <c r="M537">
        <v>0</v>
      </c>
    </row>
    <row r="538" spans="1:13" x14ac:dyDescent="0.35">
      <c r="A538">
        <v>19</v>
      </c>
      <c r="B538" t="s">
        <v>13</v>
      </c>
      <c r="C538">
        <v>5.7</v>
      </c>
      <c r="D538" t="s">
        <v>14</v>
      </c>
      <c r="E538">
        <v>4.8</v>
      </c>
      <c r="F538">
        <v>2.2000000000000002</v>
      </c>
      <c r="G538">
        <v>3.66</v>
      </c>
      <c r="H538">
        <v>0.9</v>
      </c>
      <c r="I538" t="s">
        <v>15</v>
      </c>
      <c r="J538">
        <v>3</v>
      </c>
      <c r="K538">
        <v>7</v>
      </c>
      <c r="L538">
        <v>5</v>
      </c>
      <c r="M538">
        <v>0</v>
      </c>
    </row>
    <row r="539" spans="1:13" x14ac:dyDescent="0.35">
      <c r="A539">
        <v>15</v>
      </c>
      <c r="B539" t="s">
        <v>13</v>
      </c>
      <c r="C539">
        <v>5.3</v>
      </c>
      <c r="D539" t="s">
        <v>20</v>
      </c>
      <c r="E539">
        <v>7.3</v>
      </c>
      <c r="F539">
        <v>1.9</v>
      </c>
      <c r="G539">
        <v>2.5099999999999998</v>
      </c>
      <c r="H539">
        <v>1.4</v>
      </c>
      <c r="I539" t="s">
        <v>18</v>
      </c>
      <c r="J539">
        <v>10</v>
      </c>
      <c r="K539">
        <v>4</v>
      </c>
      <c r="L539">
        <v>2</v>
      </c>
      <c r="M539">
        <v>0</v>
      </c>
    </row>
    <row r="540" spans="1:13" x14ac:dyDescent="0.35">
      <c r="A540">
        <v>14</v>
      </c>
      <c r="B540" t="s">
        <v>13</v>
      </c>
      <c r="C540">
        <v>3.1</v>
      </c>
      <c r="D540" t="s">
        <v>17</v>
      </c>
      <c r="E540">
        <v>8.8000000000000007</v>
      </c>
      <c r="F540">
        <v>1.5</v>
      </c>
      <c r="G540">
        <v>3.91</v>
      </c>
      <c r="H540">
        <v>0.6</v>
      </c>
      <c r="I540" t="s">
        <v>19</v>
      </c>
      <c r="J540">
        <v>4</v>
      </c>
      <c r="K540">
        <v>9</v>
      </c>
      <c r="L540">
        <v>6</v>
      </c>
      <c r="M540">
        <v>0</v>
      </c>
    </row>
    <row r="541" spans="1:13" x14ac:dyDescent="0.35">
      <c r="A541">
        <v>16</v>
      </c>
      <c r="B541" t="s">
        <v>13</v>
      </c>
      <c r="C541">
        <v>1.7</v>
      </c>
      <c r="D541" t="s">
        <v>17</v>
      </c>
      <c r="E541">
        <v>4.9000000000000004</v>
      </c>
      <c r="F541">
        <v>0.6</v>
      </c>
      <c r="G541">
        <v>3.38</v>
      </c>
      <c r="H541">
        <v>1.1000000000000001</v>
      </c>
      <c r="I541" t="s">
        <v>19</v>
      </c>
      <c r="J541">
        <v>10</v>
      </c>
      <c r="K541">
        <v>4</v>
      </c>
      <c r="L541">
        <v>6</v>
      </c>
      <c r="M541">
        <v>0</v>
      </c>
    </row>
    <row r="542" spans="1:13" x14ac:dyDescent="0.35">
      <c r="A542">
        <v>19</v>
      </c>
      <c r="B542" t="s">
        <v>16</v>
      </c>
      <c r="C542">
        <v>6.7</v>
      </c>
      <c r="D542" t="s">
        <v>14</v>
      </c>
      <c r="E542">
        <v>7.3</v>
      </c>
      <c r="F542">
        <v>2.8</v>
      </c>
      <c r="G542">
        <v>2.2599999999999998</v>
      </c>
      <c r="H542">
        <v>1.4</v>
      </c>
      <c r="I542" t="s">
        <v>18</v>
      </c>
      <c r="J542">
        <v>7</v>
      </c>
      <c r="K542">
        <v>6</v>
      </c>
      <c r="L542">
        <v>8</v>
      </c>
      <c r="M542">
        <v>0</v>
      </c>
    </row>
    <row r="543" spans="1:13" x14ac:dyDescent="0.35">
      <c r="A543">
        <v>13</v>
      </c>
      <c r="B543" t="s">
        <v>16</v>
      </c>
      <c r="C543">
        <v>7.8</v>
      </c>
      <c r="D543" t="s">
        <v>14</v>
      </c>
      <c r="E543">
        <v>7.4</v>
      </c>
      <c r="F543">
        <v>1.7</v>
      </c>
      <c r="G543">
        <v>2.76</v>
      </c>
      <c r="H543">
        <v>1.1000000000000001</v>
      </c>
      <c r="I543" t="s">
        <v>15</v>
      </c>
      <c r="J543">
        <v>10</v>
      </c>
      <c r="K543">
        <v>1</v>
      </c>
      <c r="L543">
        <v>4</v>
      </c>
      <c r="M543">
        <v>0</v>
      </c>
    </row>
    <row r="544" spans="1:13" x14ac:dyDescent="0.35">
      <c r="A544">
        <v>18</v>
      </c>
      <c r="B544" t="s">
        <v>16</v>
      </c>
      <c r="C544">
        <v>2.1</v>
      </c>
      <c r="D544" t="s">
        <v>20</v>
      </c>
      <c r="E544">
        <v>6.7</v>
      </c>
      <c r="F544">
        <v>0.9</v>
      </c>
      <c r="G544">
        <v>3.73</v>
      </c>
      <c r="H544">
        <v>0.7</v>
      </c>
      <c r="I544" t="s">
        <v>15</v>
      </c>
      <c r="J544">
        <v>3</v>
      </c>
      <c r="K544">
        <v>5</v>
      </c>
      <c r="L544">
        <v>7</v>
      </c>
      <c r="M544">
        <v>0</v>
      </c>
    </row>
    <row r="545" spans="1:13" x14ac:dyDescent="0.35">
      <c r="A545">
        <v>17</v>
      </c>
      <c r="B545" t="s">
        <v>16</v>
      </c>
      <c r="C545">
        <v>5.0999999999999996</v>
      </c>
      <c r="D545" t="s">
        <v>17</v>
      </c>
      <c r="E545">
        <v>8.6</v>
      </c>
      <c r="F545">
        <v>1.9</v>
      </c>
      <c r="G545">
        <v>3.33</v>
      </c>
      <c r="H545">
        <v>1.1000000000000001</v>
      </c>
      <c r="I545" t="s">
        <v>15</v>
      </c>
      <c r="J545">
        <v>1</v>
      </c>
      <c r="K545">
        <v>7</v>
      </c>
      <c r="L545">
        <v>8</v>
      </c>
      <c r="M545">
        <v>0</v>
      </c>
    </row>
    <row r="546" spans="1:13" x14ac:dyDescent="0.35">
      <c r="A546">
        <v>18</v>
      </c>
      <c r="B546" t="s">
        <v>16</v>
      </c>
      <c r="C546">
        <v>3.6</v>
      </c>
      <c r="D546" t="s">
        <v>14</v>
      </c>
      <c r="E546">
        <v>5.4</v>
      </c>
      <c r="F546">
        <v>0.9</v>
      </c>
      <c r="G546">
        <v>3.45</v>
      </c>
      <c r="H546">
        <v>0.5</v>
      </c>
      <c r="I546" t="s">
        <v>19</v>
      </c>
      <c r="J546">
        <v>1</v>
      </c>
      <c r="K546">
        <v>10</v>
      </c>
      <c r="L546">
        <v>2</v>
      </c>
      <c r="M546">
        <v>0</v>
      </c>
    </row>
    <row r="547" spans="1:13" x14ac:dyDescent="0.35">
      <c r="A547">
        <v>18</v>
      </c>
      <c r="B547" t="s">
        <v>13</v>
      </c>
      <c r="C547">
        <v>5</v>
      </c>
      <c r="D547" t="s">
        <v>20</v>
      </c>
      <c r="E547">
        <v>7.6</v>
      </c>
      <c r="F547">
        <v>2</v>
      </c>
      <c r="G547">
        <v>3.94</v>
      </c>
      <c r="H547">
        <v>0.5</v>
      </c>
      <c r="I547" t="s">
        <v>15</v>
      </c>
      <c r="J547">
        <v>4</v>
      </c>
      <c r="K547">
        <v>3</v>
      </c>
      <c r="L547">
        <v>3</v>
      </c>
      <c r="M547">
        <v>0</v>
      </c>
    </row>
    <row r="548" spans="1:13" x14ac:dyDescent="0.35">
      <c r="A548">
        <v>17</v>
      </c>
      <c r="B548" t="s">
        <v>13</v>
      </c>
      <c r="C548">
        <v>1.7</v>
      </c>
      <c r="D548" t="s">
        <v>20</v>
      </c>
      <c r="E548">
        <v>8.6</v>
      </c>
      <c r="F548">
        <v>0.9</v>
      </c>
      <c r="G548">
        <v>2.36</v>
      </c>
      <c r="H548">
        <v>1.7</v>
      </c>
      <c r="I548" t="s">
        <v>15</v>
      </c>
      <c r="J548">
        <v>9</v>
      </c>
      <c r="K548">
        <v>1</v>
      </c>
      <c r="L548">
        <v>3</v>
      </c>
      <c r="M548">
        <v>0</v>
      </c>
    </row>
    <row r="549" spans="1:13" x14ac:dyDescent="0.35">
      <c r="A549">
        <v>17</v>
      </c>
      <c r="B549" t="s">
        <v>13</v>
      </c>
      <c r="C549">
        <v>6.8</v>
      </c>
      <c r="D549" t="s">
        <v>14</v>
      </c>
      <c r="E549">
        <v>4.7</v>
      </c>
      <c r="F549">
        <v>0.6</v>
      </c>
      <c r="G549">
        <v>3.4</v>
      </c>
      <c r="H549">
        <v>0.9</v>
      </c>
      <c r="I549" t="s">
        <v>15</v>
      </c>
      <c r="J549">
        <v>3</v>
      </c>
      <c r="K549">
        <v>9</v>
      </c>
      <c r="L549">
        <v>7</v>
      </c>
      <c r="M549">
        <v>0</v>
      </c>
    </row>
    <row r="550" spans="1:13" x14ac:dyDescent="0.35">
      <c r="A550">
        <v>14</v>
      </c>
      <c r="B550" t="s">
        <v>13</v>
      </c>
      <c r="C550">
        <v>3.8</v>
      </c>
      <c r="D550" t="s">
        <v>20</v>
      </c>
      <c r="E550">
        <v>7.5</v>
      </c>
      <c r="F550">
        <v>0.5</v>
      </c>
      <c r="G550">
        <v>2.1800000000000002</v>
      </c>
      <c r="H550">
        <v>1</v>
      </c>
      <c r="I550" t="s">
        <v>19</v>
      </c>
      <c r="J550">
        <v>5</v>
      </c>
      <c r="K550">
        <v>2</v>
      </c>
      <c r="L550">
        <v>2</v>
      </c>
      <c r="M550">
        <v>0</v>
      </c>
    </row>
    <row r="551" spans="1:13" x14ac:dyDescent="0.35">
      <c r="A551">
        <v>16</v>
      </c>
      <c r="B551" t="s">
        <v>13</v>
      </c>
      <c r="C551">
        <v>2.1</v>
      </c>
      <c r="D551" t="s">
        <v>14</v>
      </c>
      <c r="E551">
        <v>7.7</v>
      </c>
      <c r="F551">
        <v>1.1000000000000001</v>
      </c>
      <c r="G551">
        <v>2.27</v>
      </c>
      <c r="H551">
        <v>1.1000000000000001</v>
      </c>
      <c r="I551" t="s">
        <v>19</v>
      </c>
      <c r="J551">
        <v>3</v>
      </c>
      <c r="K551">
        <v>2</v>
      </c>
      <c r="L551">
        <v>4</v>
      </c>
      <c r="M551">
        <v>0</v>
      </c>
    </row>
    <row r="552" spans="1:13" x14ac:dyDescent="0.35">
      <c r="A552">
        <v>15</v>
      </c>
      <c r="B552" t="s">
        <v>16</v>
      </c>
      <c r="C552">
        <v>3.2</v>
      </c>
      <c r="D552" t="s">
        <v>14</v>
      </c>
      <c r="E552">
        <v>4</v>
      </c>
      <c r="F552">
        <v>2</v>
      </c>
      <c r="G552">
        <v>3.25</v>
      </c>
      <c r="H552">
        <v>0.7</v>
      </c>
      <c r="I552" t="s">
        <v>15</v>
      </c>
      <c r="J552">
        <v>8</v>
      </c>
      <c r="K552">
        <v>4</v>
      </c>
      <c r="L552">
        <v>8</v>
      </c>
      <c r="M552">
        <v>0</v>
      </c>
    </row>
    <row r="553" spans="1:13" x14ac:dyDescent="0.35">
      <c r="A553">
        <v>18</v>
      </c>
      <c r="B553" t="s">
        <v>13</v>
      </c>
      <c r="C553">
        <v>1.9</v>
      </c>
      <c r="D553" t="s">
        <v>14</v>
      </c>
      <c r="E553">
        <v>5.6</v>
      </c>
      <c r="F553">
        <v>2.2999999999999998</v>
      </c>
      <c r="G553">
        <v>2.8</v>
      </c>
      <c r="H553">
        <v>1.9</v>
      </c>
      <c r="I553" t="s">
        <v>19</v>
      </c>
      <c r="J553">
        <v>8</v>
      </c>
      <c r="K553">
        <v>1</v>
      </c>
      <c r="L553">
        <v>8</v>
      </c>
      <c r="M553">
        <v>0</v>
      </c>
    </row>
    <row r="554" spans="1:13" x14ac:dyDescent="0.35">
      <c r="A554">
        <v>13</v>
      </c>
      <c r="B554" t="s">
        <v>16</v>
      </c>
      <c r="C554">
        <v>3.5</v>
      </c>
      <c r="D554" t="s">
        <v>14</v>
      </c>
      <c r="E554">
        <v>6.8</v>
      </c>
      <c r="F554">
        <v>1.5</v>
      </c>
      <c r="G554">
        <v>2.35</v>
      </c>
      <c r="H554">
        <v>1.8</v>
      </c>
      <c r="I554" t="s">
        <v>19</v>
      </c>
      <c r="J554">
        <v>7</v>
      </c>
      <c r="K554">
        <v>3</v>
      </c>
      <c r="L554">
        <v>2</v>
      </c>
      <c r="M554">
        <v>0</v>
      </c>
    </row>
    <row r="555" spans="1:13" x14ac:dyDescent="0.35">
      <c r="A555">
        <v>15</v>
      </c>
      <c r="B555" t="s">
        <v>16</v>
      </c>
      <c r="C555">
        <v>4.5</v>
      </c>
      <c r="D555" t="s">
        <v>14</v>
      </c>
      <c r="E555">
        <v>7.7</v>
      </c>
      <c r="F555">
        <v>0.9</v>
      </c>
      <c r="G555">
        <v>2.61</v>
      </c>
      <c r="H555">
        <v>1.1000000000000001</v>
      </c>
      <c r="I555" t="s">
        <v>19</v>
      </c>
      <c r="J555">
        <v>9</v>
      </c>
      <c r="K555">
        <v>10</v>
      </c>
      <c r="L555">
        <v>4</v>
      </c>
      <c r="M555">
        <v>0</v>
      </c>
    </row>
    <row r="556" spans="1:13" x14ac:dyDescent="0.35">
      <c r="A556">
        <v>13</v>
      </c>
      <c r="B556" t="s">
        <v>16</v>
      </c>
      <c r="C556">
        <v>6</v>
      </c>
      <c r="D556" t="s">
        <v>17</v>
      </c>
      <c r="E556">
        <v>5</v>
      </c>
      <c r="F556">
        <v>2.5</v>
      </c>
      <c r="G556">
        <v>2.5499999999999998</v>
      </c>
      <c r="H556">
        <v>1.8</v>
      </c>
      <c r="I556" t="s">
        <v>18</v>
      </c>
      <c r="J556">
        <v>4</v>
      </c>
      <c r="K556">
        <v>9</v>
      </c>
      <c r="L556">
        <v>2</v>
      </c>
      <c r="M556">
        <v>0</v>
      </c>
    </row>
    <row r="557" spans="1:13" x14ac:dyDescent="0.35">
      <c r="A557">
        <v>13</v>
      </c>
      <c r="B557" t="s">
        <v>16</v>
      </c>
      <c r="C557">
        <v>3.6</v>
      </c>
      <c r="D557" t="s">
        <v>17</v>
      </c>
      <c r="E557">
        <v>4.8</v>
      </c>
      <c r="F557">
        <v>2.2000000000000002</v>
      </c>
      <c r="G557">
        <v>3.58</v>
      </c>
      <c r="H557">
        <v>1.2</v>
      </c>
      <c r="I557" t="s">
        <v>19</v>
      </c>
      <c r="J557">
        <v>4</v>
      </c>
      <c r="K557">
        <v>4</v>
      </c>
      <c r="L557">
        <v>7</v>
      </c>
      <c r="M557">
        <v>0</v>
      </c>
    </row>
    <row r="558" spans="1:13" x14ac:dyDescent="0.35">
      <c r="A558">
        <v>19</v>
      </c>
      <c r="B558" t="s">
        <v>13</v>
      </c>
      <c r="C558">
        <v>5.2</v>
      </c>
      <c r="D558" t="s">
        <v>17</v>
      </c>
      <c r="E558">
        <v>6.9</v>
      </c>
      <c r="F558">
        <v>2.2999999999999998</v>
      </c>
      <c r="G558">
        <v>2.09</v>
      </c>
      <c r="H558">
        <v>0.2</v>
      </c>
      <c r="I558" t="s">
        <v>18</v>
      </c>
      <c r="J558">
        <v>6</v>
      </c>
      <c r="K558">
        <v>4</v>
      </c>
      <c r="L558">
        <v>8</v>
      </c>
      <c r="M558">
        <v>0</v>
      </c>
    </row>
    <row r="559" spans="1:13" x14ac:dyDescent="0.35">
      <c r="A559">
        <v>13</v>
      </c>
      <c r="B559" t="s">
        <v>13</v>
      </c>
      <c r="C559">
        <v>2.7</v>
      </c>
      <c r="D559" t="s">
        <v>20</v>
      </c>
      <c r="E559">
        <v>6.9</v>
      </c>
      <c r="F559">
        <v>1.4</v>
      </c>
      <c r="G559">
        <v>2.87</v>
      </c>
      <c r="H559">
        <v>1.5</v>
      </c>
      <c r="I559" t="s">
        <v>15</v>
      </c>
      <c r="J559">
        <v>2</v>
      </c>
      <c r="K559">
        <v>6</v>
      </c>
      <c r="L559">
        <v>3</v>
      </c>
      <c r="M559">
        <v>0</v>
      </c>
    </row>
    <row r="560" spans="1:13" x14ac:dyDescent="0.35">
      <c r="A560">
        <v>16</v>
      </c>
      <c r="B560" t="s">
        <v>16</v>
      </c>
      <c r="C560">
        <v>2.8</v>
      </c>
      <c r="D560" t="s">
        <v>17</v>
      </c>
      <c r="E560">
        <v>7.1</v>
      </c>
      <c r="F560">
        <v>1.4</v>
      </c>
      <c r="G560">
        <v>3.85</v>
      </c>
      <c r="H560">
        <v>0.4</v>
      </c>
      <c r="I560" t="s">
        <v>18</v>
      </c>
      <c r="J560">
        <v>7</v>
      </c>
      <c r="K560">
        <v>9</v>
      </c>
      <c r="L560">
        <v>8</v>
      </c>
      <c r="M560">
        <v>0</v>
      </c>
    </row>
    <row r="561" spans="1:13" x14ac:dyDescent="0.35">
      <c r="A561">
        <v>14</v>
      </c>
      <c r="B561" t="s">
        <v>13</v>
      </c>
      <c r="C561">
        <v>5.6</v>
      </c>
      <c r="D561" t="s">
        <v>14</v>
      </c>
      <c r="E561">
        <v>7</v>
      </c>
      <c r="F561">
        <v>1.9</v>
      </c>
      <c r="G561">
        <v>2.58</v>
      </c>
      <c r="H561">
        <v>0.4</v>
      </c>
      <c r="I561" t="s">
        <v>15</v>
      </c>
      <c r="J561">
        <v>5</v>
      </c>
      <c r="K561">
        <v>7</v>
      </c>
      <c r="L561">
        <v>3</v>
      </c>
      <c r="M561">
        <v>0</v>
      </c>
    </row>
    <row r="562" spans="1:13" x14ac:dyDescent="0.35">
      <c r="A562">
        <v>16</v>
      </c>
      <c r="B562" t="s">
        <v>13</v>
      </c>
      <c r="C562">
        <v>2.7</v>
      </c>
      <c r="D562" t="s">
        <v>20</v>
      </c>
      <c r="E562">
        <v>7.2</v>
      </c>
      <c r="F562">
        <v>0.6</v>
      </c>
      <c r="G562">
        <v>3.98</v>
      </c>
      <c r="H562">
        <v>1.7</v>
      </c>
      <c r="I562" t="s">
        <v>15</v>
      </c>
      <c r="J562">
        <v>6</v>
      </c>
      <c r="K562">
        <v>1</v>
      </c>
      <c r="L562">
        <v>5</v>
      </c>
      <c r="M562">
        <v>0</v>
      </c>
    </row>
    <row r="563" spans="1:13" x14ac:dyDescent="0.35">
      <c r="A563">
        <v>14</v>
      </c>
      <c r="B563" t="s">
        <v>13</v>
      </c>
      <c r="C563">
        <v>4.2</v>
      </c>
      <c r="D563" t="s">
        <v>20</v>
      </c>
      <c r="E563">
        <v>7</v>
      </c>
      <c r="F563">
        <v>1.1000000000000001</v>
      </c>
      <c r="G563">
        <v>2.12</v>
      </c>
      <c r="H563">
        <v>0.9</v>
      </c>
      <c r="I563" t="s">
        <v>18</v>
      </c>
      <c r="J563">
        <v>4</v>
      </c>
      <c r="K563">
        <v>8</v>
      </c>
      <c r="L563">
        <v>1</v>
      </c>
      <c r="M563">
        <v>0</v>
      </c>
    </row>
    <row r="564" spans="1:13" x14ac:dyDescent="0.35">
      <c r="A564">
        <v>18</v>
      </c>
      <c r="B564" t="s">
        <v>16</v>
      </c>
      <c r="C564">
        <v>5.0999999999999996</v>
      </c>
      <c r="D564" t="s">
        <v>17</v>
      </c>
      <c r="E564">
        <v>8.1999999999999993</v>
      </c>
      <c r="F564">
        <v>2.8</v>
      </c>
      <c r="G564">
        <v>2.1800000000000002</v>
      </c>
      <c r="H564">
        <v>0.5</v>
      </c>
      <c r="I564" t="s">
        <v>18</v>
      </c>
      <c r="J564">
        <v>8</v>
      </c>
      <c r="K564">
        <v>8</v>
      </c>
      <c r="L564">
        <v>8</v>
      </c>
      <c r="M564">
        <v>0</v>
      </c>
    </row>
    <row r="565" spans="1:13" x14ac:dyDescent="0.35">
      <c r="A565">
        <v>15</v>
      </c>
      <c r="B565" t="s">
        <v>16</v>
      </c>
      <c r="C565">
        <v>5.7</v>
      </c>
      <c r="D565" t="s">
        <v>14</v>
      </c>
      <c r="E565">
        <v>6.1</v>
      </c>
      <c r="F565">
        <v>0.7</v>
      </c>
      <c r="G565">
        <v>3.08</v>
      </c>
      <c r="H565">
        <v>0.6</v>
      </c>
      <c r="I565" t="s">
        <v>19</v>
      </c>
      <c r="J565">
        <v>5</v>
      </c>
      <c r="K565">
        <v>9</v>
      </c>
      <c r="L565">
        <v>7</v>
      </c>
      <c r="M565">
        <v>0</v>
      </c>
    </row>
    <row r="566" spans="1:13" x14ac:dyDescent="0.35">
      <c r="A566">
        <v>13</v>
      </c>
      <c r="B566" t="s">
        <v>16</v>
      </c>
      <c r="C566">
        <v>1.5</v>
      </c>
      <c r="D566" t="s">
        <v>20</v>
      </c>
      <c r="E566">
        <v>7.9</v>
      </c>
      <c r="F566">
        <v>1.8</v>
      </c>
      <c r="G566">
        <v>2.85</v>
      </c>
      <c r="H566">
        <v>1.1000000000000001</v>
      </c>
      <c r="I566" t="s">
        <v>19</v>
      </c>
      <c r="J566">
        <v>5</v>
      </c>
      <c r="K566">
        <v>7</v>
      </c>
      <c r="L566">
        <v>1</v>
      </c>
      <c r="M566">
        <v>0</v>
      </c>
    </row>
    <row r="567" spans="1:13" x14ac:dyDescent="0.35">
      <c r="A567">
        <v>15</v>
      </c>
      <c r="B567" t="s">
        <v>16</v>
      </c>
      <c r="C567">
        <v>6.9</v>
      </c>
      <c r="D567" t="s">
        <v>17</v>
      </c>
      <c r="E567">
        <v>8.3000000000000007</v>
      </c>
      <c r="F567">
        <v>2.4</v>
      </c>
      <c r="G567">
        <v>3.34</v>
      </c>
      <c r="H567">
        <v>1.2</v>
      </c>
      <c r="I567" t="s">
        <v>18</v>
      </c>
      <c r="J567">
        <v>2</v>
      </c>
      <c r="K567">
        <v>4</v>
      </c>
      <c r="L567">
        <v>9</v>
      </c>
      <c r="M567">
        <v>0</v>
      </c>
    </row>
    <row r="568" spans="1:13" x14ac:dyDescent="0.35">
      <c r="A568">
        <v>14</v>
      </c>
      <c r="B568" t="s">
        <v>13</v>
      </c>
      <c r="C568">
        <v>4.7</v>
      </c>
      <c r="D568" t="s">
        <v>17</v>
      </c>
      <c r="E568">
        <v>7.9</v>
      </c>
      <c r="F568">
        <v>2.9</v>
      </c>
      <c r="G568">
        <v>2.54</v>
      </c>
      <c r="H568">
        <v>0.7</v>
      </c>
      <c r="I568" t="s">
        <v>18</v>
      </c>
      <c r="J568">
        <v>5</v>
      </c>
      <c r="K568">
        <v>8</v>
      </c>
      <c r="L568">
        <v>7</v>
      </c>
      <c r="M568">
        <v>0</v>
      </c>
    </row>
    <row r="569" spans="1:13" x14ac:dyDescent="0.35">
      <c r="A569">
        <v>15</v>
      </c>
      <c r="B569" t="s">
        <v>16</v>
      </c>
      <c r="C569">
        <v>2.7</v>
      </c>
      <c r="D569" t="s">
        <v>20</v>
      </c>
      <c r="E569">
        <v>8.5</v>
      </c>
      <c r="F569">
        <v>0.8</v>
      </c>
      <c r="G569">
        <v>2.91</v>
      </c>
      <c r="H569">
        <v>1.3</v>
      </c>
      <c r="I569" t="s">
        <v>15</v>
      </c>
      <c r="J569">
        <v>6</v>
      </c>
      <c r="K569">
        <v>3</v>
      </c>
      <c r="L569">
        <v>1</v>
      </c>
      <c r="M569">
        <v>0</v>
      </c>
    </row>
    <row r="570" spans="1:13" x14ac:dyDescent="0.35">
      <c r="A570">
        <v>13</v>
      </c>
      <c r="B570" t="s">
        <v>16</v>
      </c>
      <c r="C570">
        <v>6.1</v>
      </c>
      <c r="D570" t="s">
        <v>20</v>
      </c>
      <c r="E570">
        <v>6.4</v>
      </c>
      <c r="F570">
        <v>2.8</v>
      </c>
      <c r="G570">
        <v>2.5099999999999998</v>
      </c>
      <c r="H570">
        <v>1.9</v>
      </c>
      <c r="I570" t="s">
        <v>15</v>
      </c>
      <c r="J570">
        <v>6</v>
      </c>
      <c r="K570">
        <v>1</v>
      </c>
      <c r="L570">
        <v>9</v>
      </c>
      <c r="M570">
        <v>0</v>
      </c>
    </row>
    <row r="571" spans="1:13" x14ac:dyDescent="0.35">
      <c r="A571">
        <v>17</v>
      </c>
      <c r="B571" t="s">
        <v>16</v>
      </c>
      <c r="C571">
        <v>5</v>
      </c>
      <c r="D571" t="s">
        <v>17</v>
      </c>
      <c r="E571">
        <v>7.3</v>
      </c>
      <c r="F571">
        <v>1.9</v>
      </c>
      <c r="G571">
        <v>3.83</v>
      </c>
      <c r="H571">
        <v>0.4</v>
      </c>
      <c r="I571" t="s">
        <v>18</v>
      </c>
      <c r="J571">
        <v>8</v>
      </c>
      <c r="K571">
        <v>9</v>
      </c>
      <c r="L571">
        <v>9</v>
      </c>
      <c r="M571">
        <v>0</v>
      </c>
    </row>
    <row r="572" spans="1:13" x14ac:dyDescent="0.35">
      <c r="A572">
        <v>17</v>
      </c>
      <c r="B572" t="s">
        <v>16</v>
      </c>
      <c r="C572">
        <v>5.3</v>
      </c>
      <c r="D572" t="s">
        <v>20</v>
      </c>
      <c r="E572">
        <v>6.8</v>
      </c>
      <c r="F572">
        <v>1.9</v>
      </c>
      <c r="G572">
        <v>3.39</v>
      </c>
      <c r="H572">
        <v>1.6</v>
      </c>
      <c r="I572" t="s">
        <v>15</v>
      </c>
      <c r="J572">
        <v>10</v>
      </c>
      <c r="K572">
        <v>6</v>
      </c>
      <c r="L572">
        <v>8</v>
      </c>
      <c r="M572">
        <v>0</v>
      </c>
    </row>
    <row r="573" spans="1:13" x14ac:dyDescent="0.35">
      <c r="A573">
        <v>19</v>
      </c>
      <c r="B573" t="s">
        <v>13</v>
      </c>
      <c r="C573">
        <v>7.2</v>
      </c>
      <c r="D573" t="s">
        <v>17</v>
      </c>
      <c r="E573">
        <v>6.6</v>
      </c>
      <c r="F573">
        <v>2.9</v>
      </c>
      <c r="G573">
        <v>2.74</v>
      </c>
      <c r="H573">
        <v>0.3</v>
      </c>
      <c r="I573" t="s">
        <v>19</v>
      </c>
      <c r="J573">
        <v>1</v>
      </c>
      <c r="K573">
        <v>10</v>
      </c>
      <c r="L573">
        <v>9</v>
      </c>
      <c r="M573">
        <v>0</v>
      </c>
    </row>
    <row r="574" spans="1:13" x14ac:dyDescent="0.35">
      <c r="A574">
        <v>15</v>
      </c>
      <c r="B574" t="s">
        <v>13</v>
      </c>
      <c r="C574">
        <v>2.2999999999999998</v>
      </c>
      <c r="D574" t="s">
        <v>20</v>
      </c>
      <c r="E574">
        <v>5.7</v>
      </c>
      <c r="F574">
        <v>2.8</v>
      </c>
      <c r="G574">
        <v>2.79</v>
      </c>
      <c r="H574">
        <v>1.9</v>
      </c>
      <c r="I574" t="s">
        <v>19</v>
      </c>
      <c r="J574">
        <v>4</v>
      </c>
      <c r="K574">
        <v>1</v>
      </c>
      <c r="L574">
        <v>4</v>
      </c>
      <c r="M574">
        <v>0</v>
      </c>
    </row>
    <row r="575" spans="1:13" x14ac:dyDescent="0.35">
      <c r="A575">
        <v>17</v>
      </c>
      <c r="B575" t="s">
        <v>16</v>
      </c>
      <c r="C575">
        <v>7.3</v>
      </c>
      <c r="D575" t="s">
        <v>20</v>
      </c>
      <c r="E575">
        <v>7.8</v>
      </c>
      <c r="F575">
        <v>1.1000000000000001</v>
      </c>
      <c r="G575">
        <v>2.0299999999999998</v>
      </c>
      <c r="H575">
        <v>1.1000000000000001</v>
      </c>
      <c r="I575" t="s">
        <v>15</v>
      </c>
      <c r="J575">
        <v>3</v>
      </c>
      <c r="K575">
        <v>10</v>
      </c>
      <c r="L575">
        <v>6</v>
      </c>
      <c r="M575">
        <v>0</v>
      </c>
    </row>
    <row r="576" spans="1:13" x14ac:dyDescent="0.35">
      <c r="A576">
        <v>16</v>
      </c>
      <c r="B576" t="s">
        <v>16</v>
      </c>
      <c r="C576">
        <v>1.5</v>
      </c>
      <c r="D576" t="s">
        <v>14</v>
      </c>
      <c r="E576">
        <v>8</v>
      </c>
      <c r="F576">
        <v>0.7</v>
      </c>
      <c r="G576">
        <v>2.1800000000000002</v>
      </c>
      <c r="H576">
        <v>0.6</v>
      </c>
      <c r="I576" t="s">
        <v>19</v>
      </c>
      <c r="J576">
        <v>4</v>
      </c>
      <c r="K576">
        <v>7</v>
      </c>
      <c r="L576">
        <v>5</v>
      </c>
      <c r="M576">
        <v>0</v>
      </c>
    </row>
    <row r="577" spans="1:13" x14ac:dyDescent="0.35">
      <c r="A577">
        <v>18</v>
      </c>
      <c r="B577" t="s">
        <v>16</v>
      </c>
      <c r="C577">
        <v>2.2000000000000002</v>
      </c>
      <c r="D577" t="s">
        <v>14</v>
      </c>
      <c r="E577">
        <v>6.5</v>
      </c>
      <c r="F577">
        <v>1.9</v>
      </c>
      <c r="G577">
        <v>3.79</v>
      </c>
      <c r="H577">
        <v>0.2</v>
      </c>
      <c r="I577" t="s">
        <v>15</v>
      </c>
      <c r="J577">
        <v>1</v>
      </c>
      <c r="K577">
        <v>6</v>
      </c>
      <c r="L577">
        <v>2</v>
      </c>
      <c r="M577">
        <v>0</v>
      </c>
    </row>
    <row r="578" spans="1:13" x14ac:dyDescent="0.35">
      <c r="A578">
        <v>13</v>
      </c>
      <c r="B578" t="s">
        <v>16</v>
      </c>
      <c r="C578">
        <v>5.5</v>
      </c>
      <c r="D578" t="s">
        <v>20</v>
      </c>
      <c r="E578">
        <v>6.7</v>
      </c>
      <c r="F578">
        <v>1.6</v>
      </c>
      <c r="G578">
        <v>3.09</v>
      </c>
      <c r="H578">
        <v>1.7</v>
      </c>
      <c r="I578" t="s">
        <v>18</v>
      </c>
      <c r="J578">
        <v>10</v>
      </c>
      <c r="K578">
        <v>1</v>
      </c>
      <c r="L578">
        <v>6</v>
      </c>
      <c r="M578">
        <v>0</v>
      </c>
    </row>
    <row r="579" spans="1:13" x14ac:dyDescent="0.35">
      <c r="A579">
        <v>19</v>
      </c>
      <c r="B579" t="s">
        <v>13</v>
      </c>
      <c r="C579">
        <v>2.1</v>
      </c>
      <c r="D579" t="s">
        <v>17</v>
      </c>
      <c r="E579">
        <v>5.2</v>
      </c>
      <c r="F579">
        <v>2.5</v>
      </c>
      <c r="G579">
        <v>3.1</v>
      </c>
      <c r="H579">
        <v>0.3</v>
      </c>
      <c r="I579" t="s">
        <v>15</v>
      </c>
      <c r="J579">
        <v>9</v>
      </c>
      <c r="K579">
        <v>9</v>
      </c>
      <c r="L579">
        <v>3</v>
      </c>
      <c r="M579">
        <v>0</v>
      </c>
    </row>
    <row r="580" spans="1:13" x14ac:dyDescent="0.35">
      <c r="A580">
        <v>15</v>
      </c>
      <c r="B580" t="s">
        <v>16</v>
      </c>
      <c r="C580">
        <v>4.5</v>
      </c>
      <c r="D580" t="s">
        <v>20</v>
      </c>
      <c r="E580">
        <v>5.4</v>
      </c>
      <c r="F580">
        <v>1.2</v>
      </c>
      <c r="G580">
        <v>3.76</v>
      </c>
      <c r="H580">
        <v>1.7</v>
      </c>
      <c r="I580" t="s">
        <v>18</v>
      </c>
      <c r="J580">
        <v>1</v>
      </c>
      <c r="K580">
        <v>8</v>
      </c>
      <c r="L580">
        <v>7</v>
      </c>
      <c r="M580">
        <v>0</v>
      </c>
    </row>
    <row r="581" spans="1:13" x14ac:dyDescent="0.35">
      <c r="A581">
        <v>13</v>
      </c>
      <c r="B581" t="s">
        <v>13</v>
      </c>
      <c r="C581">
        <v>3.9</v>
      </c>
      <c r="D581" t="s">
        <v>20</v>
      </c>
      <c r="E581">
        <v>5.8</v>
      </c>
      <c r="F581">
        <v>0.7</v>
      </c>
      <c r="G581">
        <v>2.77</v>
      </c>
      <c r="H581">
        <v>1.3</v>
      </c>
      <c r="I581" t="s">
        <v>19</v>
      </c>
      <c r="J581">
        <v>10</v>
      </c>
      <c r="K581">
        <v>3</v>
      </c>
      <c r="L581">
        <v>1</v>
      </c>
      <c r="M581">
        <v>0</v>
      </c>
    </row>
    <row r="582" spans="1:13" x14ac:dyDescent="0.35">
      <c r="A582">
        <v>14</v>
      </c>
      <c r="B582" t="s">
        <v>13</v>
      </c>
      <c r="C582">
        <v>5.8</v>
      </c>
      <c r="D582" t="s">
        <v>14</v>
      </c>
      <c r="E582">
        <v>5.0999999999999996</v>
      </c>
      <c r="F582">
        <v>2.6</v>
      </c>
      <c r="G582">
        <v>2.06</v>
      </c>
      <c r="H582">
        <v>1.5</v>
      </c>
      <c r="I582" t="s">
        <v>19</v>
      </c>
      <c r="J582">
        <v>7</v>
      </c>
      <c r="K582">
        <v>5</v>
      </c>
      <c r="L582">
        <v>2</v>
      </c>
      <c r="M582">
        <v>0</v>
      </c>
    </row>
    <row r="583" spans="1:13" x14ac:dyDescent="0.35">
      <c r="A583">
        <v>13</v>
      </c>
      <c r="B583" t="s">
        <v>16</v>
      </c>
      <c r="C583">
        <v>7.2</v>
      </c>
      <c r="D583" t="s">
        <v>20</v>
      </c>
      <c r="E583">
        <v>4.2</v>
      </c>
      <c r="F583">
        <v>2.5</v>
      </c>
      <c r="G583">
        <v>2.65</v>
      </c>
      <c r="H583">
        <v>1.6</v>
      </c>
      <c r="I583" t="s">
        <v>15</v>
      </c>
      <c r="J583">
        <v>10</v>
      </c>
      <c r="K583">
        <v>9</v>
      </c>
      <c r="L583">
        <v>3</v>
      </c>
      <c r="M583">
        <v>1</v>
      </c>
    </row>
    <row r="584" spans="1:13" x14ac:dyDescent="0.35">
      <c r="A584">
        <v>17</v>
      </c>
      <c r="B584" t="s">
        <v>16</v>
      </c>
      <c r="C584">
        <v>2.9</v>
      </c>
      <c r="D584" t="s">
        <v>20</v>
      </c>
      <c r="E584">
        <v>7.5</v>
      </c>
      <c r="F584">
        <v>1.4</v>
      </c>
      <c r="G584">
        <v>3.42</v>
      </c>
      <c r="H584">
        <v>1.7</v>
      </c>
      <c r="I584" t="s">
        <v>15</v>
      </c>
      <c r="J584">
        <v>5</v>
      </c>
      <c r="K584">
        <v>6</v>
      </c>
      <c r="L584">
        <v>3</v>
      </c>
      <c r="M584">
        <v>0</v>
      </c>
    </row>
    <row r="585" spans="1:13" x14ac:dyDescent="0.35">
      <c r="A585">
        <v>17</v>
      </c>
      <c r="B585" t="s">
        <v>13</v>
      </c>
      <c r="C585">
        <v>6.2</v>
      </c>
      <c r="D585" t="s">
        <v>14</v>
      </c>
      <c r="E585">
        <v>7.4</v>
      </c>
      <c r="F585">
        <v>0.6</v>
      </c>
      <c r="G585">
        <v>3.38</v>
      </c>
      <c r="H585">
        <v>1.5</v>
      </c>
      <c r="I585" t="s">
        <v>15</v>
      </c>
      <c r="J585">
        <v>4</v>
      </c>
      <c r="K585">
        <v>7</v>
      </c>
      <c r="L585">
        <v>9</v>
      </c>
      <c r="M585">
        <v>0</v>
      </c>
    </row>
    <row r="586" spans="1:13" x14ac:dyDescent="0.35">
      <c r="A586">
        <v>18</v>
      </c>
      <c r="B586" t="s">
        <v>16</v>
      </c>
      <c r="C586">
        <v>1.1000000000000001</v>
      </c>
      <c r="D586" t="s">
        <v>20</v>
      </c>
      <c r="E586">
        <v>4.9000000000000004</v>
      </c>
      <c r="F586">
        <v>2.6</v>
      </c>
      <c r="G586">
        <v>2.4300000000000002</v>
      </c>
      <c r="H586">
        <v>1.3</v>
      </c>
      <c r="I586" t="s">
        <v>18</v>
      </c>
      <c r="J586">
        <v>9</v>
      </c>
      <c r="K586">
        <v>7</v>
      </c>
      <c r="L586">
        <v>6</v>
      </c>
      <c r="M586">
        <v>0</v>
      </c>
    </row>
    <row r="587" spans="1:13" x14ac:dyDescent="0.35">
      <c r="A587">
        <v>19</v>
      </c>
      <c r="B587" t="s">
        <v>13</v>
      </c>
      <c r="C587">
        <v>5.2</v>
      </c>
      <c r="D587" t="s">
        <v>14</v>
      </c>
      <c r="E587">
        <v>4.3</v>
      </c>
      <c r="F587">
        <v>1.3</v>
      </c>
      <c r="G587">
        <v>2.29</v>
      </c>
      <c r="H587">
        <v>1.3</v>
      </c>
      <c r="I587" t="s">
        <v>19</v>
      </c>
      <c r="J587">
        <v>10</v>
      </c>
      <c r="K587">
        <v>8</v>
      </c>
      <c r="L587">
        <v>10</v>
      </c>
      <c r="M587">
        <v>1</v>
      </c>
    </row>
    <row r="588" spans="1:13" x14ac:dyDescent="0.35">
      <c r="A588">
        <v>15</v>
      </c>
      <c r="B588" t="s">
        <v>16</v>
      </c>
      <c r="C588">
        <v>5</v>
      </c>
      <c r="D588" t="s">
        <v>14</v>
      </c>
      <c r="E588">
        <v>7.6</v>
      </c>
      <c r="F588">
        <v>1.8</v>
      </c>
      <c r="G588">
        <v>2.52</v>
      </c>
      <c r="H588">
        <v>1.4</v>
      </c>
      <c r="I588" t="s">
        <v>18</v>
      </c>
      <c r="J588">
        <v>1</v>
      </c>
      <c r="K588">
        <v>4</v>
      </c>
      <c r="L588">
        <v>3</v>
      </c>
      <c r="M588">
        <v>0</v>
      </c>
    </row>
    <row r="589" spans="1:13" x14ac:dyDescent="0.35">
      <c r="A589">
        <v>13</v>
      </c>
      <c r="B589" t="s">
        <v>16</v>
      </c>
      <c r="C589">
        <v>2.2999999999999998</v>
      </c>
      <c r="D589" t="s">
        <v>17</v>
      </c>
      <c r="E589">
        <v>8.6999999999999993</v>
      </c>
      <c r="F589">
        <v>1.2</v>
      </c>
      <c r="G589">
        <v>3.25</v>
      </c>
      <c r="H589">
        <v>1.5</v>
      </c>
      <c r="I589" t="s">
        <v>18</v>
      </c>
      <c r="J589">
        <v>9</v>
      </c>
      <c r="K589">
        <v>9</v>
      </c>
      <c r="L589">
        <v>1</v>
      </c>
      <c r="M589">
        <v>0</v>
      </c>
    </row>
    <row r="590" spans="1:13" x14ac:dyDescent="0.35">
      <c r="A590">
        <v>15</v>
      </c>
      <c r="B590" t="s">
        <v>16</v>
      </c>
      <c r="C590">
        <v>5.2</v>
      </c>
      <c r="D590" t="s">
        <v>17</v>
      </c>
      <c r="E590">
        <v>5.6</v>
      </c>
      <c r="F590">
        <v>1.5</v>
      </c>
      <c r="G590">
        <v>3.13</v>
      </c>
      <c r="H590">
        <v>0.1</v>
      </c>
      <c r="I590" t="s">
        <v>15</v>
      </c>
      <c r="J590">
        <v>7</v>
      </c>
      <c r="K590">
        <v>9</v>
      </c>
      <c r="L590">
        <v>4</v>
      </c>
      <c r="M590">
        <v>1</v>
      </c>
    </row>
    <row r="591" spans="1:13" x14ac:dyDescent="0.35">
      <c r="A591">
        <v>13</v>
      </c>
      <c r="B591" t="s">
        <v>16</v>
      </c>
      <c r="C591">
        <v>3.5</v>
      </c>
      <c r="D591" t="s">
        <v>20</v>
      </c>
      <c r="E591">
        <v>8.6999999999999993</v>
      </c>
      <c r="F591">
        <v>1.4</v>
      </c>
      <c r="G591">
        <v>3.5</v>
      </c>
      <c r="H591">
        <v>1.3</v>
      </c>
      <c r="I591" t="s">
        <v>18</v>
      </c>
      <c r="J591">
        <v>9</v>
      </c>
      <c r="K591">
        <v>4</v>
      </c>
      <c r="L591">
        <v>5</v>
      </c>
      <c r="M591">
        <v>0</v>
      </c>
    </row>
    <row r="592" spans="1:13" x14ac:dyDescent="0.35">
      <c r="A592">
        <v>16</v>
      </c>
      <c r="B592" t="s">
        <v>16</v>
      </c>
      <c r="C592">
        <v>3.5</v>
      </c>
      <c r="D592" t="s">
        <v>20</v>
      </c>
      <c r="E592">
        <v>4.2</v>
      </c>
      <c r="F592">
        <v>1.5</v>
      </c>
      <c r="G592">
        <v>3.98</v>
      </c>
      <c r="H592">
        <v>0.4</v>
      </c>
      <c r="I592" t="s">
        <v>19</v>
      </c>
      <c r="J592">
        <v>1</v>
      </c>
      <c r="K592">
        <v>7</v>
      </c>
      <c r="L592">
        <v>2</v>
      </c>
      <c r="M592">
        <v>0</v>
      </c>
    </row>
    <row r="593" spans="1:13" x14ac:dyDescent="0.35">
      <c r="A593">
        <v>19</v>
      </c>
      <c r="B593" t="s">
        <v>13</v>
      </c>
      <c r="C593">
        <v>7.7</v>
      </c>
      <c r="D593" t="s">
        <v>14</v>
      </c>
      <c r="E593">
        <v>4.2</v>
      </c>
      <c r="F593">
        <v>2.6</v>
      </c>
      <c r="G593">
        <v>2.2000000000000002</v>
      </c>
      <c r="H593">
        <v>1.8</v>
      </c>
      <c r="I593" t="s">
        <v>15</v>
      </c>
      <c r="J593">
        <v>8</v>
      </c>
      <c r="K593">
        <v>9</v>
      </c>
      <c r="L593">
        <v>4</v>
      </c>
      <c r="M593">
        <v>1</v>
      </c>
    </row>
    <row r="594" spans="1:13" x14ac:dyDescent="0.35">
      <c r="A594">
        <v>18</v>
      </c>
      <c r="B594" t="s">
        <v>16</v>
      </c>
      <c r="C594">
        <v>2</v>
      </c>
      <c r="D594" t="s">
        <v>20</v>
      </c>
      <c r="E594">
        <v>8.6</v>
      </c>
      <c r="F594">
        <v>2.2000000000000002</v>
      </c>
      <c r="G594">
        <v>3.53</v>
      </c>
      <c r="H594">
        <v>1.9</v>
      </c>
      <c r="I594" t="s">
        <v>15</v>
      </c>
      <c r="J594">
        <v>2</v>
      </c>
      <c r="K594">
        <v>5</v>
      </c>
      <c r="L594">
        <v>8</v>
      </c>
      <c r="M594">
        <v>0</v>
      </c>
    </row>
    <row r="595" spans="1:13" x14ac:dyDescent="0.35">
      <c r="A595">
        <v>13</v>
      </c>
      <c r="B595" t="s">
        <v>16</v>
      </c>
      <c r="C595">
        <v>5.0999999999999996</v>
      </c>
      <c r="D595" t="s">
        <v>17</v>
      </c>
      <c r="E595">
        <v>4.5</v>
      </c>
      <c r="F595">
        <v>2.7</v>
      </c>
      <c r="G595">
        <v>2.54</v>
      </c>
      <c r="H595">
        <v>1.4</v>
      </c>
      <c r="I595" t="s">
        <v>18</v>
      </c>
      <c r="J595">
        <v>2</v>
      </c>
      <c r="K595">
        <v>3</v>
      </c>
      <c r="L595">
        <v>10</v>
      </c>
      <c r="M595">
        <v>0</v>
      </c>
    </row>
    <row r="596" spans="1:13" x14ac:dyDescent="0.35">
      <c r="A596">
        <v>16</v>
      </c>
      <c r="B596" t="s">
        <v>13</v>
      </c>
      <c r="C596">
        <v>2</v>
      </c>
      <c r="D596" t="s">
        <v>14</v>
      </c>
      <c r="E596">
        <v>7.9</v>
      </c>
      <c r="F596">
        <v>2.4</v>
      </c>
      <c r="G596">
        <v>2.81</v>
      </c>
      <c r="H596">
        <v>1.9</v>
      </c>
      <c r="I596" t="s">
        <v>15</v>
      </c>
      <c r="J596">
        <v>10</v>
      </c>
      <c r="K596">
        <v>6</v>
      </c>
      <c r="L596">
        <v>6</v>
      </c>
      <c r="M596">
        <v>0</v>
      </c>
    </row>
    <row r="597" spans="1:13" x14ac:dyDescent="0.35">
      <c r="A597">
        <v>15</v>
      </c>
      <c r="B597" t="s">
        <v>13</v>
      </c>
      <c r="C597">
        <v>4.7</v>
      </c>
      <c r="D597" t="s">
        <v>14</v>
      </c>
      <c r="E597">
        <v>8.4</v>
      </c>
      <c r="F597">
        <v>1.9</v>
      </c>
      <c r="G597">
        <v>3.9</v>
      </c>
      <c r="H597">
        <v>1</v>
      </c>
      <c r="I597" t="s">
        <v>18</v>
      </c>
      <c r="J597">
        <v>4</v>
      </c>
      <c r="K597">
        <v>10</v>
      </c>
      <c r="L597">
        <v>6</v>
      </c>
      <c r="M597">
        <v>0</v>
      </c>
    </row>
    <row r="598" spans="1:13" x14ac:dyDescent="0.35">
      <c r="A598">
        <v>17</v>
      </c>
      <c r="B598" t="s">
        <v>16</v>
      </c>
      <c r="C598">
        <v>6.9</v>
      </c>
      <c r="D598" t="s">
        <v>17</v>
      </c>
      <c r="E598">
        <v>6.1</v>
      </c>
      <c r="F598">
        <v>2.4</v>
      </c>
      <c r="G598">
        <v>3.77</v>
      </c>
      <c r="H598">
        <v>1.1000000000000001</v>
      </c>
      <c r="I598" t="s">
        <v>19</v>
      </c>
      <c r="J598">
        <v>9</v>
      </c>
      <c r="K598">
        <v>4</v>
      </c>
      <c r="L598">
        <v>9</v>
      </c>
      <c r="M598">
        <v>0</v>
      </c>
    </row>
    <row r="599" spans="1:13" x14ac:dyDescent="0.35">
      <c r="A599">
        <v>18</v>
      </c>
      <c r="B599" t="s">
        <v>13</v>
      </c>
      <c r="C599">
        <v>5.9</v>
      </c>
      <c r="D599" t="s">
        <v>14</v>
      </c>
      <c r="E599">
        <v>4.4000000000000004</v>
      </c>
      <c r="F599">
        <v>2.7</v>
      </c>
      <c r="G599">
        <v>2.09</v>
      </c>
      <c r="H599">
        <v>1.8</v>
      </c>
      <c r="I599" t="s">
        <v>18</v>
      </c>
      <c r="J599">
        <v>1</v>
      </c>
      <c r="K599">
        <v>6</v>
      </c>
      <c r="L599">
        <v>6</v>
      </c>
      <c r="M599">
        <v>0</v>
      </c>
    </row>
    <row r="600" spans="1:13" x14ac:dyDescent="0.35">
      <c r="A600">
        <v>19</v>
      </c>
      <c r="B600" t="s">
        <v>13</v>
      </c>
      <c r="C600">
        <v>2.7</v>
      </c>
      <c r="D600" t="s">
        <v>14</v>
      </c>
      <c r="E600">
        <v>6.3</v>
      </c>
      <c r="F600">
        <v>1.3</v>
      </c>
      <c r="G600">
        <v>3.91</v>
      </c>
      <c r="H600">
        <v>1.2</v>
      </c>
      <c r="I600" t="s">
        <v>18</v>
      </c>
      <c r="J600">
        <v>7</v>
      </c>
      <c r="K600">
        <v>5</v>
      </c>
      <c r="L600">
        <v>7</v>
      </c>
      <c r="M600">
        <v>0</v>
      </c>
    </row>
    <row r="601" spans="1:13" x14ac:dyDescent="0.35">
      <c r="A601">
        <v>16</v>
      </c>
      <c r="B601" t="s">
        <v>13</v>
      </c>
      <c r="C601">
        <v>7.9</v>
      </c>
      <c r="D601" t="s">
        <v>17</v>
      </c>
      <c r="E601">
        <v>8</v>
      </c>
      <c r="F601">
        <v>1.6</v>
      </c>
      <c r="G601">
        <v>3.47</v>
      </c>
      <c r="H601">
        <v>1.5</v>
      </c>
      <c r="I601" t="s">
        <v>18</v>
      </c>
      <c r="J601">
        <v>3</v>
      </c>
      <c r="K601">
        <v>5</v>
      </c>
      <c r="L601">
        <v>6</v>
      </c>
      <c r="M601">
        <v>0</v>
      </c>
    </row>
    <row r="602" spans="1:13" x14ac:dyDescent="0.35">
      <c r="A602">
        <v>16</v>
      </c>
      <c r="B602" t="s">
        <v>16</v>
      </c>
      <c r="C602">
        <v>7.4</v>
      </c>
      <c r="D602" t="s">
        <v>17</v>
      </c>
      <c r="E602">
        <v>5.5</v>
      </c>
      <c r="F602">
        <v>1.8</v>
      </c>
      <c r="G602">
        <v>2.13</v>
      </c>
      <c r="H602">
        <v>0.3</v>
      </c>
      <c r="I602" t="s">
        <v>18</v>
      </c>
      <c r="J602">
        <v>7</v>
      </c>
      <c r="K602">
        <v>9</v>
      </c>
      <c r="L602">
        <v>9</v>
      </c>
      <c r="M602">
        <v>1</v>
      </c>
    </row>
    <row r="603" spans="1:13" x14ac:dyDescent="0.35">
      <c r="A603">
        <v>17</v>
      </c>
      <c r="B603" t="s">
        <v>16</v>
      </c>
      <c r="C603">
        <v>2.2999999999999998</v>
      </c>
      <c r="D603" t="s">
        <v>14</v>
      </c>
      <c r="E603">
        <v>4.9000000000000004</v>
      </c>
      <c r="F603">
        <v>1.7</v>
      </c>
      <c r="G603">
        <v>2.0699999999999998</v>
      </c>
      <c r="H603">
        <v>0.3</v>
      </c>
      <c r="I603" t="s">
        <v>19</v>
      </c>
      <c r="J603">
        <v>3</v>
      </c>
      <c r="K603">
        <v>7</v>
      </c>
      <c r="L603">
        <v>7</v>
      </c>
      <c r="M603">
        <v>0</v>
      </c>
    </row>
    <row r="604" spans="1:13" x14ac:dyDescent="0.35">
      <c r="A604">
        <v>13</v>
      </c>
      <c r="B604" t="s">
        <v>13</v>
      </c>
      <c r="C604">
        <v>7.1</v>
      </c>
      <c r="D604" t="s">
        <v>20</v>
      </c>
      <c r="E604">
        <v>5.7</v>
      </c>
      <c r="F604">
        <v>2.1</v>
      </c>
      <c r="G604">
        <v>3.52</v>
      </c>
      <c r="H604">
        <v>1.7</v>
      </c>
      <c r="I604" t="s">
        <v>15</v>
      </c>
      <c r="J604">
        <v>1</v>
      </c>
      <c r="K604">
        <v>1</v>
      </c>
      <c r="L604">
        <v>3</v>
      </c>
      <c r="M604">
        <v>0</v>
      </c>
    </row>
    <row r="605" spans="1:13" x14ac:dyDescent="0.35">
      <c r="A605">
        <v>16</v>
      </c>
      <c r="B605" t="s">
        <v>13</v>
      </c>
      <c r="C605">
        <v>6.9</v>
      </c>
      <c r="D605" t="s">
        <v>14</v>
      </c>
      <c r="E605">
        <v>6.8</v>
      </c>
      <c r="F605">
        <v>1.1000000000000001</v>
      </c>
      <c r="G605">
        <v>3.33</v>
      </c>
      <c r="H605">
        <v>1</v>
      </c>
      <c r="I605" t="s">
        <v>19</v>
      </c>
      <c r="J605">
        <v>7</v>
      </c>
      <c r="K605">
        <v>9</v>
      </c>
      <c r="L605">
        <v>4</v>
      </c>
      <c r="M605">
        <v>0</v>
      </c>
    </row>
    <row r="606" spans="1:13" x14ac:dyDescent="0.35">
      <c r="A606">
        <v>16</v>
      </c>
      <c r="B606" t="s">
        <v>16</v>
      </c>
      <c r="C606">
        <v>5.6</v>
      </c>
      <c r="D606" t="s">
        <v>17</v>
      </c>
      <c r="E606">
        <v>7.9</v>
      </c>
      <c r="F606">
        <v>2</v>
      </c>
      <c r="G606">
        <v>3.91</v>
      </c>
      <c r="H606">
        <v>0.6</v>
      </c>
      <c r="I606" t="s">
        <v>19</v>
      </c>
      <c r="J606">
        <v>7</v>
      </c>
      <c r="K606">
        <v>3</v>
      </c>
      <c r="L606">
        <v>10</v>
      </c>
      <c r="M606">
        <v>0</v>
      </c>
    </row>
    <row r="607" spans="1:13" x14ac:dyDescent="0.35">
      <c r="A607">
        <v>16</v>
      </c>
      <c r="B607" t="s">
        <v>16</v>
      </c>
      <c r="C607">
        <v>5.2</v>
      </c>
      <c r="D607" t="s">
        <v>17</v>
      </c>
      <c r="E607">
        <v>8.1</v>
      </c>
      <c r="F607">
        <v>2.1</v>
      </c>
      <c r="G607">
        <v>2.67</v>
      </c>
      <c r="H607">
        <v>1.7</v>
      </c>
      <c r="I607" t="s">
        <v>19</v>
      </c>
      <c r="J607">
        <v>9</v>
      </c>
      <c r="K607">
        <v>10</v>
      </c>
      <c r="L607">
        <v>10</v>
      </c>
      <c r="M607">
        <v>0</v>
      </c>
    </row>
    <row r="608" spans="1:13" x14ac:dyDescent="0.35">
      <c r="A608">
        <v>17</v>
      </c>
      <c r="B608" t="s">
        <v>13</v>
      </c>
      <c r="C608">
        <v>4.5</v>
      </c>
      <c r="D608" t="s">
        <v>20</v>
      </c>
      <c r="E608">
        <v>4.9000000000000004</v>
      </c>
      <c r="F608">
        <v>0.5</v>
      </c>
      <c r="G608">
        <v>3.44</v>
      </c>
      <c r="H608">
        <v>1.2</v>
      </c>
      <c r="I608" t="s">
        <v>19</v>
      </c>
      <c r="J608">
        <v>5</v>
      </c>
      <c r="K608">
        <v>3</v>
      </c>
      <c r="L608">
        <v>1</v>
      </c>
      <c r="M608">
        <v>0</v>
      </c>
    </row>
    <row r="609" spans="1:13" x14ac:dyDescent="0.35">
      <c r="A609">
        <v>14</v>
      </c>
      <c r="B609" t="s">
        <v>13</v>
      </c>
      <c r="C609">
        <v>3.6</v>
      </c>
      <c r="D609" t="s">
        <v>17</v>
      </c>
      <c r="E609">
        <v>4</v>
      </c>
      <c r="F609">
        <v>1.4</v>
      </c>
      <c r="G609">
        <v>3.83</v>
      </c>
      <c r="H609">
        <v>0.5</v>
      </c>
      <c r="I609" t="s">
        <v>19</v>
      </c>
      <c r="J609">
        <v>1</v>
      </c>
      <c r="K609">
        <v>5</v>
      </c>
      <c r="L609">
        <v>2</v>
      </c>
      <c r="M609">
        <v>0</v>
      </c>
    </row>
    <row r="610" spans="1:13" x14ac:dyDescent="0.35">
      <c r="A610">
        <v>19</v>
      </c>
      <c r="B610" t="s">
        <v>13</v>
      </c>
      <c r="C610">
        <v>7.2</v>
      </c>
      <c r="D610" t="s">
        <v>14</v>
      </c>
      <c r="E610">
        <v>5</v>
      </c>
      <c r="F610">
        <v>2.2000000000000002</v>
      </c>
      <c r="G610">
        <v>2.5</v>
      </c>
      <c r="H610">
        <v>0.7</v>
      </c>
      <c r="I610" t="s">
        <v>18</v>
      </c>
      <c r="J610">
        <v>6</v>
      </c>
      <c r="K610">
        <v>9</v>
      </c>
      <c r="L610">
        <v>2</v>
      </c>
      <c r="M610">
        <v>0</v>
      </c>
    </row>
    <row r="611" spans="1:13" x14ac:dyDescent="0.35">
      <c r="A611">
        <v>17</v>
      </c>
      <c r="B611" t="s">
        <v>13</v>
      </c>
      <c r="C611">
        <v>6.4</v>
      </c>
      <c r="D611" t="s">
        <v>17</v>
      </c>
      <c r="E611">
        <v>8.6</v>
      </c>
      <c r="F611">
        <v>2.2999999999999998</v>
      </c>
      <c r="G611">
        <v>2.57</v>
      </c>
      <c r="H611">
        <v>1.3</v>
      </c>
      <c r="I611" t="s">
        <v>15</v>
      </c>
      <c r="J611">
        <v>9</v>
      </c>
      <c r="K611">
        <v>10</v>
      </c>
      <c r="L611">
        <v>5</v>
      </c>
      <c r="M611">
        <v>0</v>
      </c>
    </row>
    <row r="612" spans="1:13" x14ac:dyDescent="0.35">
      <c r="A612">
        <v>15</v>
      </c>
      <c r="B612" t="s">
        <v>13</v>
      </c>
      <c r="C612">
        <v>7.1</v>
      </c>
      <c r="D612" t="s">
        <v>20</v>
      </c>
      <c r="E612">
        <v>6.5</v>
      </c>
      <c r="F612">
        <v>0.7</v>
      </c>
      <c r="G612">
        <v>3.94</v>
      </c>
      <c r="H612">
        <v>0.2</v>
      </c>
      <c r="I612" t="s">
        <v>19</v>
      </c>
      <c r="J612">
        <v>4</v>
      </c>
      <c r="K612">
        <v>7</v>
      </c>
      <c r="L612">
        <v>1</v>
      </c>
      <c r="M612">
        <v>0</v>
      </c>
    </row>
    <row r="613" spans="1:13" x14ac:dyDescent="0.35">
      <c r="A613">
        <v>18</v>
      </c>
      <c r="B613" t="s">
        <v>13</v>
      </c>
      <c r="C613">
        <v>1.2</v>
      </c>
      <c r="D613" t="s">
        <v>20</v>
      </c>
      <c r="E613">
        <v>4.0999999999999996</v>
      </c>
      <c r="F613">
        <v>1.1000000000000001</v>
      </c>
      <c r="G613">
        <v>3.04</v>
      </c>
      <c r="H613">
        <v>1.6</v>
      </c>
      <c r="I613" t="s">
        <v>15</v>
      </c>
      <c r="J613">
        <v>1</v>
      </c>
      <c r="K613">
        <v>3</v>
      </c>
      <c r="L613">
        <v>6</v>
      </c>
      <c r="M613">
        <v>0</v>
      </c>
    </row>
    <row r="614" spans="1:13" x14ac:dyDescent="0.35">
      <c r="A614">
        <v>19</v>
      </c>
      <c r="B614" t="s">
        <v>13</v>
      </c>
      <c r="C614">
        <v>6.6</v>
      </c>
      <c r="D614" t="s">
        <v>17</v>
      </c>
      <c r="E614">
        <v>8.8000000000000007</v>
      </c>
      <c r="F614">
        <v>0.9</v>
      </c>
      <c r="G614">
        <v>3.84</v>
      </c>
      <c r="H614">
        <v>0.3</v>
      </c>
      <c r="I614" t="s">
        <v>18</v>
      </c>
      <c r="J614">
        <v>10</v>
      </c>
      <c r="K614">
        <v>10</v>
      </c>
      <c r="L614">
        <v>6</v>
      </c>
      <c r="M614">
        <v>0</v>
      </c>
    </row>
    <row r="615" spans="1:13" x14ac:dyDescent="0.35">
      <c r="A615">
        <v>19</v>
      </c>
      <c r="B615" t="s">
        <v>16</v>
      </c>
      <c r="C615">
        <v>6.5</v>
      </c>
      <c r="D615" t="s">
        <v>17</v>
      </c>
      <c r="E615">
        <v>6.4</v>
      </c>
      <c r="F615">
        <v>1.1000000000000001</v>
      </c>
      <c r="G615">
        <v>3.71</v>
      </c>
      <c r="H615">
        <v>1.2</v>
      </c>
      <c r="I615" t="s">
        <v>15</v>
      </c>
      <c r="J615">
        <v>8</v>
      </c>
      <c r="K615">
        <v>9</v>
      </c>
      <c r="L615">
        <v>8</v>
      </c>
      <c r="M615">
        <v>0</v>
      </c>
    </row>
    <row r="616" spans="1:13" x14ac:dyDescent="0.35">
      <c r="A616">
        <v>16</v>
      </c>
      <c r="B616" t="s">
        <v>13</v>
      </c>
      <c r="C616">
        <v>2</v>
      </c>
      <c r="D616" t="s">
        <v>17</v>
      </c>
      <c r="E616">
        <v>4.4000000000000004</v>
      </c>
      <c r="F616">
        <v>0.7</v>
      </c>
      <c r="G616">
        <v>2.68</v>
      </c>
      <c r="H616">
        <v>0.8</v>
      </c>
      <c r="I616" t="s">
        <v>19</v>
      </c>
      <c r="J616">
        <v>1</v>
      </c>
      <c r="K616">
        <v>4</v>
      </c>
      <c r="L616">
        <v>10</v>
      </c>
      <c r="M616">
        <v>0</v>
      </c>
    </row>
    <row r="617" spans="1:13" x14ac:dyDescent="0.35">
      <c r="A617">
        <v>13</v>
      </c>
      <c r="B617" t="s">
        <v>13</v>
      </c>
      <c r="C617">
        <v>2.5</v>
      </c>
      <c r="D617" t="s">
        <v>14</v>
      </c>
      <c r="E617">
        <v>5.3</v>
      </c>
      <c r="F617">
        <v>0.8</v>
      </c>
      <c r="G617">
        <v>3.12</v>
      </c>
      <c r="H617">
        <v>0.4</v>
      </c>
      <c r="I617" t="s">
        <v>18</v>
      </c>
      <c r="J617">
        <v>3</v>
      </c>
      <c r="K617">
        <v>5</v>
      </c>
      <c r="L617">
        <v>3</v>
      </c>
      <c r="M617">
        <v>0</v>
      </c>
    </row>
    <row r="618" spans="1:13" x14ac:dyDescent="0.35">
      <c r="A618">
        <v>19</v>
      </c>
      <c r="B618" t="s">
        <v>13</v>
      </c>
      <c r="C618">
        <v>2.1</v>
      </c>
      <c r="D618" t="s">
        <v>14</v>
      </c>
      <c r="E618">
        <v>8.8000000000000007</v>
      </c>
      <c r="F618">
        <v>2.2999999999999998</v>
      </c>
      <c r="G618">
        <v>2.2200000000000002</v>
      </c>
      <c r="H618">
        <v>1.2</v>
      </c>
      <c r="I618" t="s">
        <v>18</v>
      </c>
      <c r="J618">
        <v>5</v>
      </c>
      <c r="K618">
        <v>5</v>
      </c>
      <c r="L618">
        <v>3</v>
      </c>
      <c r="M618">
        <v>0</v>
      </c>
    </row>
    <row r="619" spans="1:13" x14ac:dyDescent="0.35">
      <c r="A619">
        <v>16</v>
      </c>
      <c r="B619" t="s">
        <v>16</v>
      </c>
      <c r="C619">
        <v>7.1</v>
      </c>
      <c r="D619" t="s">
        <v>17</v>
      </c>
      <c r="E619">
        <v>8.8000000000000007</v>
      </c>
      <c r="F619">
        <v>1.8</v>
      </c>
      <c r="G619">
        <v>3.99</v>
      </c>
      <c r="H619">
        <v>0.8</v>
      </c>
      <c r="I619" t="s">
        <v>15</v>
      </c>
      <c r="J619">
        <v>6</v>
      </c>
      <c r="K619">
        <v>10</v>
      </c>
      <c r="L619">
        <v>8</v>
      </c>
      <c r="M619">
        <v>0</v>
      </c>
    </row>
    <row r="620" spans="1:13" x14ac:dyDescent="0.35">
      <c r="A620">
        <v>19</v>
      </c>
      <c r="B620" t="s">
        <v>16</v>
      </c>
      <c r="C620">
        <v>6.8</v>
      </c>
      <c r="D620" t="s">
        <v>20</v>
      </c>
      <c r="E620">
        <v>4.4000000000000004</v>
      </c>
      <c r="F620">
        <v>2.1</v>
      </c>
      <c r="G620">
        <v>3.69</v>
      </c>
      <c r="H620">
        <v>0.4</v>
      </c>
      <c r="I620" t="s">
        <v>18</v>
      </c>
      <c r="J620">
        <v>3</v>
      </c>
      <c r="K620">
        <v>2</v>
      </c>
      <c r="L620">
        <v>8</v>
      </c>
      <c r="M620">
        <v>0</v>
      </c>
    </row>
    <row r="621" spans="1:13" x14ac:dyDescent="0.35">
      <c r="A621">
        <v>13</v>
      </c>
      <c r="B621" t="s">
        <v>13</v>
      </c>
      <c r="C621">
        <v>5.2</v>
      </c>
      <c r="D621" t="s">
        <v>20</v>
      </c>
      <c r="E621">
        <v>5.4</v>
      </c>
      <c r="F621">
        <v>0.8</v>
      </c>
      <c r="G621">
        <v>2.39</v>
      </c>
      <c r="H621">
        <v>2</v>
      </c>
      <c r="I621" t="s">
        <v>15</v>
      </c>
      <c r="J621">
        <v>8</v>
      </c>
      <c r="K621">
        <v>3</v>
      </c>
      <c r="L621">
        <v>10</v>
      </c>
      <c r="M621">
        <v>0</v>
      </c>
    </row>
    <row r="622" spans="1:13" x14ac:dyDescent="0.35">
      <c r="A622">
        <v>19</v>
      </c>
      <c r="B622" t="s">
        <v>13</v>
      </c>
      <c r="C622">
        <v>7</v>
      </c>
      <c r="D622" t="s">
        <v>17</v>
      </c>
      <c r="E622">
        <v>4.5</v>
      </c>
      <c r="F622">
        <v>2.2999999999999998</v>
      </c>
      <c r="G622">
        <v>3.26</v>
      </c>
      <c r="H622">
        <v>1.7</v>
      </c>
      <c r="I622" t="s">
        <v>18</v>
      </c>
      <c r="J622">
        <v>9</v>
      </c>
      <c r="K622">
        <v>10</v>
      </c>
      <c r="L622">
        <v>3</v>
      </c>
      <c r="M622">
        <v>1</v>
      </c>
    </row>
    <row r="623" spans="1:13" x14ac:dyDescent="0.35">
      <c r="A623">
        <v>19</v>
      </c>
      <c r="B623" t="s">
        <v>13</v>
      </c>
      <c r="C623">
        <v>6.8</v>
      </c>
      <c r="D623" t="s">
        <v>17</v>
      </c>
      <c r="E623">
        <v>8.4</v>
      </c>
      <c r="F623">
        <v>2</v>
      </c>
      <c r="G623">
        <v>2.6</v>
      </c>
      <c r="H623">
        <v>1.5</v>
      </c>
      <c r="I623" t="s">
        <v>15</v>
      </c>
      <c r="J623">
        <v>7</v>
      </c>
      <c r="K623">
        <v>2</v>
      </c>
      <c r="L623">
        <v>2</v>
      </c>
      <c r="M623">
        <v>0</v>
      </c>
    </row>
    <row r="624" spans="1:13" x14ac:dyDescent="0.35">
      <c r="A624">
        <v>16</v>
      </c>
      <c r="B624" t="s">
        <v>16</v>
      </c>
      <c r="C624">
        <v>3.8</v>
      </c>
      <c r="D624" t="s">
        <v>17</v>
      </c>
      <c r="E624">
        <v>5.3</v>
      </c>
      <c r="F624">
        <v>1.5</v>
      </c>
      <c r="G624">
        <v>2.04</v>
      </c>
      <c r="H624">
        <v>1.5</v>
      </c>
      <c r="I624" t="s">
        <v>18</v>
      </c>
      <c r="J624">
        <v>5</v>
      </c>
      <c r="K624">
        <v>10</v>
      </c>
      <c r="L624">
        <v>5</v>
      </c>
      <c r="M624">
        <v>0</v>
      </c>
    </row>
    <row r="625" spans="1:13" x14ac:dyDescent="0.35">
      <c r="A625">
        <v>14</v>
      </c>
      <c r="B625" t="s">
        <v>13</v>
      </c>
      <c r="C625">
        <v>2.9</v>
      </c>
      <c r="D625" t="s">
        <v>14</v>
      </c>
      <c r="E625">
        <v>7.2</v>
      </c>
      <c r="F625">
        <v>2</v>
      </c>
      <c r="G625">
        <v>3.96</v>
      </c>
      <c r="H625">
        <v>1.5</v>
      </c>
      <c r="I625" t="s">
        <v>19</v>
      </c>
      <c r="J625">
        <v>9</v>
      </c>
      <c r="K625">
        <v>10</v>
      </c>
      <c r="L625">
        <v>4</v>
      </c>
      <c r="M625">
        <v>0</v>
      </c>
    </row>
    <row r="626" spans="1:13" x14ac:dyDescent="0.35">
      <c r="A626">
        <v>16</v>
      </c>
      <c r="B626" t="s">
        <v>13</v>
      </c>
      <c r="C626">
        <v>3.6</v>
      </c>
      <c r="D626" t="s">
        <v>14</v>
      </c>
      <c r="E626">
        <v>6.6</v>
      </c>
      <c r="F626">
        <v>0.7</v>
      </c>
      <c r="G626">
        <v>2.25</v>
      </c>
      <c r="H626">
        <v>1.9</v>
      </c>
      <c r="I626" t="s">
        <v>15</v>
      </c>
      <c r="J626">
        <v>4</v>
      </c>
      <c r="K626">
        <v>1</v>
      </c>
      <c r="L626">
        <v>8</v>
      </c>
      <c r="M626">
        <v>0</v>
      </c>
    </row>
    <row r="627" spans="1:13" x14ac:dyDescent="0.35">
      <c r="A627">
        <v>13</v>
      </c>
      <c r="B627" t="s">
        <v>13</v>
      </c>
      <c r="C627">
        <v>4</v>
      </c>
      <c r="D627" t="s">
        <v>20</v>
      </c>
      <c r="E627">
        <v>8.3000000000000007</v>
      </c>
      <c r="F627">
        <v>0.6</v>
      </c>
      <c r="G627">
        <v>3.71</v>
      </c>
      <c r="H627">
        <v>0.1</v>
      </c>
      <c r="I627" t="s">
        <v>15</v>
      </c>
      <c r="J627">
        <v>2</v>
      </c>
      <c r="K627">
        <v>6</v>
      </c>
      <c r="L627">
        <v>1</v>
      </c>
      <c r="M627">
        <v>0</v>
      </c>
    </row>
    <row r="628" spans="1:13" x14ac:dyDescent="0.35">
      <c r="A628">
        <v>17</v>
      </c>
      <c r="B628" t="s">
        <v>16</v>
      </c>
      <c r="C628">
        <v>7.5</v>
      </c>
      <c r="D628" t="s">
        <v>20</v>
      </c>
      <c r="E628">
        <v>4.7</v>
      </c>
      <c r="F628">
        <v>2.1</v>
      </c>
      <c r="G628">
        <v>2.5499999999999998</v>
      </c>
      <c r="H628">
        <v>0.1</v>
      </c>
      <c r="I628" t="s">
        <v>18</v>
      </c>
      <c r="J628">
        <v>3</v>
      </c>
      <c r="K628">
        <v>9</v>
      </c>
      <c r="L628">
        <v>1</v>
      </c>
      <c r="M628">
        <v>0</v>
      </c>
    </row>
    <row r="629" spans="1:13" x14ac:dyDescent="0.35">
      <c r="A629">
        <v>16</v>
      </c>
      <c r="B629" t="s">
        <v>16</v>
      </c>
      <c r="C629">
        <v>6</v>
      </c>
      <c r="D629" t="s">
        <v>20</v>
      </c>
      <c r="E629">
        <v>8.6999999999999993</v>
      </c>
      <c r="F629">
        <v>1.5</v>
      </c>
      <c r="G629">
        <v>3.76</v>
      </c>
      <c r="H629">
        <v>0.1</v>
      </c>
      <c r="I629" t="s">
        <v>19</v>
      </c>
      <c r="J629">
        <v>2</v>
      </c>
      <c r="K629">
        <v>5</v>
      </c>
      <c r="L629">
        <v>4</v>
      </c>
      <c r="M629">
        <v>0</v>
      </c>
    </row>
    <row r="630" spans="1:13" x14ac:dyDescent="0.35">
      <c r="A630">
        <v>16</v>
      </c>
      <c r="B630" t="s">
        <v>16</v>
      </c>
      <c r="C630">
        <v>3.6</v>
      </c>
      <c r="D630" t="s">
        <v>14</v>
      </c>
      <c r="E630">
        <v>6.1</v>
      </c>
      <c r="F630">
        <v>2.8</v>
      </c>
      <c r="G630">
        <v>3.8</v>
      </c>
      <c r="H630">
        <v>0.1</v>
      </c>
      <c r="I630" t="s">
        <v>18</v>
      </c>
      <c r="J630">
        <v>2</v>
      </c>
      <c r="K630">
        <v>1</v>
      </c>
      <c r="L630">
        <v>7</v>
      </c>
      <c r="M630">
        <v>0</v>
      </c>
    </row>
    <row r="631" spans="1:13" x14ac:dyDescent="0.35">
      <c r="A631">
        <v>19</v>
      </c>
      <c r="B631" t="s">
        <v>13</v>
      </c>
      <c r="C631">
        <v>4.7</v>
      </c>
      <c r="D631" t="s">
        <v>20</v>
      </c>
      <c r="E631">
        <v>8.1999999999999993</v>
      </c>
      <c r="F631">
        <v>1.2</v>
      </c>
      <c r="G631">
        <v>2.83</v>
      </c>
      <c r="H631">
        <v>1.2</v>
      </c>
      <c r="I631" t="s">
        <v>18</v>
      </c>
      <c r="J631">
        <v>5</v>
      </c>
      <c r="K631">
        <v>9</v>
      </c>
      <c r="L631">
        <v>9</v>
      </c>
      <c r="M631">
        <v>0</v>
      </c>
    </row>
    <row r="632" spans="1:13" x14ac:dyDescent="0.35">
      <c r="A632">
        <v>13</v>
      </c>
      <c r="B632" t="s">
        <v>13</v>
      </c>
      <c r="C632">
        <v>2</v>
      </c>
      <c r="D632" t="s">
        <v>14</v>
      </c>
      <c r="E632">
        <v>6.6</v>
      </c>
      <c r="F632">
        <v>0.9</v>
      </c>
      <c r="G632">
        <v>3.34</v>
      </c>
      <c r="H632">
        <v>1.5</v>
      </c>
      <c r="I632" t="s">
        <v>18</v>
      </c>
      <c r="J632">
        <v>5</v>
      </c>
      <c r="K632">
        <v>9</v>
      </c>
      <c r="L632">
        <v>4</v>
      </c>
      <c r="M632">
        <v>0</v>
      </c>
    </row>
    <row r="633" spans="1:13" x14ac:dyDescent="0.35">
      <c r="A633">
        <v>13</v>
      </c>
      <c r="B633" t="s">
        <v>13</v>
      </c>
      <c r="C633">
        <v>7.8</v>
      </c>
      <c r="D633" t="s">
        <v>17</v>
      </c>
      <c r="E633">
        <v>7.2</v>
      </c>
      <c r="F633">
        <v>1.3</v>
      </c>
      <c r="G633">
        <v>3.31</v>
      </c>
      <c r="H633">
        <v>0.8</v>
      </c>
      <c r="I633" t="s">
        <v>18</v>
      </c>
      <c r="J633">
        <v>9</v>
      </c>
      <c r="K633">
        <v>2</v>
      </c>
      <c r="L633">
        <v>4</v>
      </c>
      <c r="M633">
        <v>0</v>
      </c>
    </row>
    <row r="634" spans="1:13" x14ac:dyDescent="0.35">
      <c r="A634">
        <v>19</v>
      </c>
      <c r="B634" t="s">
        <v>13</v>
      </c>
      <c r="C634">
        <v>5.9</v>
      </c>
      <c r="D634" t="s">
        <v>17</v>
      </c>
      <c r="E634">
        <v>7.4</v>
      </c>
      <c r="F634">
        <v>0.7</v>
      </c>
      <c r="G634">
        <v>3.27</v>
      </c>
      <c r="H634">
        <v>1.7</v>
      </c>
      <c r="I634" t="s">
        <v>18</v>
      </c>
      <c r="J634">
        <v>1</v>
      </c>
      <c r="K634">
        <v>9</v>
      </c>
      <c r="L634">
        <v>9</v>
      </c>
      <c r="M634">
        <v>0</v>
      </c>
    </row>
    <row r="635" spans="1:13" x14ac:dyDescent="0.35">
      <c r="A635">
        <v>19</v>
      </c>
      <c r="B635" t="s">
        <v>13</v>
      </c>
      <c r="C635">
        <v>7.7</v>
      </c>
      <c r="D635" t="s">
        <v>17</v>
      </c>
      <c r="E635">
        <v>8.4</v>
      </c>
      <c r="F635">
        <v>2.8</v>
      </c>
      <c r="G635">
        <v>3.43</v>
      </c>
      <c r="H635">
        <v>0.2</v>
      </c>
      <c r="I635" t="s">
        <v>19</v>
      </c>
      <c r="J635">
        <v>7</v>
      </c>
      <c r="K635">
        <v>6</v>
      </c>
      <c r="L635">
        <v>6</v>
      </c>
      <c r="M635">
        <v>0</v>
      </c>
    </row>
    <row r="636" spans="1:13" x14ac:dyDescent="0.35">
      <c r="A636">
        <v>13</v>
      </c>
      <c r="B636" t="s">
        <v>13</v>
      </c>
      <c r="C636">
        <v>2.2000000000000002</v>
      </c>
      <c r="D636" t="s">
        <v>17</v>
      </c>
      <c r="E636">
        <v>5.4</v>
      </c>
      <c r="F636">
        <v>1.2</v>
      </c>
      <c r="G636">
        <v>2.33</v>
      </c>
      <c r="H636">
        <v>0.8</v>
      </c>
      <c r="I636" t="s">
        <v>19</v>
      </c>
      <c r="J636">
        <v>10</v>
      </c>
      <c r="K636">
        <v>3</v>
      </c>
      <c r="L636">
        <v>4</v>
      </c>
      <c r="M636">
        <v>0</v>
      </c>
    </row>
    <row r="637" spans="1:13" x14ac:dyDescent="0.35">
      <c r="A637">
        <v>18</v>
      </c>
      <c r="B637" t="s">
        <v>16</v>
      </c>
      <c r="C637">
        <v>7.7</v>
      </c>
      <c r="D637" t="s">
        <v>17</v>
      </c>
      <c r="E637">
        <v>7.6</v>
      </c>
      <c r="F637">
        <v>2.9</v>
      </c>
      <c r="G637">
        <v>3.81</v>
      </c>
      <c r="H637">
        <v>0.5</v>
      </c>
      <c r="I637" t="s">
        <v>18</v>
      </c>
      <c r="J637">
        <v>10</v>
      </c>
      <c r="K637">
        <v>3</v>
      </c>
      <c r="L637">
        <v>6</v>
      </c>
      <c r="M637">
        <v>0</v>
      </c>
    </row>
    <row r="638" spans="1:13" x14ac:dyDescent="0.35">
      <c r="A638">
        <v>18</v>
      </c>
      <c r="B638" t="s">
        <v>13</v>
      </c>
      <c r="C638">
        <v>3.2</v>
      </c>
      <c r="D638" t="s">
        <v>14</v>
      </c>
      <c r="E638">
        <v>6</v>
      </c>
      <c r="F638">
        <v>1.5</v>
      </c>
      <c r="G638">
        <v>3.36</v>
      </c>
      <c r="H638">
        <v>1.5</v>
      </c>
      <c r="I638" t="s">
        <v>18</v>
      </c>
      <c r="J638">
        <v>9</v>
      </c>
      <c r="K638">
        <v>7</v>
      </c>
      <c r="L638">
        <v>10</v>
      </c>
      <c r="M638">
        <v>0</v>
      </c>
    </row>
    <row r="639" spans="1:13" x14ac:dyDescent="0.35">
      <c r="A639">
        <v>16</v>
      </c>
      <c r="B639" t="s">
        <v>13</v>
      </c>
      <c r="C639">
        <v>2</v>
      </c>
      <c r="D639" t="s">
        <v>17</v>
      </c>
      <c r="E639">
        <v>7.8</v>
      </c>
      <c r="F639">
        <v>0.5</v>
      </c>
      <c r="G639">
        <v>2.81</v>
      </c>
      <c r="H639">
        <v>1.4</v>
      </c>
      <c r="I639" t="s">
        <v>18</v>
      </c>
      <c r="J639">
        <v>10</v>
      </c>
      <c r="K639">
        <v>2</v>
      </c>
      <c r="L639">
        <v>4</v>
      </c>
      <c r="M639">
        <v>0</v>
      </c>
    </row>
    <row r="640" spans="1:13" x14ac:dyDescent="0.35">
      <c r="A640">
        <v>15</v>
      </c>
      <c r="B640" t="s">
        <v>16</v>
      </c>
      <c r="C640">
        <v>6.2</v>
      </c>
      <c r="D640" t="s">
        <v>20</v>
      </c>
      <c r="E640">
        <v>5.2</v>
      </c>
      <c r="F640">
        <v>1</v>
      </c>
      <c r="G640">
        <v>3.94</v>
      </c>
      <c r="H640">
        <v>1.4</v>
      </c>
      <c r="I640" t="s">
        <v>15</v>
      </c>
      <c r="J640">
        <v>5</v>
      </c>
      <c r="K640">
        <v>2</v>
      </c>
      <c r="L640">
        <v>7</v>
      </c>
      <c r="M640">
        <v>0</v>
      </c>
    </row>
    <row r="641" spans="1:13" x14ac:dyDescent="0.35">
      <c r="A641">
        <v>19</v>
      </c>
      <c r="B641" t="s">
        <v>16</v>
      </c>
      <c r="C641">
        <v>2.4</v>
      </c>
      <c r="D641" t="s">
        <v>14</v>
      </c>
      <c r="E641">
        <v>8.6999999999999993</v>
      </c>
      <c r="F641">
        <v>1.6</v>
      </c>
      <c r="G641">
        <v>2.4</v>
      </c>
      <c r="H641">
        <v>0.1</v>
      </c>
      <c r="I641" t="s">
        <v>19</v>
      </c>
      <c r="J641">
        <v>2</v>
      </c>
      <c r="K641">
        <v>9</v>
      </c>
      <c r="L641">
        <v>7</v>
      </c>
      <c r="M641">
        <v>0</v>
      </c>
    </row>
    <row r="642" spans="1:13" x14ac:dyDescent="0.35">
      <c r="A642">
        <v>15</v>
      </c>
      <c r="B642" t="s">
        <v>13</v>
      </c>
      <c r="C642">
        <v>3.4</v>
      </c>
      <c r="D642" t="s">
        <v>20</v>
      </c>
      <c r="E642">
        <v>8</v>
      </c>
      <c r="F642">
        <v>1</v>
      </c>
      <c r="G642">
        <v>2.31</v>
      </c>
      <c r="H642">
        <v>1</v>
      </c>
      <c r="I642" t="s">
        <v>18</v>
      </c>
      <c r="J642">
        <v>4</v>
      </c>
      <c r="K642">
        <v>7</v>
      </c>
      <c r="L642">
        <v>6</v>
      </c>
      <c r="M642">
        <v>0</v>
      </c>
    </row>
    <row r="643" spans="1:13" x14ac:dyDescent="0.35">
      <c r="A643">
        <v>19</v>
      </c>
      <c r="B643" t="s">
        <v>13</v>
      </c>
      <c r="C643">
        <v>6</v>
      </c>
      <c r="D643" t="s">
        <v>14</v>
      </c>
      <c r="E643">
        <v>4.2</v>
      </c>
      <c r="F643">
        <v>0.9</v>
      </c>
      <c r="G643">
        <v>2.41</v>
      </c>
      <c r="H643">
        <v>0.8</v>
      </c>
      <c r="I643" t="s">
        <v>19</v>
      </c>
      <c r="J643">
        <v>7</v>
      </c>
      <c r="K643">
        <v>9</v>
      </c>
      <c r="L643">
        <v>9</v>
      </c>
      <c r="M643">
        <v>1</v>
      </c>
    </row>
    <row r="644" spans="1:13" x14ac:dyDescent="0.35">
      <c r="A644">
        <v>16</v>
      </c>
      <c r="B644" t="s">
        <v>16</v>
      </c>
      <c r="C644">
        <v>5.3</v>
      </c>
      <c r="D644" t="s">
        <v>20</v>
      </c>
      <c r="E644">
        <v>5.6</v>
      </c>
      <c r="F644">
        <v>2.5</v>
      </c>
      <c r="G644">
        <v>2.73</v>
      </c>
      <c r="H644">
        <v>1.3</v>
      </c>
      <c r="I644" t="s">
        <v>19</v>
      </c>
      <c r="J644">
        <v>7</v>
      </c>
      <c r="K644">
        <v>10</v>
      </c>
      <c r="L644">
        <v>4</v>
      </c>
      <c r="M644">
        <v>1</v>
      </c>
    </row>
    <row r="645" spans="1:13" x14ac:dyDescent="0.35">
      <c r="A645">
        <v>17</v>
      </c>
      <c r="B645" t="s">
        <v>16</v>
      </c>
      <c r="C645">
        <v>5.5</v>
      </c>
      <c r="D645" t="s">
        <v>14</v>
      </c>
      <c r="E645">
        <v>6.3</v>
      </c>
      <c r="F645">
        <v>0.8</v>
      </c>
      <c r="G645">
        <v>2.59</v>
      </c>
      <c r="H645">
        <v>1.6</v>
      </c>
      <c r="I645" t="s">
        <v>18</v>
      </c>
      <c r="J645">
        <v>6</v>
      </c>
      <c r="K645">
        <v>8</v>
      </c>
      <c r="L645">
        <v>7</v>
      </c>
      <c r="M645">
        <v>0</v>
      </c>
    </row>
    <row r="646" spans="1:13" x14ac:dyDescent="0.35">
      <c r="A646">
        <v>17</v>
      </c>
      <c r="B646" t="s">
        <v>13</v>
      </c>
      <c r="C646">
        <v>3.6</v>
      </c>
      <c r="D646" t="s">
        <v>20</v>
      </c>
      <c r="E646">
        <v>6.1</v>
      </c>
      <c r="F646">
        <v>2.8</v>
      </c>
      <c r="G646">
        <v>2.39</v>
      </c>
      <c r="H646">
        <v>0.6</v>
      </c>
      <c r="I646" t="s">
        <v>15</v>
      </c>
      <c r="J646">
        <v>6</v>
      </c>
      <c r="K646">
        <v>8</v>
      </c>
      <c r="L646">
        <v>5</v>
      </c>
      <c r="M646">
        <v>0</v>
      </c>
    </row>
    <row r="647" spans="1:13" x14ac:dyDescent="0.35">
      <c r="A647">
        <v>17</v>
      </c>
      <c r="B647" t="s">
        <v>16</v>
      </c>
      <c r="C647">
        <v>3.7</v>
      </c>
      <c r="D647" t="s">
        <v>14</v>
      </c>
      <c r="E647">
        <v>6.3</v>
      </c>
      <c r="F647">
        <v>1.3</v>
      </c>
      <c r="G647">
        <v>2.7</v>
      </c>
      <c r="H647">
        <v>1.1000000000000001</v>
      </c>
      <c r="I647" t="s">
        <v>19</v>
      </c>
      <c r="J647">
        <v>2</v>
      </c>
      <c r="K647">
        <v>6</v>
      </c>
      <c r="L647">
        <v>9</v>
      </c>
      <c r="M647">
        <v>0</v>
      </c>
    </row>
    <row r="648" spans="1:13" x14ac:dyDescent="0.35">
      <c r="A648">
        <v>16</v>
      </c>
      <c r="B648" t="s">
        <v>16</v>
      </c>
      <c r="C648">
        <v>7.4</v>
      </c>
      <c r="D648" t="s">
        <v>14</v>
      </c>
      <c r="E648">
        <v>7.4</v>
      </c>
      <c r="F648">
        <v>0.9</v>
      </c>
      <c r="G648">
        <v>3.7</v>
      </c>
      <c r="H648">
        <v>1.3</v>
      </c>
      <c r="I648" t="s">
        <v>19</v>
      </c>
      <c r="J648">
        <v>10</v>
      </c>
      <c r="K648">
        <v>6</v>
      </c>
      <c r="L648">
        <v>2</v>
      </c>
      <c r="M648">
        <v>0</v>
      </c>
    </row>
    <row r="649" spans="1:13" x14ac:dyDescent="0.35">
      <c r="A649">
        <v>13</v>
      </c>
      <c r="B649" t="s">
        <v>13</v>
      </c>
      <c r="C649">
        <v>5.3</v>
      </c>
      <c r="D649" t="s">
        <v>14</v>
      </c>
      <c r="E649">
        <v>6</v>
      </c>
      <c r="F649">
        <v>1</v>
      </c>
      <c r="G649">
        <v>2.92</v>
      </c>
      <c r="H649">
        <v>0.7</v>
      </c>
      <c r="I649" t="s">
        <v>18</v>
      </c>
      <c r="J649">
        <v>3</v>
      </c>
      <c r="K649">
        <v>8</v>
      </c>
      <c r="L649">
        <v>5</v>
      </c>
      <c r="M649">
        <v>0</v>
      </c>
    </row>
    <row r="650" spans="1:13" x14ac:dyDescent="0.35">
      <c r="A650">
        <v>18</v>
      </c>
      <c r="B650" t="s">
        <v>16</v>
      </c>
      <c r="C650">
        <v>4.8</v>
      </c>
      <c r="D650" t="s">
        <v>14</v>
      </c>
      <c r="E650">
        <v>5.5</v>
      </c>
      <c r="F650">
        <v>1.8</v>
      </c>
      <c r="G650">
        <v>2.9</v>
      </c>
      <c r="H650">
        <v>0.6</v>
      </c>
      <c r="I650" t="s">
        <v>15</v>
      </c>
      <c r="J650">
        <v>6</v>
      </c>
      <c r="K650">
        <v>2</v>
      </c>
      <c r="L650">
        <v>5</v>
      </c>
      <c r="M650">
        <v>0</v>
      </c>
    </row>
    <row r="651" spans="1:13" x14ac:dyDescent="0.35">
      <c r="A651">
        <v>13</v>
      </c>
      <c r="B651" t="s">
        <v>13</v>
      </c>
      <c r="C651">
        <v>3.4</v>
      </c>
      <c r="D651" t="s">
        <v>17</v>
      </c>
      <c r="E651">
        <v>4.5</v>
      </c>
      <c r="F651">
        <v>0.5</v>
      </c>
      <c r="G651">
        <v>3.71</v>
      </c>
      <c r="H651">
        <v>1</v>
      </c>
      <c r="I651" t="s">
        <v>19</v>
      </c>
      <c r="J651">
        <v>1</v>
      </c>
      <c r="K651">
        <v>10</v>
      </c>
      <c r="L651">
        <v>1</v>
      </c>
      <c r="M651">
        <v>0</v>
      </c>
    </row>
    <row r="652" spans="1:13" x14ac:dyDescent="0.35">
      <c r="A652">
        <v>17</v>
      </c>
      <c r="B652" t="s">
        <v>16</v>
      </c>
      <c r="C652">
        <v>7</v>
      </c>
      <c r="D652" t="s">
        <v>17</v>
      </c>
      <c r="E652">
        <v>8.9</v>
      </c>
      <c r="F652">
        <v>0.6</v>
      </c>
      <c r="G652">
        <v>3.67</v>
      </c>
      <c r="H652">
        <v>0.2</v>
      </c>
      <c r="I652" t="s">
        <v>19</v>
      </c>
      <c r="J652">
        <v>9</v>
      </c>
      <c r="K652">
        <v>2</v>
      </c>
      <c r="L652">
        <v>4</v>
      </c>
      <c r="M652">
        <v>0</v>
      </c>
    </row>
    <row r="653" spans="1:13" x14ac:dyDescent="0.35">
      <c r="A653">
        <v>15</v>
      </c>
      <c r="B653" t="s">
        <v>13</v>
      </c>
      <c r="C653">
        <v>5.4</v>
      </c>
      <c r="D653" t="s">
        <v>14</v>
      </c>
      <c r="E653">
        <v>7.2</v>
      </c>
      <c r="F653">
        <v>1.2</v>
      </c>
      <c r="G653">
        <v>3.32</v>
      </c>
      <c r="H653">
        <v>1.3</v>
      </c>
      <c r="I653" t="s">
        <v>18</v>
      </c>
      <c r="J653">
        <v>7</v>
      </c>
      <c r="K653">
        <v>8</v>
      </c>
      <c r="L653">
        <v>1</v>
      </c>
      <c r="M653">
        <v>0</v>
      </c>
    </row>
    <row r="654" spans="1:13" x14ac:dyDescent="0.35">
      <c r="A654">
        <v>17</v>
      </c>
      <c r="B654" t="s">
        <v>13</v>
      </c>
      <c r="C654">
        <v>5.3</v>
      </c>
      <c r="D654" t="s">
        <v>14</v>
      </c>
      <c r="E654">
        <v>6.4</v>
      </c>
      <c r="F654">
        <v>2.9</v>
      </c>
      <c r="G654">
        <v>2.42</v>
      </c>
      <c r="H654">
        <v>1.1000000000000001</v>
      </c>
      <c r="I654" t="s">
        <v>15</v>
      </c>
      <c r="J654">
        <v>3</v>
      </c>
      <c r="K654">
        <v>8</v>
      </c>
      <c r="L654">
        <v>3</v>
      </c>
      <c r="M654">
        <v>0</v>
      </c>
    </row>
    <row r="655" spans="1:13" x14ac:dyDescent="0.35">
      <c r="A655">
        <v>14</v>
      </c>
      <c r="B655" t="s">
        <v>13</v>
      </c>
      <c r="C655">
        <v>1.8</v>
      </c>
      <c r="D655" t="s">
        <v>20</v>
      </c>
      <c r="E655">
        <v>5.0999999999999996</v>
      </c>
      <c r="F655">
        <v>2.7</v>
      </c>
      <c r="G655">
        <v>3.47</v>
      </c>
      <c r="H655">
        <v>0.2</v>
      </c>
      <c r="I655" t="s">
        <v>15</v>
      </c>
      <c r="J655">
        <v>8</v>
      </c>
      <c r="K655">
        <v>4</v>
      </c>
      <c r="L655">
        <v>6</v>
      </c>
      <c r="M655">
        <v>0</v>
      </c>
    </row>
    <row r="656" spans="1:13" x14ac:dyDescent="0.35">
      <c r="A656">
        <v>15</v>
      </c>
      <c r="B656" t="s">
        <v>13</v>
      </c>
      <c r="C656">
        <v>4.5</v>
      </c>
      <c r="D656" t="s">
        <v>17</v>
      </c>
      <c r="E656">
        <v>6.2</v>
      </c>
      <c r="F656">
        <v>2.8</v>
      </c>
      <c r="G656">
        <v>2.74</v>
      </c>
      <c r="H656">
        <v>0.1</v>
      </c>
      <c r="I656" t="s">
        <v>18</v>
      </c>
      <c r="J656">
        <v>2</v>
      </c>
      <c r="K656">
        <v>3</v>
      </c>
      <c r="L656">
        <v>5</v>
      </c>
      <c r="M656">
        <v>0</v>
      </c>
    </row>
    <row r="657" spans="1:13" x14ac:dyDescent="0.35">
      <c r="A657">
        <v>17</v>
      </c>
      <c r="B657" t="s">
        <v>16</v>
      </c>
      <c r="C657">
        <v>5.4</v>
      </c>
      <c r="D657" t="s">
        <v>17</v>
      </c>
      <c r="E657">
        <v>7.1</v>
      </c>
      <c r="F657">
        <v>2.5</v>
      </c>
      <c r="G657">
        <v>2.68</v>
      </c>
      <c r="H657">
        <v>1.6</v>
      </c>
      <c r="I657" t="s">
        <v>15</v>
      </c>
      <c r="J657">
        <v>3</v>
      </c>
      <c r="K657">
        <v>5</v>
      </c>
      <c r="L657">
        <v>7</v>
      </c>
      <c r="M657">
        <v>0</v>
      </c>
    </row>
    <row r="658" spans="1:13" x14ac:dyDescent="0.35">
      <c r="A658">
        <v>13</v>
      </c>
      <c r="B658" t="s">
        <v>13</v>
      </c>
      <c r="C658">
        <v>3.6</v>
      </c>
      <c r="D658" t="s">
        <v>14</v>
      </c>
      <c r="E658">
        <v>8.6</v>
      </c>
      <c r="F658">
        <v>0.7</v>
      </c>
      <c r="G658">
        <v>2.42</v>
      </c>
      <c r="H658">
        <v>0.2</v>
      </c>
      <c r="I658" t="s">
        <v>19</v>
      </c>
      <c r="J658">
        <v>2</v>
      </c>
      <c r="K658">
        <v>6</v>
      </c>
      <c r="L658">
        <v>8</v>
      </c>
      <c r="M658">
        <v>0</v>
      </c>
    </row>
    <row r="659" spans="1:13" x14ac:dyDescent="0.35">
      <c r="A659">
        <v>14</v>
      </c>
      <c r="B659" t="s">
        <v>16</v>
      </c>
      <c r="C659">
        <v>5.7</v>
      </c>
      <c r="D659" t="s">
        <v>14</v>
      </c>
      <c r="E659">
        <v>8.9</v>
      </c>
      <c r="F659">
        <v>0.7</v>
      </c>
      <c r="G659">
        <v>2.17</v>
      </c>
      <c r="H659">
        <v>1.3</v>
      </c>
      <c r="I659" t="s">
        <v>18</v>
      </c>
      <c r="J659">
        <v>10</v>
      </c>
      <c r="K659">
        <v>4</v>
      </c>
      <c r="L659">
        <v>3</v>
      </c>
      <c r="M659">
        <v>0</v>
      </c>
    </row>
    <row r="660" spans="1:13" x14ac:dyDescent="0.35">
      <c r="A660">
        <v>15</v>
      </c>
      <c r="B660" t="s">
        <v>16</v>
      </c>
      <c r="C660">
        <v>5.5</v>
      </c>
      <c r="D660" t="s">
        <v>20</v>
      </c>
      <c r="E660">
        <v>7.3</v>
      </c>
      <c r="F660">
        <v>2.5</v>
      </c>
      <c r="G660">
        <v>3.67</v>
      </c>
      <c r="H660">
        <v>0.5</v>
      </c>
      <c r="I660" t="s">
        <v>15</v>
      </c>
      <c r="J660">
        <v>4</v>
      </c>
      <c r="K660">
        <v>3</v>
      </c>
      <c r="L660">
        <v>6</v>
      </c>
      <c r="M660">
        <v>0</v>
      </c>
    </row>
    <row r="661" spans="1:13" x14ac:dyDescent="0.35">
      <c r="A661">
        <v>14</v>
      </c>
      <c r="B661" t="s">
        <v>16</v>
      </c>
      <c r="C661">
        <v>5.3</v>
      </c>
      <c r="D661" t="s">
        <v>20</v>
      </c>
      <c r="E661">
        <v>4.7</v>
      </c>
      <c r="F661">
        <v>1.1000000000000001</v>
      </c>
      <c r="G661">
        <v>3.68</v>
      </c>
      <c r="H661">
        <v>1.8</v>
      </c>
      <c r="I661" t="s">
        <v>18</v>
      </c>
      <c r="J661">
        <v>10</v>
      </c>
      <c r="K661">
        <v>8</v>
      </c>
      <c r="L661">
        <v>10</v>
      </c>
      <c r="M661">
        <v>1</v>
      </c>
    </row>
    <row r="662" spans="1:13" x14ac:dyDescent="0.35">
      <c r="A662">
        <v>15</v>
      </c>
      <c r="B662" t="s">
        <v>13</v>
      </c>
      <c r="C662">
        <v>2.7</v>
      </c>
      <c r="D662" t="s">
        <v>14</v>
      </c>
      <c r="E662">
        <v>5.4</v>
      </c>
      <c r="F662">
        <v>1.6</v>
      </c>
      <c r="G662">
        <v>2.34</v>
      </c>
      <c r="H662">
        <v>0.3</v>
      </c>
      <c r="I662" t="s">
        <v>18</v>
      </c>
      <c r="J662">
        <v>2</v>
      </c>
      <c r="K662">
        <v>6</v>
      </c>
      <c r="L662">
        <v>8</v>
      </c>
      <c r="M662">
        <v>0</v>
      </c>
    </row>
    <row r="663" spans="1:13" x14ac:dyDescent="0.35">
      <c r="A663">
        <v>14</v>
      </c>
      <c r="B663" t="s">
        <v>13</v>
      </c>
      <c r="C663">
        <v>6.4</v>
      </c>
      <c r="D663" t="s">
        <v>14</v>
      </c>
      <c r="E663">
        <v>5.6</v>
      </c>
      <c r="F663">
        <v>0.8</v>
      </c>
      <c r="G663">
        <v>4</v>
      </c>
      <c r="H663">
        <v>1.9</v>
      </c>
      <c r="I663" t="s">
        <v>19</v>
      </c>
      <c r="J663">
        <v>5</v>
      </c>
      <c r="K663">
        <v>1</v>
      </c>
      <c r="L663">
        <v>3</v>
      </c>
      <c r="M663">
        <v>0</v>
      </c>
    </row>
    <row r="664" spans="1:13" x14ac:dyDescent="0.35">
      <c r="A664">
        <v>16</v>
      </c>
      <c r="B664" t="s">
        <v>13</v>
      </c>
      <c r="C664">
        <v>5</v>
      </c>
      <c r="D664" t="s">
        <v>17</v>
      </c>
      <c r="E664">
        <v>6.3</v>
      </c>
      <c r="F664">
        <v>3</v>
      </c>
      <c r="G664">
        <v>3.72</v>
      </c>
      <c r="H664">
        <v>1.6</v>
      </c>
      <c r="I664" t="s">
        <v>19</v>
      </c>
      <c r="J664">
        <v>5</v>
      </c>
      <c r="K664">
        <v>10</v>
      </c>
      <c r="L664">
        <v>3</v>
      </c>
      <c r="M664">
        <v>0</v>
      </c>
    </row>
    <row r="665" spans="1:13" x14ac:dyDescent="0.35">
      <c r="A665">
        <v>13</v>
      </c>
      <c r="B665" t="s">
        <v>16</v>
      </c>
      <c r="C665">
        <v>2.5</v>
      </c>
      <c r="D665" t="s">
        <v>14</v>
      </c>
      <c r="E665">
        <v>4.5999999999999996</v>
      </c>
      <c r="F665">
        <v>1.6</v>
      </c>
      <c r="G665">
        <v>3.22</v>
      </c>
      <c r="H665">
        <v>0.9</v>
      </c>
      <c r="I665" t="s">
        <v>19</v>
      </c>
      <c r="J665">
        <v>6</v>
      </c>
      <c r="K665">
        <v>4</v>
      </c>
      <c r="L665">
        <v>3</v>
      </c>
      <c r="M665">
        <v>0</v>
      </c>
    </row>
    <row r="666" spans="1:13" x14ac:dyDescent="0.35">
      <c r="A666">
        <v>18</v>
      </c>
      <c r="B666" t="s">
        <v>13</v>
      </c>
      <c r="C666">
        <v>2.2000000000000002</v>
      </c>
      <c r="D666" t="s">
        <v>20</v>
      </c>
      <c r="E666">
        <v>4.5</v>
      </c>
      <c r="F666">
        <v>2</v>
      </c>
      <c r="G666">
        <v>2.4900000000000002</v>
      </c>
      <c r="H666">
        <v>0.8</v>
      </c>
      <c r="I666" t="s">
        <v>18</v>
      </c>
      <c r="J666">
        <v>1</v>
      </c>
      <c r="K666">
        <v>7</v>
      </c>
      <c r="L666">
        <v>6</v>
      </c>
      <c r="M666">
        <v>0</v>
      </c>
    </row>
    <row r="667" spans="1:13" x14ac:dyDescent="0.35">
      <c r="A667">
        <v>16</v>
      </c>
      <c r="B667" t="s">
        <v>13</v>
      </c>
      <c r="C667">
        <v>4.0999999999999996</v>
      </c>
      <c r="D667" t="s">
        <v>20</v>
      </c>
      <c r="E667">
        <v>5.5</v>
      </c>
      <c r="F667">
        <v>1.9</v>
      </c>
      <c r="G667">
        <v>2.65</v>
      </c>
      <c r="H667">
        <v>1.5</v>
      </c>
      <c r="I667" t="s">
        <v>15</v>
      </c>
      <c r="J667">
        <v>5</v>
      </c>
      <c r="K667">
        <v>7</v>
      </c>
      <c r="L667">
        <v>9</v>
      </c>
      <c r="M667">
        <v>0</v>
      </c>
    </row>
    <row r="668" spans="1:13" x14ac:dyDescent="0.35">
      <c r="A668">
        <v>16</v>
      </c>
      <c r="B668" t="s">
        <v>16</v>
      </c>
      <c r="C668">
        <v>2.8</v>
      </c>
      <c r="D668" t="s">
        <v>17</v>
      </c>
      <c r="E668">
        <v>7.4</v>
      </c>
      <c r="F668">
        <v>2</v>
      </c>
      <c r="G668">
        <v>3.4</v>
      </c>
      <c r="H668">
        <v>1.6</v>
      </c>
      <c r="I668" t="s">
        <v>15</v>
      </c>
      <c r="J668">
        <v>4</v>
      </c>
      <c r="K668">
        <v>1</v>
      </c>
      <c r="L668">
        <v>1</v>
      </c>
      <c r="M668">
        <v>0</v>
      </c>
    </row>
    <row r="669" spans="1:13" x14ac:dyDescent="0.35">
      <c r="A669">
        <v>17</v>
      </c>
      <c r="B669" t="s">
        <v>16</v>
      </c>
      <c r="C669">
        <v>1.1000000000000001</v>
      </c>
      <c r="D669" t="s">
        <v>17</v>
      </c>
      <c r="E669">
        <v>8.1999999999999993</v>
      </c>
      <c r="F669">
        <v>2.7</v>
      </c>
      <c r="G669">
        <v>2.84</v>
      </c>
      <c r="H669">
        <v>0.2</v>
      </c>
      <c r="I669" t="s">
        <v>18</v>
      </c>
      <c r="J669">
        <v>2</v>
      </c>
      <c r="K669">
        <v>4</v>
      </c>
      <c r="L669">
        <v>1</v>
      </c>
      <c r="M669">
        <v>0</v>
      </c>
    </row>
    <row r="670" spans="1:13" x14ac:dyDescent="0.35">
      <c r="A670">
        <v>13</v>
      </c>
      <c r="B670" t="s">
        <v>13</v>
      </c>
      <c r="C670">
        <v>7</v>
      </c>
      <c r="D670" t="s">
        <v>20</v>
      </c>
      <c r="E670">
        <v>5.7</v>
      </c>
      <c r="F670">
        <v>1.6</v>
      </c>
      <c r="G670">
        <v>3.45</v>
      </c>
      <c r="H670">
        <v>1.2</v>
      </c>
      <c r="I670" t="s">
        <v>19</v>
      </c>
      <c r="J670">
        <v>7</v>
      </c>
      <c r="K670">
        <v>1</v>
      </c>
      <c r="L670">
        <v>10</v>
      </c>
      <c r="M670">
        <v>0</v>
      </c>
    </row>
    <row r="671" spans="1:13" x14ac:dyDescent="0.35">
      <c r="A671">
        <v>18</v>
      </c>
      <c r="B671" t="s">
        <v>13</v>
      </c>
      <c r="C671">
        <v>2.6</v>
      </c>
      <c r="D671" t="s">
        <v>17</v>
      </c>
      <c r="E671">
        <v>7.9</v>
      </c>
      <c r="F671">
        <v>2.2999999999999998</v>
      </c>
      <c r="G671">
        <v>2.4300000000000002</v>
      </c>
      <c r="H671">
        <v>0.1</v>
      </c>
      <c r="I671" t="s">
        <v>18</v>
      </c>
      <c r="J671">
        <v>5</v>
      </c>
      <c r="K671">
        <v>1</v>
      </c>
      <c r="L671">
        <v>6</v>
      </c>
      <c r="M671">
        <v>0</v>
      </c>
    </row>
    <row r="672" spans="1:13" x14ac:dyDescent="0.35">
      <c r="A672">
        <v>13</v>
      </c>
      <c r="B672" t="s">
        <v>16</v>
      </c>
      <c r="C672">
        <v>2.6</v>
      </c>
      <c r="D672" t="s">
        <v>17</v>
      </c>
      <c r="E672">
        <v>6.1</v>
      </c>
      <c r="F672">
        <v>1.4</v>
      </c>
      <c r="G672">
        <v>2.11</v>
      </c>
      <c r="H672">
        <v>0.4</v>
      </c>
      <c r="I672" t="s">
        <v>18</v>
      </c>
      <c r="J672">
        <v>7</v>
      </c>
      <c r="K672">
        <v>5</v>
      </c>
      <c r="L672">
        <v>10</v>
      </c>
      <c r="M672">
        <v>0</v>
      </c>
    </row>
    <row r="673" spans="1:13" x14ac:dyDescent="0.35">
      <c r="A673">
        <v>14</v>
      </c>
      <c r="B673" t="s">
        <v>13</v>
      </c>
      <c r="C673">
        <v>3.4</v>
      </c>
      <c r="D673" t="s">
        <v>14</v>
      </c>
      <c r="E673">
        <v>4.5999999999999996</v>
      </c>
      <c r="F673">
        <v>2</v>
      </c>
      <c r="G673">
        <v>2.27</v>
      </c>
      <c r="H673">
        <v>1.9</v>
      </c>
      <c r="I673" t="s">
        <v>18</v>
      </c>
      <c r="J673">
        <v>7</v>
      </c>
      <c r="K673">
        <v>10</v>
      </c>
      <c r="L673">
        <v>6</v>
      </c>
      <c r="M673">
        <v>0</v>
      </c>
    </row>
    <row r="674" spans="1:13" x14ac:dyDescent="0.35">
      <c r="A674">
        <v>14</v>
      </c>
      <c r="B674" t="s">
        <v>13</v>
      </c>
      <c r="C674">
        <v>7.9</v>
      </c>
      <c r="D674" t="s">
        <v>14</v>
      </c>
      <c r="E674">
        <v>5.7</v>
      </c>
      <c r="F674">
        <v>1.6</v>
      </c>
      <c r="G674">
        <v>3.67</v>
      </c>
      <c r="H674">
        <v>0.6</v>
      </c>
      <c r="I674" t="s">
        <v>19</v>
      </c>
      <c r="J674">
        <v>4</v>
      </c>
      <c r="K674">
        <v>3</v>
      </c>
      <c r="L674">
        <v>4</v>
      </c>
      <c r="M674">
        <v>0</v>
      </c>
    </row>
    <row r="675" spans="1:13" x14ac:dyDescent="0.35">
      <c r="A675">
        <v>13</v>
      </c>
      <c r="B675" t="s">
        <v>13</v>
      </c>
      <c r="C675">
        <v>5.0999999999999996</v>
      </c>
      <c r="D675" t="s">
        <v>17</v>
      </c>
      <c r="E675">
        <v>5.3</v>
      </c>
      <c r="F675">
        <v>2.6</v>
      </c>
      <c r="G675">
        <v>2.95</v>
      </c>
      <c r="H675">
        <v>1.2</v>
      </c>
      <c r="I675" t="s">
        <v>19</v>
      </c>
      <c r="J675">
        <v>2</v>
      </c>
      <c r="K675">
        <v>6</v>
      </c>
      <c r="L675">
        <v>10</v>
      </c>
      <c r="M675">
        <v>0</v>
      </c>
    </row>
    <row r="676" spans="1:13" x14ac:dyDescent="0.35">
      <c r="A676">
        <v>13</v>
      </c>
      <c r="B676" t="s">
        <v>16</v>
      </c>
      <c r="C676">
        <v>2.8</v>
      </c>
      <c r="D676" t="s">
        <v>20</v>
      </c>
      <c r="E676">
        <v>6.4</v>
      </c>
      <c r="F676">
        <v>1.4</v>
      </c>
      <c r="G676">
        <v>2.38</v>
      </c>
      <c r="H676">
        <v>1.4</v>
      </c>
      <c r="I676" t="s">
        <v>19</v>
      </c>
      <c r="J676">
        <v>4</v>
      </c>
      <c r="K676">
        <v>8</v>
      </c>
      <c r="L676">
        <v>10</v>
      </c>
      <c r="M676">
        <v>0</v>
      </c>
    </row>
    <row r="677" spans="1:13" x14ac:dyDescent="0.35">
      <c r="A677">
        <v>19</v>
      </c>
      <c r="B677" t="s">
        <v>16</v>
      </c>
      <c r="C677">
        <v>3.4</v>
      </c>
      <c r="D677" t="s">
        <v>17</v>
      </c>
      <c r="E677">
        <v>4.3</v>
      </c>
      <c r="F677">
        <v>0.7</v>
      </c>
      <c r="G677">
        <v>2.17</v>
      </c>
      <c r="H677">
        <v>0.7</v>
      </c>
      <c r="I677" t="s">
        <v>18</v>
      </c>
      <c r="J677">
        <v>3</v>
      </c>
      <c r="K677">
        <v>1</v>
      </c>
      <c r="L677">
        <v>4</v>
      </c>
      <c r="M677">
        <v>0</v>
      </c>
    </row>
    <row r="678" spans="1:13" x14ac:dyDescent="0.35">
      <c r="A678">
        <v>18</v>
      </c>
      <c r="B678" t="s">
        <v>13</v>
      </c>
      <c r="C678">
        <v>6.3</v>
      </c>
      <c r="D678" t="s">
        <v>20</v>
      </c>
      <c r="E678">
        <v>6.9</v>
      </c>
      <c r="F678">
        <v>1</v>
      </c>
      <c r="G678">
        <v>3.22</v>
      </c>
      <c r="H678">
        <v>0.8</v>
      </c>
      <c r="I678" t="s">
        <v>19</v>
      </c>
      <c r="J678">
        <v>4</v>
      </c>
      <c r="K678">
        <v>6</v>
      </c>
      <c r="L678">
        <v>1</v>
      </c>
      <c r="M678">
        <v>0</v>
      </c>
    </row>
    <row r="679" spans="1:13" x14ac:dyDescent="0.35">
      <c r="A679">
        <v>17</v>
      </c>
      <c r="B679" t="s">
        <v>16</v>
      </c>
      <c r="C679">
        <v>1.1000000000000001</v>
      </c>
      <c r="D679" t="s">
        <v>17</v>
      </c>
      <c r="E679">
        <v>4.5999999999999996</v>
      </c>
      <c r="F679">
        <v>2.5</v>
      </c>
      <c r="G679">
        <v>3.93</v>
      </c>
      <c r="H679">
        <v>0.3</v>
      </c>
      <c r="I679" t="s">
        <v>18</v>
      </c>
      <c r="J679">
        <v>10</v>
      </c>
      <c r="K679">
        <v>6</v>
      </c>
      <c r="L679">
        <v>2</v>
      </c>
      <c r="M679">
        <v>0</v>
      </c>
    </row>
    <row r="680" spans="1:13" x14ac:dyDescent="0.35">
      <c r="A680">
        <v>19</v>
      </c>
      <c r="B680" t="s">
        <v>13</v>
      </c>
      <c r="C680">
        <v>3.8</v>
      </c>
      <c r="D680" t="s">
        <v>14</v>
      </c>
      <c r="E680">
        <v>7.1</v>
      </c>
      <c r="F680">
        <v>2.5</v>
      </c>
      <c r="G680">
        <v>3.81</v>
      </c>
      <c r="H680">
        <v>0.9</v>
      </c>
      <c r="I680" t="s">
        <v>15</v>
      </c>
      <c r="J680">
        <v>6</v>
      </c>
      <c r="K680">
        <v>9</v>
      </c>
      <c r="L680">
        <v>4</v>
      </c>
      <c r="M680">
        <v>0</v>
      </c>
    </row>
    <row r="681" spans="1:13" x14ac:dyDescent="0.35">
      <c r="A681">
        <v>13</v>
      </c>
      <c r="B681" t="s">
        <v>13</v>
      </c>
      <c r="C681">
        <v>2.1</v>
      </c>
      <c r="D681" t="s">
        <v>14</v>
      </c>
      <c r="E681">
        <v>4.0999999999999996</v>
      </c>
      <c r="F681">
        <v>1.6</v>
      </c>
      <c r="G681">
        <v>2.12</v>
      </c>
      <c r="H681">
        <v>1.8</v>
      </c>
      <c r="I681" t="s">
        <v>18</v>
      </c>
      <c r="J681">
        <v>10</v>
      </c>
      <c r="K681">
        <v>9</v>
      </c>
      <c r="L681">
        <v>6</v>
      </c>
      <c r="M681">
        <v>0</v>
      </c>
    </row>
    <row r="682" spans="1:13" x14ac:dyDescent="0.35">
      <c r="A682">
        <v>17</v>
      </c>
      <c r="B682" t="s">
        <v>16</v>
      </c>
      <c r="C682">
        <v>6.2</v>
      </c>
      <c r="D682" t="s">
        <v>20</v>
      </c>
      <c r="E682">
        <v>6.1</v>
      </c>
      <c r="F682">
        <v>2.4</v>
      </c>
      <c r="G682">
        <v>3.05</v>
      </c>
      <c r="H682">
        <v>1.8</v>
      </c>
      <c r="I682" t="s">
        <v>18</v>
      </c>
      <c r="J682">
        <v>3</v>
      </c>
      <c r="K682">
        <v>6</v>
      </c>
      <c r="L682">
        <v>8</v>
      </c>
      <c r="M682">
        <v>0</v>
      </c>
    </row>
    <row r="683" spans="1:13" x14ac:dyDescent="0.35">
      <c r="A683">
        <v>19</v>
      </c>
      <c r="B683" t="s">
        <v>13</v>
      </c>
      <c r="C683">
        <v>6.8</v>
      </c>
      <c r="D683" t="s">
        <v>14</v>
      </c>
      <c r="E683">
        <v>8.4</v>
      </c>
      <c r="F683">
        <v>2.1</v>
      </c>
      <c r="G683">
        <v>3.15</v>
      </c>
      <c r="H683">
        <v>2</v>
      </c>
      <c r="I683" t="s">
        <v>19</v>
      </c>
      <c r="J683">
        <v>4</v>
      </c>
      <c r="K683">
        <v>10</v>
      </c>
      <c r="L683">
        <v>1</v>
      </c>
      <c r="M683">
        <v>0</v>
      </c>
    </row>
    <row r="684" spans="1:13" x14ac:dyDescent="0.35">
      <c r="A684">
        <v>14</v>
      </c>
      <c r="B684" t="s">
        <v>13</v>
      </c>
      <c r="C684">
        <v>5.2</v>
      </c>
      <c r="D684" t="s">
        <v>14</v>
      </c>
      <c r="E684">
        <v>5.5</v>
      </c>
      <c r="F684">
        <v>1.6</v>
      </c>
      <c r="G684">
        <v>3.08</v>
      </c>
      <c r="H684">
        <v>0.5</v>
      </c>
      <c r="I684" t="s">
        <v>19</v>
      </c>
      <c r="J684">
        <v>3</v>
      </c>
      <c r="K684">
        <v>8</v>
      </c>
      <c r="L684">
        <v>1</v>
      </c>
      <c r="M684">
        <v>0</v>
      </c>
    </row>
    <row r="685" spans="1:13" x14ac:dyDescent="0.35">
      <c r="A685">
        <v>15</v>
      </c>
      <c r="B685" t="s">
        <v>13</v>
      </c>
      <c r="C685">
        <v>3.7</v>
      </c>
      <c r="D685" t="s">
        <v>20</v>
      </c>
      <c r="E685">
        <v>4</v>
      </c>
      <c r="F685">
        <v>0.9</v>
      </c>
      <c r="G685">
        <v>3</v>
      </c>
      <c r="H685">
        <v>1.4</v>
      </c>
      <c r="I685" t="s">
        <v>19</v>
      </c>
      <c r="J685">
        <v>1</v>
      </c>
      <c r="K685">
        <v>8</v>
      </c>
      <c r="L685">
        <v>10</v>
      </c>
      <c r="M685">
        <v>0</v>
      </c>
    </row>
    <row r="686" spans="1:13" x14ac:dyDescent="0.35">
      <c r="A686">
        <v>19</v>
      </c>
      <c r="B686" t="s">
        <v>13</v>
      </c>
      <c r="C686">
        <v>2.4</v>
      </c>
      <c r="D686" t="s">
        <v>20</v>
      </c>
      <c r="E686">
        <v>7.5</v>
      </c>
      <c r="F686">
        <v>1.8</v>
      </c>
      <c r="G686">
        <v>2.35</v>
      </c>
      <c r="H686">
        <v>1.4</v>
      </c>
      <c r="I686" t="s">
        <v>15</v>
      </c>
      <c r="J686">
        <v>3</v>
      </c>
      <c r="K686">
        <v>8</v>
      </c>
      <c r="L686">
        <v>6</v>
      </c>
      <c r="M686">
        <v>0</v>
      </c>
    </row>
    <row r="687" spans="1:13" x14ac:dyDescent="0.35">
      <c r="A687">
        <v>13</v>
      </c>
      <c r="B687" t="s">
        <v>13</v>
      </c>
      <c r="C687">
        <v>2.1</v>
      </c>
      <c r="D687" t="s">
        <v>17</v>
      </c>
      <c r="E687">
        <v>5.8</v>
      </c>
      <c r="F687">
        <v>2.7</v>
      </c>
      <c r="G687">
        <v>3.83</v>
      </c>
      <c r="H687">
        <v>1.9</v>
      </c>
      <c r="I687" t="s">
        <v>15</v>
      </c>
      <c r="J687">
        <v>4</v>
      </c>
      <c r="K687">
        <v>6</v>
      </c>
      <c r="L687">
        <v>6</v>
      </c>
      <c r="M687">
        <v>0</v>
      </c>
    </row>
    <row r="688" spans="1:13" x14ac:dyDescent="0.35">
      <c r="A688">
        <v>17</v>
      </c>
      <c r="B688" t="s">
        <v>16</v>
      </c>
      <c r="C688">
        <v>2.6</v>
      </c>
      <c r="D688" t="s">
        <v>17</v>
      </c>
      <c r="E688">
        <v>4.2</v>
      </c>
      <c r="F688">
        <v>0.7</v>
      </c>
      <c r="G688">
        <v>3.02</v>
      </c>
      <c r="H688">
        <v>1.6</v>
      </c>
      <c r="I688" t="s">
        <v>15</v>
      </c>
      <c r="J688">
        <v>7</v>
      </c>
      <c r="K688">
        <v>4</v>
      </c>
      <c r="L688">
        <v>7</v>
      </c>
      <c r="M688">
        <v>0</v>
      </c>
    </row>
    <row r="689" spans="1:13" x14ac:dyDescent="0.35">
      <c r="A689">
        <v>19</v>
      </c>
      <c r="B689" t="s">
        <v>13</v>
      </c>
      <c r="C689">
        <v>6.5</v>
      </c>
      <c r="D689" t="s">
        <v>14</v>
      </c>
      <c r="E689">
        <v>6</v>
      </c>
      <c r="F689">
        <v>1.5</v>
      </c>
      <c r="G689">
        <v>2.12</v>
      </c>
      <c r="H689">
        <v>1.7</v>
      </c>
      <c r="I689" t="s">
        <v>19</v>
      </c>
      <c r="J689">
        <v>8</v>
      </c>
      <c r="K689">
        <v>5</v>
      </c>
      <c r="L689">
        <v>7</v>
      </c>
      <c r="M689">
        <v>0</v>
      </c>
    </row>
    <row r="690" spans="1:13" x14ac:dyDescent="0.35">
      <c r="A690">
        <v>16</v>
      </c>
      <c r="B690" t="s">
        <v>16</v>
      </c>
      <c r="C690">
        <v>3.4</v>
      </c>
      <c r="D690" t="s">
        <v>14</v>
      </c>
      <c r="E690">
        <v>5.3</v>
      </c>
      <c r="F690">
        <v>1.8</v>
      </c>
      <c r="G690">
        <v>3.33</v>
      </c>
      <c r="H690">
        <v>0.3</v>
      </c>
      <c r="I690" t="s">
        <v>15</v>
      </c>
      <c r="J690">
        <v>9</v>
      </c>
      <c r="K690">
        <v>2</v>
      </c>
      <c r="L690">
        <v>4</v>
      </c>
      <c r="M690">
        <v>0</v>
      </c>
    </row>
    <row r="691" spans="1:13" x14ac:dyDescent="0.35">
      <c r="A691">
        <v>16</v>
      </c>
      <c r="B691" t="s">
        <v>13</v>
      </c>
      <c r="C691">
        <v>1.7</v>
      </c>
      <c r="D691" t="s">
        <v>20</v>
      </c>
      <c r="E691">
        <v>4.3</v>
      </c>
      <c r="F691">
        <v>1.4</v>
      </c>
      <c r="G691">
        <v>3.27</v>
      </c>
      <c r="H691">
        <v>1.2</v>
      </c>
      <c r="I691" t="s">
        <v>19</v>
      </c>
      <c r="J691">
        <v>10</v>
      </c>
      <c r="K691">
        <v>4</v>
      </c>
      <c r="L691">
        <v>10</v>
      </c>
      <c r="M691">
        <v>0</v>
      </c>
    </row>
    <row r="692" spans="1:13" x14ac:dyDescent="0.35">
      <c r="A692">
        <v>13</v>
      </c>
      <c r="B692" t="s">
        <v>13</v>
      </c>
      <c r="C692">
        <v>5.6</v>
      </c>
      <c r="D692" t="s">
        <v>20</v>
      </c>
      <c r="E692">
        <v>4.4000000000000004</v>
      </c>
      <c r="F692">
        <v>2.9</v>
      </c>
      <c r="G692">
        <v>3.19</v>
      </c>
      <c r="H692">
        <v>0.9</v>
      </c>
      <c r="I692" t="s">
        <v>19</v>
      </c>
      <c r="J692">
        <v>6</v>
      </c>
      <c r="K692">
        <v>3</v>
      </c>
      <c r="L692">
        <v>4</v>
      </c>
      <c r="M692">
        <v>0</v>
      </c>
    </row>
    <row r="693" spans="1:13" x14ac:dyDescent="0.35">
      <c r="A693">
        <v>15</v>
      </c>
      <c r="B693" t="s">
        <v>16</v>
      </c>
      <c r="C693">
        <v>8</v>
      </c>
      <c r="D693" t="s">
        <v>20</v>
      </c>
      <c r="E693">
        <v>5.7</v>
      </c>
      <c r="F693">
        <v>1.3</v>
      </c>
      <c r="G693">
        <v>3.54</v>
      </c>
      <c r="H693">
        <v>0.1</v>
      </c>
      <c r="I693" t="s">
        <v>18</v>
      </c>
      <c r="J693">
        <v>9</v>
      </c>
      <c r="K693">
        <v>7</v>
      </c>
      <c r="L693">
        <v>5</v>
      </c>
      <c r="M693">
        <v>1</v>
      </c>
    </row>
    <row r="694" spans="1:13" x14ac:dyDescent="0.35">
      <c r="A694">
        <v>15</v>
      </c>
      <c r="B694" t="s">
        <v>16</v>
      </c>
      <c r="C694">
        <v>5.7</v>
      </c>
      <c r="D694" t="s">
        <v>14</v>
      </c>
      <c r="E694">
        <v>8.4</v>
      </c>
      <c r="F694">
        <v>1.3</v>
      </c>
      <c r="G694">
        <v>2.48</v>
      </c>
      <c r="H694">
        <v>0.9</v>
      </c>
      <c r="I694" t="s">
        <v>18</v>
      </c>
      <c r="J694">
        <v>5</v>
      </c>
      <c r="K694">
        <v>2</v>
      </c>
      <c r="L694">
        <v>4</v>
      </c>
      <c r="M694">
        <v>0</v>
      </c>
    </row>
    <row r="695" spans="1:13" x14ac:dyDescent="0.35">
      <c r="A695">
        <v>16</v>
      </c>
      <c r="B695" t="s">
        <v>16</v>
      </c>
      <c r="C695">
        <v>4</v>
      </c>
      <c r="D695" t="s">
        <v>17</v>
      </c>
      <c r="E695">
        <v>5.4</v>
      </c>
      <c r="F695">
        <v>2.7</v>
      </c>
      <c r="G695">
        <v>2.88</v>
      </c>
      <c r="H695">
        <v>1.2</v>
      </c>
      <c r="I695" t="s">
        <v>19</v>
      </c>
      <c r="J695">
        <v>4</v>
      </c>
      <c r="K695">
        <v>10</v>
      </c>
      <c r="L695">
        <v>1</v>
      </c>
      <c r="M695">
        <v>0</v>
      </c>
    </row>
    <row r="696" spans="1:13" x14ac:dyDescent="0.35">
      <c r="A696">
        <v>13</v>
      </c>
      <c r="B696" t="s">
        <v>16</v>
      </c>
      <c r="C696">
        <v>3.5</v>
      </c>
      <c r="D696" t="s">
        <v>14</v>
      </c>
      <c r="E696">
        <v>5.3</v>
      </c>
      <c r="F696">
        <v>1.7</v>
      </c>
      <c r="G696">
        <v>2.2000000000000002</v>
      </c>
      <c r="H696">
        <v>0.8</v>
      </c>
      <c r="I696" t="s">
        <v>18</v>
      </c>
      <c r="J696">
        <v>6</v>
      </c>
      <c r="K696">
        <v>10</v>
      </c>
      <c r="L696">
        <v>8</v>
      </c>
      <c r="M696">
        <v>0</v>
      </c>
    </row>
    <row r="697" spans="1:13" x14ac:dyDescent="0.35">
      <c r="A697">
        <v>15</v>
      </c>
      <c r="B697" t="s">
        <v>16</v>
      </c>
      <c r="C697">
        <v>4.2</v>
      </c>
      <c r="D697" t="s">
        <v>17</v>
      </c>
      <c r="E697">
        <v>5.5</v>
      </c>
      <c r="F697">
        <v>1.3</v>
      </c>
      <c r="G697">
        <v>3.49</v>
      </c>
      <c r="H697">
        <v>0.5</v>
      </c>
      <c r="I697" t="s">
        <v>15</v>
      </c>
      <c r="J697">
        <v>2</v>
      </c>
      <c r="K697">
        <v>5</v>
      </c>
      <c r="L697">
        <v>2</v>
      </c>
      <c r="M697">
        <v>0</v>
      </c>
    </row>
    <row r="698" spans="1:13" x14ac:dyDescent="0.35">
      <c r="A698">
        <v>19</v>
      </c>
      <c r="B698" t="s">
        <v>16</v>
      </c>
      <c r="C698">
        <v>3.9</v>
      </c>
      <c r="D698" t="s">
        <v>17</v>
      </c>
      <c r="E698">
        <v>7.4</v>
      </c>
      <c r="F698">
        <v>2.5</v>
      </c>
      <c r="G698">
        <v>3.74</v>
      </c>
      <c r="H698">
        <v>0.3</v>
      </c>
      <c r="I698" t="s">
        <v>19</v>
      </c>
      <c r="J698">
        <v>5</v>
      </c>
      <c r="K698">
        <v>8</v>
      </c>
      <c r="L698">
        <v>3</v>
      </c>
      <c r="M698">
        <v>0</v>
      </c>
    </row>
    <row r="699" spans="1:13" x14ac:dyDescent="0.35">
      <c r="A699">
        <v>17</v>
      </c>
      <c r="B699" t="s">
        <v>16</v>
      </c>
      <c r="C699">
        <v>6.7</v>
      </c>
      <c r="D699" t="s">
        <v>14</v>
      </c>
      <c r="E699">
        <v>4.3</v>
      </c>
      <c r="F699">
        <v>0.6</v>
      </c>
      <c r="G699">
        <v>3.76</v>
      </c>
      <c r="H699">
        <v>0</v>
      </c>
      <c r="I699" t="s">
        <v>15</v>
      </c>
      <c r="J699">
        <v>2</v>
      </c>
      <c r="K699">
        <v>1</v>
      </c>
      <c r="L699">
        <v>7</v>
      </c>
      <c r="M699">
        <v>0</v>
      </c>
    </row>
    <row r="700" spans="1:13" x14ac:dyDescent="0.35">
      <c r="A700">
        <v>15</v>
      </c>
      <c r="B700" t="s">
        <v>13</v>
      </c>
      <c r="C700">
        <v>6.7</v>
      </c>
      <c r="D700" t="s">
        <v>20</v>
      </c>
      <c r="E700">
        <v>4.3</v>
      </c>
      <c r="F700">
        <v>1.8</v>
      </c>
      <c r="G700">
        <v>3.69</v>
      </c>
      <c r="H700">
        <v>0.7</v>
      </c>
      <c r="I700" t="s">
        <v>18</v>
      </c>
      <c r="J700">
        <v>2</v>
      </c>
      <c r="K700">
        <v>8</v>
      </c>
      <c r="L700">
        <v>7</v>
      </c>
      <c r="M700">
        <v>0</v>
      </c>
    </row>
    <row r="701" spans="1:13" x14ac:dyDescent="0.35">
      <c r="A701">
        <v>14</v>
      </c>
      <c r="B701" t="s">
        <v>16</v>
      </c>
      <c r="C701">
        <v>3.4</v>
      </c>
      <c r="D701" t="s">
        <v>14</v>
      </c>
      <c r="E701">
        <v>5.6</v>
      </c>
      <c r="F701">
        <v>1.7</v>
      </c>
      <c r="G701">
        <v>3.38</v>
      </c>
      <c r="H701">
        <v>0.3</v>
      </c>
      <c r="I701" t="s">
        <v>18</v>
      </c>
      <c r="J701">
        <v>9</v>
      </c>
      <c r="K701">
        <v>3</v>
      </c>
      <c r="L701">
        <v>1</v>
      </c>
      <c r="M701">
        <v>0</v>
      </c>
    </row>
    <row r="702" spans="1:13" x14ac:dyDescent="0.35">
      <c r="A702">
        <v>16</v>
      </c>
      <c r="B702" t="s">
        <v>13</v>
      </c>
      <c r="C702">
        <v>5</v>
      </c>
      <c r="D702" t="s">
        <v>17</v>
      </c>
      <c r="E702">
        <v>4.3</v>
      </c>
      <c r="F702">
        <v>0.7</v>
      </c>
      <c r="G702">
        <v>3.68</v>
      </c>
      <c r="H702">
        <v>1.2</v>
      </c>
      <c r="I702" t="s">
        <v>15</v>
      </c>
      <c r="J702">
        <v>6</v>
      </c>
      <c r="K702">
        <v>2</v>
      </c>
      <c r="L702">
        <v>4</v>
      </c>
      <c r="M702">
        <v>0</v>
      </c>
    </row>
    <row r="703" spans="1:13" x14ac:dyDescent="0.35">
      <c r="A703">
        <v>18</v>
      </c>
      <c r="B703" t="s">
        <v>16</v>
      </c>
      <c r="C703">
        <v>3.8</v>
      </c>
      <c r="D703" t="s">
        <v>14</v>
      </c>
      <c r="E703">
        <v>5.9</v>
      </c>
      <c r="F703">
        <v>1</v>
      </c>
      <c r="G703">
        <v>2.2200000000000002</v>
      </c>
      <c r="H703">
        <v>0.6</v>
      </c>
      <c r="I703" t="s">
        <v>15</v>
      </c>
      <c r="J703">
        <v>9</v>
      </c>
      <c r="K703">
        <v>10</v>
      </c>
      <c r="L703">
        <v>9</v>
      </c>
      <c r="M703">
        <v>0</v>
      </c>
    </row>
    <row r="704" spans="1:13" x14ac:dyDescent="0.35">
      <c r="A704">
        <v>15</v>
      </c>
      <c r="B704" t="s">
        <v>16</v>
      </c>
      <c r="C704">
        <v>7.3</v>
      </c>
      <c r="D704" t="s">
        <v>17</v>
      </c>
      <c r="E704">
        <v>7.3</v>
      </c>
      <c r="F704">
        <v>2.8</v>
      </c>
      <c r="G704">
        <v>2.46</v>
      </c>
      <c r="H704">
        <v>0.3</v>
      </c>
      <c r="I704" t="s">
        <v>15</v>
      </c>
      <c r="J704">
        <v>2</v>
      </c>
      <c r="K704">
        <v>7</v>
      </c>
      <c r="L704">
        <v>5</v>
      </c>
      <c r="M704">
        <v>0</v>
      </c>
    </row>
    <row r="705" spans="1:13" x14ac:dyDescent="0.35">
      <c r="A705">
        <v>18</v>
      </c>
      <c r="B705" t="s">
        <v>16</v>
      </c>
      <c r="C705">
        <v>7.2</v>
      </c>
      <c r="D705" t="s">
        <v>17</v>
      </c>
      <c r="E705">
        <v>5</v>
      </c>
      <c r="F705">
        <v>1.4</v>
      </c>
      <c r="G705">
        <v>3.65</v>
      </c>
      <c r="H705">
        <v>1.1000000000000001</v>
      </c>
      <c r="I705" t="s">
        <v>15</v>
      </c>
      <c r="J705">
        <v>8</v>
      </c>
      <c r="K705">
        <v>8</v>
      </c>
      <c r="L705">
        <v>4</v>
      </c>
      <c r="M705">
        <v>1</v>
      </c>
    </row>
    <row r="706" spans="1:13" x14ac:dyDescent="0.35">
      <c r="A706">
        <v>15</v>
      </c>
      <c r="B706" t="s">
        <v>16</v>
      </c>
      <c r="C706">
        <v>3.1</v>
      </c>
      <c r="D706" t="s">
        <v>20</v>
      </c>
      <c r="E706">
        <v>4.2</v>
      </c>
      <c r="F706">
        <v>2.1</v>
      </c>
      <c r="G706">
        <v>3.21</v>
      </c>
      <c r="H706">
        <v>1.1000000000000001</v>
      </c>
      <c r="I706" t="s">
        <v>19</v>
      </c>
      <c r="J706">
        <v>8</v>
      </c>
      <c r="K706">
        <v>2</v>
      </c>
      <c r="L706">
        <v>10</v>
      </c>
      <c r="M706">
        <v>0</v>
      </c>
    </row>
    <row r="707" spans="1:13" x14ac:dyDescent="0.35">
      <c r="A707">
        <v>15</v>
      </c>
      <c r="B707" t="s">
        <v>16</v>
      </c>
      <c r="C707">
        <v>8</v>
      </c>
      <c r="D707" t="s">
        <v>14</v>
      </c>
      <c r="E707">
        <v>4.4000000000000004</v>
      </c>
      <c r="F707">
        <v>0.7</v>
      </c>
      <c r="G707">
        <v>2.62</v>
      </c>
      <c r="H707">
        <v>1.6</v>
      </c>
      <c r="I707" t="s">
        <v>18</v>
      </c>
      <c r="J707">
        <v>6</v>
      </c>
      <c r="K707">
        <v>7</v>
      </c>
      <c r="L707">
        <v>2</v>
      </c>
      <c r="M707">
        <v>0</v>
      </c>
    </row>
    <row r="708" spans="1:13" x14ac:dyDescent="0.35">
      <c r="A708">
        <v>15</v>
      </c>
      <c r="B708" t="s">
        <v>13</v>
      </c>
      <c r="C708">
        <v>4.3</v>
      </c>
      <c r="D708" t="s">
        <v>14</v>
      </c>
      <c r="E708">
        <v>7.5</v>
      </c>
      <c r="F708">
        <v>1.1000000000000001</v>
      </c>
      <c r="G708">
        <v>2.06</v>
      </c>
      <c r="H708">
        <v>1.8</v>
      </c>
      <c r="I708" t="s">
        <v>19</v>
      </c>
      <c r="J708">
        <v>5</v>
      </c>
      <c r="K708">
        <v>7</v>
      </c>
      <c r="L708">
        <v>2</v>
      </c>
      <c r="M708">
        <v>0</v>
      </c>
    </row>
    <row r="709" spans="1:13" x14ac:dyDescent="0.35">
      <c r="A709">
        <v>14</v>
      </c>
      <c r="B709" t="s">
        <v>16</v>
      </c>
      <c r="C709">
        <v>4</v>
      </c>
      <c r="D709" t="s">
        <v>17</v>
      </c>
      <c r="E709">
        <v>5.0999999999999996</v>
      </c>
      <c r="F709">
        <v>1.1000000000000001</v>
      </c>
      <c r="G709">
        <v>3.98</v>
      </c>
      <c r="H709">
        <v>1.3</v>
      </c>
      <c r="I709" t="s">
        <v>19</v>
      </c>
      <c r="J709">
        <v>5</v>
      </c>
      <c r="K709">
        <v>4</v>
      </c>
      <c r="L709">
        <v>9</v>
      </c>
      <c r="M709">
        <v>0</v>
      </c>
    </row>
    <row r="710" spans="1:13" x14ac:dyDescent="0.35">
      <c r="A710">
        <v>15</v>
      </c>
      <c r="B710" t="s">
        <v>13</v>
      </c>
      <c r="C710">
        <v>6.9</v>
      </c>
      <c r="D710" t="s">
        <v>17</v>
      </c>
      <c r="E710">
        <v>5.6</v>
      </c>
      <c r="F710">
        <v>1.4</v>
      </c>
      <c r="G710">
        <v>2.09</v>
      </c>
      <c r="H710">
        <v>0.7</v>
      </c>
      <c r="I710" t="s">
        <v>15</v>
      </c>
      <c r="J710">
        <v>9</v>
      </c>
      <c r="K710">
        <v>5</v>
      </c>
      <c r="L710">
        <v>9</v>
      </c>
      <c r="M710">
        <v>0</v>
      </c>
    </row>
    <row r="711" spans="1:13" x14ac:dyDescent="0.35">
      <c r="A711">
        <v>13</v>
      </c>
      <c r="B711" t="s">
        <v>13</v>
      </c>
      <c r="C711">
        <v>7</v>
      </c>
      <c r="D711" t="s">
        <v>17</v>
      </c>
      <c r="E711">
        <v>4.4000000000000004</v>
      </c>
      <c r="F711">
        <v>0.9</v>
      </c>
      <c r="G711">
        <v>3.67</v>
      </c>
      <c r="H711">
        <v>0.4</v>
      </c>
      <c r="I711" t="s">
        <v>15</v>
      </c>
      <c r="J711">
        <v>5</v>
      </c>
      <c r="K711">
        <v>3</v>
      </c>
      <c r="L711">
        <v>6</v>
      </c>
      <c r="M711">
        <v>0</v>
      </c>
    </row>
    <row r="712" spans="1:13" x14ac:dyDescent="0.35">
      <c r="A712">
        <v>13</v>
      </c>
      <c r="B712" t="s">
        <v>13</v>
      </c>
      <c r="C712">
        <v>6.2</v>
      </c>
      <c r="D712" t="s">
        <v>14</v>
      </c>
      <c r="E712">
        <v>8.6</v>
      </c>
      <c r="F712">
        <v>1.8</v>
      </c>
      <c r="G712">
        <v>2.19</v>
      </c>
      <c r="H712">
        <v>0.7</v>
      </c>
      <c r="I712" t="s">
        <v>18</v>
      </c>
      <c r="J712">
        <v>8</v>
      </c>
      <c r="K712">
        <v>4</v>
      </c>
      <c r="L712">
        <v>7</v>
      </c>
      <c r="M712">
        <v>0</v>
      </c>
    </row>
    <row r="713" spans="1:13" x14ac:dyDescent="0.35">
      <c r="A713">
        <v>15</v>
      </c>
      <c r="B713" t="s">
        <v>13</v>
      </c>
      <c r="C713">
        <v>7.7</v>
      </c>
      <c r="D713" t="s">
        <v>14</v>
      </c>
      <c r="E713">
        <v>8</v>
      </c>
      <c r="F713">
        <v>1.3</v>
      </c>
      <c r="G713">
        <v>3.78</v>
      </c>
      <c r="H713">
        <v>1.1000000000000001</v>
      </c>
      <c r="I713" t="s">
        <v>19</v>
      </c>
      <c r="J713">
        <v>1</v>
      </c>
      <c r="K713">
        <v>6</v>
      </c>
      <c r="L713">
        <v>5</v>
      </c>
      <c r="M713">
        <v>0</v>
      </c>
    </row>
    <row r="714" spans="1:13" x14ac:dyDescent="0.35">
      <c r="A714">
        <v>19</v>
      </c>
      <c r="B714" t="s">
        <v>16</v>
      </c>
      <c r="C714">
        <v>5.0999999999999996</v>
      </c>
      <c r="D714" t="s">
        <v>20</v>
      </c>
      <c r="E714">
        <v>6.3</v>
      </c>
      <c r="F714">
        <v>2.2999999999999998</v>
      </c>
      <c r="G714">
        <v>2.5499999999999998</v>
      </c>
      <c r="H714">
        <v>2</v>
      </c>
      <c r="I714" t="s">
        <v>19</v>
      </c>
      <c r="J714">
        <v>6</v>
      </c>
      <c r="K714">
        <v>9</v>
      </c>
      <c r="L714">
        <v>7</v>
      </c>
      <c r="M714">
        <v>0</v>
      </c>
    </row>
    <row r="715" spans="1:13" x14ac:dyDescent="0.35">
      <c r="A715">
        <v>15</v>
      </c>
      <c r="B715" t="s">
        <v>13</v>
      </c>
      <c r="C715">
        <v>1</v>
      </c>
      <c r="D715" t="s">
        <v>17</v>
      </c>
      <c r="E715">
        <v>8.5</v>
      </c>
      <c r="F715">
        <v>2</v>
      </c>
      <c r="G715">
        <v>3.77</v>
      </c>
      <c r="H715">
        <v>1.9</v>
      </c>
      <c r="I715" t="s">
        <v>18</v>
      </c>
      <c r="J715">
        <v>4</v>
      </c>
      <c r="K715">
        <v>1</v>
      </c>
      <c r="L715">
        <v>7</v>
      </c>
      <c r="M715">
        <v>0</v>
      </c>
    </row>
    <row r="716" spans="1:13" x14ac:dyDescent="0.35">
      <c r="A716">
        <v>15</v>
      </c>
      <c r="B716" t="s">
        <v>16</v>
      </c>
      <c r="C716">
        <v>1.1000000000000001</v>
      </c>
      <c r="D716" t="s">
        <v>14</v>
      </c>
      <c r="E716">
        <v>4.5999999999999996</v>
      </c>
      <c r="F716">
        <v>1.8</v>
      </c>
      <c r="G716">
        <v>2.35</v>
      </c>
      <c r="H716">
        <v>1.1000000000000001</v>
      </c>
      <c r="I716" t="s">
        <v>19</v>
      </c>
      <c r="J716">
        <v>10</v>
      </c>
      <c r="K716">
        <v>6</v>
      </c>
      <c r="L716">
        <v>6</v>
      </c>
      <c r="M716">
        <v>0</v>
      </c>
    </row>
    <row r="717" spans="1:13" x14ac:dyDescent="0.35">
      <c r="A717">
        <v>13</v>
      </c>
      <c r="B717" t="s">
        <v>16</v>
      </c>
      <c r="C717">
        <v>7</v>
      </c>
      <c r="D717" t="s">
        <v>14</v>
      </c>
      <c r="E717">
        <v>4.9000000000000004</v>
      </c>
      <c r="F717">
        <v>1.2</v>
      </c>
      <c r="G717">
        <v>3.61</v>
      </c>
      <c r="H717">
        <v>0.2</v>
      </c>
      <c r="I717" t="s">
        <v>19</v>
      </c>
      <c r="J717">
        <v>2</v>
      </c>
      <c r="K717">
        <v>3</v>
      </c>
      <c r="L717">
        <v>5</v>
      </c>
      <c r="M717">
        <v>0</v>
      </c>
    </row>
    <row r="718" spans="1:13" x14ac:dyDescent="0.35">
      <c r="A718">
        <v>15</v>
      </c>
      <c r="B718" t="s">
        <v>16</v>
      </c>
      <c r="C718">
        <v>2.7</v>
      </c>
      <c r="D718" t="s">
        <v>20</v>
      </c>
      <c r="E718">
        <v>7.8</v>
      </c>
      <c r="F718">
        <v>1.8</v>
      </c>
      <c r="G718">
        <v>3.9</v>
      </c>
      <c r="H718">
        <v>1.4</v>
      </c>
      <c r="I718" t="s">
        <v>15</v>
      </c>
      <c r="J718">
        <v>5</v>
      </c>
      <c r="K718">
        <v>8</v>
      </c>
      <c r="L718">
        <v>9</v>
      </c>
      <c r="M718">
        <v>0</v>
      </c>
    </row>
    <row r="719" spans="1:13" x14ac:dyDescent="0.35">
      <c r="A719">
        <v>18</v>
      </c>
      <c r="B719" t="s">
        <v>13</v>
      </c>
      <c r="C719">
        <v>2.5</v>
      </c>
      <c r="D719" t="s">
        <v>14</v>
      </c>
      <c r="E719">
        <v>4.2</v>
      </c>
      <c r="F719">
        <v>1.4</v>
      </c>
      <c r="G719">
        <v>3.9</v>
      </c>
      <c r="H719">
        <v>0.7</v>
      </c>
      <c r="I719" t="s">
        <v>18</v>
      </c>
      <c r="J719">
        <v>5</v>
      </c>
      <c r="K719">
        <v>2</v>
      </c>
      <c r="L719">
        <v>3</v>
      </c>
      <c r="M719">
        <v>0</v>
      </c>
    </row>
    <row r="720" spans="1:13" x14ac:dyDescent="0.35">
      <c r="A720">
        <v>18</v>
      </c>
      <c r="B720" t="s">
        <v>16</v>
      </c>
      <c r="C720">
        <v>2.2999999999999998</v>
      </c>
      <c r="D720" t="s">
        <v>17</v>
      </c>
      <c r="E720">
        <v>4.3</v>
      </c>
      <c r="F720">
        <v>0.9</v>
      </c>
      <c r="G720">
        <v>3.27</v>
      </c>
      <c r="H720">
        <v>0.1</v>
      </c>
      <c r="I720" t="s">
        <v>18</v>
      </c>
      <c r="J720">
        <v>5</v>
      </c>
      <c r="K720">
        <v>9</v>
      </c>
      <c r="L720">
        <v>10</v>
      </c>
      <c r="M720">
        <v>0</v>
      </c>
    </row>
    <row r="721" spans="1:13" x14ac:dyDescent="0.35">
      <c r="A721">
        <v>17</v>
      </c>
      <c r="B721" t="s">
        <v>16</v>
      </c>
      <c r="C721">
        <v>2.7</v>
      </c>
      <c r="D721" t="s">
        <v>17</v>
      </c>
      <c r="E721">
        <v>6.6</v>
      </c>
      <c r="F721">
        <v>1.6</v>
      </c>
      <c r="G721">
        <v>3.36</v>
      </c>
      <c r="H721">
        <v>1.6</v>
      </c>
      <c r="I721" t="s">
        <v>18</v>
      </c>
      <c r="J721">
        <v>3</v>
      </c>
      <c r="K721">
        <v>1</v>
      </c>
      <c r="L721">
        <v>2</v>
      </c>
      <c r="M721">
        <v>0</v>
      </c>
    </row>
    <row r="722" spans="1:13" x14ac:dyDescent="0.35">
      <c r="A722">
        <v>14</v>
      </c>
      <c r="B722" t="s">
        <v>13</v>
      </c>
      <c r="C722">
        <v>3.2</v>
      </c>
      <c r="D722" t="s">
        <v>14</v>
      </c>
      <c r="E722">
        <v>5.4</v>
      </c>
      <c r="F722">
        <v>2.6</v>
      </c>
      <c r="G722">
        <v>3.18</v>
      </c>
      <c r="H722">
        <v>0.9</v>
      </c>
      <c r="I722" t="s">
        <v>15</v>
      </c>
      <c r="J722">
        <v>9</v>
      </c>
      <c r="K722">
        <v>1</v>
      </c>
      <c r="L722">
        <v>7</v>
      </c>
      <c r="M722">
        <v>0</v>
      </c>
    </row>
    <row r="723" spans="1:13" x14ac:dyDescent="0.35">
      <c r="A723">
        <v>18</v>
      </c>
      <c r="B723" t="s">
        <v>16</v>
      </c>
      <c r="C723">
        <v>3.8</v>
      </c>
      <c r="D723" t="s">
        <v>20</v>
      </c>
      <c r="E723">
        <v>5.3</v>
      </c>
      <c r="F723">
        <v>2.2999999999999998</v>
      </c>
      <c r="G723">
        <v>3.42</v>
      </c>
      <c r="H723">
        <v>0.4</v>
      </c>
      <c r="I723" t="s">
        <v>15</v>
      </c>
      <c r="J723">
        <v>4</v>
      </c>
      <c r="K723">
        <v>8</v>
      </c>
      <c r="L723">
        <v>2</v>
      </c>
      <c r="M723">
        <v>0</v>
      </c>
    </row>
    <row r="724" spans="1:13" x14ac:dyDescent="0.35">
      <c r="A724">
        <v>14</v>
      </c>
      <c r="B724" t="s">
        <v>16</v>
      </c>
      <c r="C724">
        <v>4.0999999999999996</v>
      </c>
      <c r="D724" t="s">
        <v>17</v>
      </c>
      <c r="E724">
        <v>5.4</v>
      </c>
      <c r="F724">
        <v>2.4</v>
      </c>
      <c r="G724">
        <v>2.71</v>
      </c>
      <c r="H724">
        <v>1.3</v>
      </c>
      <c r="I724" t="s">
        <v>15</v>
      </c>
      <c r="J724">
        <v>9</v>
      </c>
      <c r="K724">
        <v>5</v>
      </c>
      <c r="L724">
        <v>10</v>
      </c>
      <c r="M724">
        <v>0</v>
      </c>
    </row>
    <row r="725" spans="1:13" x14ac:dyDescent="0.35">
      <c r="A725">
        <v>13</v>
      </c>
      <c r="B725" t="s">
        <v>16</v>
      </c>
      <c r="C725">
        <v>2.2999999999999998</v>
      </c>
      <c r="D725" t="s">
        <v>17</v>
      </c>
      <c r="E725">
        <v>6.6</v>
      </c>
      <c r="F725">
        <v>1.4</v>
      </c>
      <c r="G725">
        <v>3.74</v>
      </c>
      <c r="H725">
        <v>1.5</v>
      </c>
      <c r="I725" t="s">
        <v>19</v>
      </c>
      <c r="J725">
        <v>6</v>
      </c>
      <c r="K725">
        <v>10</v>
      </c>
      <c r="L725">
        <v>1</v>
      </c>
      <c r="M725">
        <v>0</v>
      </c>
    </row>
    <row r="726" spans="1:13" x14ac:dyDescent="0.35">
      <c r="A726">
        <v>15</v>
      </c>
      <c r="B726" t="s">
        <v>13</v>
      </c>
      <c r="C726">
        <v>8</v>
      </c>
      <c r="D726" t="s">
        <v>14</v>
      </c>
      <c r="E726">
        <v>4.7</v>
      </c>
      <c r="F726">
        <v>0.6</v>
      </c>
      <c r="G726">
        <v>3.01</v>
      </c>
      <c r="H726">
        <v>1.8</v>
      </c>
      <c r="I726" t="s">
        <v>19</v>
      </c>
      <c r="J726">
        <v>2</v>
      </c>
      <c r="K726">
        <v>9</v>
      </c>
      <c r="L726">
        <v>10</v>
      </c>
      <c r="M726">
        <v>0</v>
      </c>
    </row>
    <row r="727" spans="1:13" x14ac:dyDescent="0.35">
      <c r="A727">
        <v>15</v>
      </c>
      <c r="B727" t="s">
        <v>16</v>
      </c>
      <c r="C727">
        <v>2.9</v>
      </c>
      <c r="D727" t="s">
        <v>17</v>
      </c>
      <c r="E727">
        <v>6.4</v>
      </c>
      <c r="F727">
        <v>0.7</v>
      </c>
      <c r="G727">
        <v>3.41</v>
      </c>
      <c r="H727">
        <v>1.6</v>
      </c>
      <c r="I727" t="s">
        <v>15</v>
      </c>
      <c r="J727">
        <v>3</v>
      </c>
      <c r="K727">
        <v>10</v>
      </c>
      <c r="L727">
        <v>7</v>
      </c>
      <c r="M727">
        <v>0</v>
      </c>
    </row>
    <row r="728" spans="1:13" x14ac:dyDescent="0.35">
      <c r="A728">
        <v>19</v>
      </c>
      <c r="B728" t="s">
        <v>16</v>
      </c>
      <c r="C728">
        <v>4.4000000000000004</v>
      </c>
      <c r="D728" t="s">
        <v>20</v>
      </c>
      <c r="E728">
        <v>5</v>
      </c>
      <c r="F728">
        <v>2.8</v>
      </c>
      <c r="G728">
        <v>2.69</v>
      </c>
      <c r="H728">
        <v>0.4</v>
      </c>
      <c r="I728" t="s">
        <v>18</v>
      </c>
      <c r="J728">
        <v>3</v>
      </c>
      <c r="K728">
        <v>8</v>
      </c>
      <c r="L728">
        <v>8</v>
      </c>
      <c r="M728">
        <v>0</v>
      </c>
    </row>
    <row r="729" spans="1:13" x14ac:dyDescent="0.35">
      <c r="A729">
        <v>18</v>
      </c>
      <c r="B729" t="s">
        <v>16</v>
      </c>
      <c r="C729">
        <v>3.1</v>
      </c>
      <c r="D729" t="s">
        <v>20</v>
      </c>
      <c r="E729">
        <v>6.8</v>
      </c>
      <c r="F729">
        <v>2</v>
      </c>
      <c r="G729">
        <v>3.77</v>
      </c>
      <c r="H729">
        <v>1.4</v>
      </c>
      <c r="I729" t="s">
        <v>15</v>
      </c>
      <c r="J729">
        <v>1</v>
      </c>
      <c r="K729">
        <v>3</v>
      </c>
      <c r="L729">
        <v>4</v>
      </c>
      <c r="M729">
        <v>0</v>
      </c>
    </row>
    <row r="730" spans="1:13" x14ac:dyDescent="0.35">
      <c r="A730">
        <v>18</v>
      </c>
      <c r="B730" t="s">
        <v>13</v>
      </c>
      <c r="C730">
        <v>7.9</v>
      </c>
      <c r="D730" t="s">
        <v>17</v>
      </c>
      <c r="E730">
        <v>7.5</v>
      </c>
      <c r="F730">
        <v>2</v>
      </c>
      <c r="G730">
        <v>2.77</v>
      </c>
      <c r="H730">
        <v>0.9</v>
      </c>
      <c r="I730" t="s">
        <v>15</v>
      </c>
      <c r="J730">
        <v>10</v>
      </c>
      <c r="K730">
        <v>4</v>
      </c>
      <c r="L730">
        <v>4</v>
      </c>
      <c r="M730">
        <v>0</v>
      </c>
    </row>
    <row r="731" spans="1:13" x14ac:dyDescent="0.35">
      <c r="A731">
        <v>14</v>
      </c>
      <c r="B731" t="s">
        <v>16</v>
      </c>
      <c r="C731">
        <v>1.2</v>
      </c>
      <c r="D731" t="s">
        <v>20</v>
      </c>
      <c r="E731">
        <v>7</v>
      </c>
      <c r="F731">
        <v>2.2000000000000002</v>
      </c>
      <c r="G731">
        <v>3.83</v>
      </c>
      <c r="H731">
        <v>0.8</v>
      </c>
      <c r="I731" t="s">
        <v>15</v>
      </c>
      <c r="J731">
        <v>6</v>
      </c>
      <c r="K731">
        <v>10</v>
      </c>
      <c r="L731">
        <v>5</v>
      </c>
      <c r="M731">
        <v>0</v>
      </c>
    </row>
    <row r="732" spans="1:13" x14ac:dyDescent="0.35">
      <c r="A732">
        <v>19</v>
      </c>
      <c r="B732" t="s">
        <v>16</v>
      </c>
      <c r="C732">
        <v>4</v>
      </c>
      <c r="D732" t="s">
        <v>20</v>
      </c>
      <c r="E732">
        <v>7.4</v>
      </c>
      <c r="F732">
        <v>2.7</v>
      </c>
      <c r="G732">
        <v>3.41</v>
      </c>
      <c r="H732">
        <v>1.4</v>
      </c>
      <c r="I732" t="s">
        <v>19</v>
      </c>
      <c r="J732">
        <v>9</v>
      </c>
      <c r="K732">
        <v>4</v>
      </c>
      <c r="L732">
        <v>7</v>
      </c>
      <c r="M732">
        <v>0</v>
      </c>
    </row>
    <row r="733" spans="1:13" x14ac:dyDescent="0.35">
      <c r="A733">
        <v>18</v>
      </c>
      <c r="B733" t="s">
        <v>13</v>
      </c>
      <c r="C733">
        <v>1</v>
      </c>
      <c r="D733" t="s">
        <v>14</v>
      </c>
      <c r="E733">
        <v>7.1</v>
      </c>
      <c r="F733">
        <v>0.8</v>
      </c>
      <c r="G733">
        <v>2.4700000000000002</v>
      </c>
      <c r="H733">
        <v>1.9</v>
      </c>
      <c r="I733" t="s">
        <v>18</v>
      </c>
      <c r="J733">
        <v>4</v>
      </c>
      <c r="K733">
        <v>2</v>
      </c>
      <c r="L733">
        <v>4</v>
      </c>
      <c r="M733">
        <v>0</v>
      </c>
    </row>
    <row r="734" spans="1:13" x14ac:dyDescent="0.35">
      <c r="A734">
        <v>19</v>
      </c>
      <c r="B734" t="s">
        <v>16</v>
      </c>
      <c r="C734">
        <v>7.9</v>
      </c>
      <c r="D734" t="s">
        <v>14</v>
      </c>
      <c r="E734">
        <v>5.7</v>
      </c>
      <c r="F734">
        <v>2.4</v>
      </c>
      <c r="G734">
        <v>3.59</v>
      </c>
      <c r="H734">
        <v>1.9</v>
      </c>
      <c r="I734" t="s">
        <v>18</v>
      </c>
      <c r="J734">
        <v>1</v>
      </c>
      <c r="K734">
        <v>9</v>
      </c>
      <c r="L734">
        <v>9</v>
      </c>
      <c r="M734">
        <v>0</v>
      </c>
    </row>
    <row r="735" spans="1:13" x14ac:dyDescent="0.35">
      <c r="A735">
        <v>14</v>
      </c>
      <c r="B735" t="s">
        <v>13</v>
      </c>
      <c r="C735">
        <v>6.2</v>
      </c>
      <c r="D735" t="s">
        <v>17</v>
      </c>
      <c r="E735">
        <v>4.4000000000000004</v>
      </c>
      <c r="F735">
        <v>0.7</v>
      </c>
      <c r="G735">
        <v>3.45</v>
      </c>
      <c r="H735">
        <v>0.5</v>
      </c>
      <c r="I735" t="s">
        <v>19</v>
      </c>
      <c r="J735">
        <v>9</v>
      </c>
      <c r="K735">
        <v>10</v>
      </c>
      <c r="L735">
        <v>3</v>
      </c>
      <c r="M735">
        <v>1</v>
      </c>
    </row>
    <row r="736" spans="1:13" x14ac:dyDescent="0.35">
      <c r="A736">
        <v>16</v>
      </c>
      <c r="B736" t="s">
        <v>16</v>
      </c>
      <c r="C736">
        <v>2.5</v>
      </c>
      <c r="D736" t="s">
        <v>14</v>
      </c>
      <c r="E736">
        <v>5.4</v>
      </c>
      <c r="F736">
        <v>2.2999999999999998</v>
      </c>
      <c r="G736">
        <v>3.43</v>
      </c>
      <c r="H736">
        <v>0.5</v>
      </c>
      <c r="I736" t="s">
        <v>18</v>
      </c>
      <c r="J736">
        <v>9</v>
      </c>
      <c r="K736">
        <v>1</v>
      </c>
      <c r="L736">
        <v>2</v>
      </c>
      <c r="M736">
        <v>0</v>
      </c>
    </row>
    <row r="737" spans="1:13" x14ac:dyDescent="0.35">
      <c r="A737">
        <v>16</v>
      </c>
      <c r="B737" t="s">
        <v>13</v>
      </c>
      <c r="C737">
        <v>4.7</v>
      </c>
      <c r="D737" t="s">
        <v>20</v>
      </c>
      <c r="E737">
        <v>8.1999999999999993</v>
      </c>
      <c r="F737">
        <v>2.6</v>
      </c>
      <c r="G737">
        <v>3.05</v>
      </c>
      <c r="H737">
        <v>1</v>
      </c>
      <c r="I737" t="s">
        <v>19</v>
      </c>
      <c r="J737">
        <v>4</v>
      </c>
      <c r="K737">
        <v>7</v>
      </c>
      <c r="L737">
        <v>2</v>
      </c>
      <c r="M737">
        <v>0</v>
      </c>
    </row>
    <row r="738" spans="1:13" x14ac:dyDescent="0.35">
      <c r="A738">
        <v>16</v>
      </c>
      <c r="B738" t="s">
        <v>13</v>
      </c>
      <c r="C738">
        <v>6.3</v>
      </c>
      <c r="D738" t="s">
        <v>14</v>
      </c>
      <c r="E738">
        <v>6.5</v>
      </c>
      <c r="F738">
        <v>1</v>
      </c>
      <c r="G738">
        <v>2.52</v>
      </c>
      <c r="H738">
        <v>0.4</v>
      </c>
      <c r="I738" t="s">
        <v>15</v>
      </c>
      <c r="J738">
        <v>1</v>
      </c>
      <c r="K738">
        <v>10</v>
      </c>
      <c r="L738">
        <v>6</v>
      </c>
      <c r="M738">
        <v>0</v>
      </c>
    </row>
    <row r="739" spans="1:13" x14ac:dyDescent="0.35">
      <c r="A739">
        <v>17</v>
      </c>
      <c r="B739" t="s">
        <v>16</v>
      </c>
      <c r="C739">
        <v>7.5</v>
      </c>
      <c r="D739" t="s">
        <v>17</v>
      </c>
      <c r="E739">
        <v>5.4</v>
      </c>
      <c r="F739">
        <v>2.2999999999999998</v>
      </c>
      <c r="G739">
        <v>3.44</v>
      </c>
      <c r="H739">
        <v>0.4</v>
      </c>
      <c r="I739" t="s">
        <v>19</v>
      </c>
      <c r="J739">
        <v>7</v>
      </c>
      <c r="K739">
        <v>9</v>
      </c>
      <c r="L739">
        <v>7</v>
      </c>
      <c r="M739">
        <v>1</v>
      </c>
    </row>
    <row r="740" spans="1:13" x14ac:dyDescent="0.35">
      <c r="A740">
        <v>18</v>
      </c>
      <c r="B740" t="s">
        <v>13</v>
      </c>
      <c r="C740">
        <v>2</v>
      </c>
      <c r="D740" t="s">
        <v>17</v>
      </c>
      <c r="E740">
        <v>8.4</v>
      </c>
      <c r="F740">
        <v>1.5</v>
      </c>
      <c r="G740">
        <v>2.83</v>
      </c>
      <c r="H740">
        <v>1.2</v>
      </c>
      <c r="I740" t="s">
        <v>15</v>
      </c>
      <c r="J740">
        <v>9</v>
      </c>
      <c r="K740">
        <v>4</v>
      </c>
      <c r="L740">
        <v>5</v>
      </c>
      <c r="M740">
        <v>0</v>
      </c>
    </row>
    <row r="741" spans="1:13" x14ac:dyDescent="0.35">
      <c r="A741">
        <v>13</v>
      </c>
      <c r="B741" t="s">
        <v>16</v>
      </c>
      <c r="C741">
        <v>6.3</v>
      </c>
      <c r="D741" t="s">
        <v>14</v>
      </c>
      <c r="E741">
        <v>8.4</v>
      </c>
      <c r="F741">
        <v>1.6</v>
      </c>
      <c r="G741">
        <v>2.0299999999999998</v>
      </c>
      <c r="H741">
        <v>1.5</v>
      </c>
      <c r="I741" t="s">
        <v>19</v>
      </c>
      <c r="J741">
        <v>5</v>
      </c>
      <c r="K741">
        <v>3</v>
      </c>
      <c r="L741">
        <v>9</v>
      </c>
      <c r="M741">
        <v>0</v>
      </c>
    </row>
    <row r="742" spans="1:13" x14ac:dyDescent="0.35">
      <c r="A742">
        <v>16</v>
      </c>
      <c r="B742" t="s">
        <v>13</v>
      </c>
      <c r="C742">
        <v>6.6</v>
      </c>
      <c r="D742" t="s">
        <v>20</v>
      </c>
      <c r="E742">
        <v>8.9</v>
      </c>
      <c r="F742">
        <v>2</v>
      </c>
      <c r="G742">
        <v>3.44</v>
      </c>
      <c r="H742">
        <v>1.7</v>
      </c>
      <c r="I742" t="s">
        <v>15</v>
      </c>
      <c r="J742">
        <v>10</v>
      </c>
      <c r="K742">
        <v>9</v>
      </c>
      <c r="L742">
        <v>3</v>
      </c>
      <c r="M742">
        <v>0</v>
      </c>
    </row>
    <row r="743" spans="1:13" x14ac:dyDescent="0.35">
      <c r="A743">
        <v>19</v>
      </c>
      <c r="B743" t="s">
        <v>16</v>
      </c>
      <c r="C743">
        <v>3.6</v>
      </c>
      <c r="D743" t="s">
        <v>20</v>
      </c>
      <c r="E743">
        <v>5.6</v>
      </c>
      <c r="F743">
        <v>1.7</v>
      </c>
      <c r="G743">
        <v>3.57</v>
      </c>
      <c r="H743">
        <v>1.5</v>
      </c>
      <c r="I743" t="s">
        <v>15</v>
      </c>
      <c r="J743">
        <v>10</v>
      </c>
      <c r="K743">
        <v>4</v>
      </c>
      <c r="L743">
        <v>3</v>
      </c>
      <c r="M743">
        <v>0</v>
      </c>
    </row>
    <row r="744" spans="1:13" x14ac:dyDescent="0.35">
      <c r="A744">
        <v>16</v>
      </c>
      <c r="B744" t="s">
        <v>16</v>
      </c>
      <c r="C744">
        <v>3.2</v>
      </c>
      <c r="D744" t="s">
        <v>20</v>
      </c>
      <c r="E744">
        <v>4.5999999999999996</v>
      </c>
      <c r="F744">
        <v>2.5</v>
      </c>
      <c r="G744">
        <v>2.62</v>
      </c>
      <c r="H744">
        <v>1.8</v>
      </c>
      <c r="I744" t="s">
        <v>15</v>
      </c>
      <c r="J744">
        <v>9</v>
      </c>
      <c r="K744">
        <v>5</v>
      </c>
      <c r="L744">
        <v>1</v>
      </c>
      <c r="M744">
        <v>0</v>
      </c>
    </row>
    <row r="745" spans="1:13" x14ac:dyDescent="0.35">
      <c r="A745">
        <v>13</v>
      </c>
      <c r="B745" t="s">
        <v>16</v>
      </c>
      <c r="C745">
        <v>3.1</v>
      </c>
      <c r="D745" t="s">
        <v>14</v>
      </c>
      <c r="E745">
        <v>6.4</v>
      </c>
      <c r="F745">
        <v>1.6</v>
      </c>
      <c r="G745">
        <v>3.69</v>
      </c>
      <c r="H745">
        <v>0.9</v>
      </c>
      <c r="I745" t="s">
        <v>19</v>
      </c>
      <c r="J745">
        <v>1</v>
      </c>
      <c r="K745">
        <v>2</v>
      </c>
      <c r="L745">
        <v>1</v>
      </c>
      <c r="M745">
        <v>0</v>
      </c>
    </row>
    <row r="746" spans="1:13" x14ac:dyDescent="0.35">
      <c r="A746">
        <v>18</v>
      </c>
      <c r="B746" t="s">
        <v>13</v>
      </c>
      <c r="C746">
        <v>6.7</v>
      </c>
      <c r="D746" t="s">
        <v>14</v>
      </c>
      <c r="E746">
        <v>8.8000000000000007</v>
      </c>
      <c r="F746">
        <v>1.9</v>
      </c>
      <c r="G746">
        <v>2.5499999999999998</v>
      </c>
      <c r="H746">
        <v>1</v>
      </c>
      <c r="I746" t="s">
        <v>15</v>
      </c>
      <c r="J746">
        <v>5</v>
      </c>
      <c r="K746">
        <v>8</v>
      </c>
      <c r="L746">
        <v>3</v>
      </c>
      <c r="M746">
        <v>0</v>
      </c>
    </row>
    <row r="747" spans="1:13" x14ac:dyDescent="0.35">
      <c r="A747">
        <v>17</v>
      </c>
      <c r="B747" t="s">
        <v>13</v>
      </c>
      <c r="C747">
        <v>6.6</v>
      </c>
      <c r="D747" t="s">
        <v>17</v>
      </c>
      <c r="E747">
        <v>8.1999999999999993</v>
      </c>
      <c r="F747">
        <v>0.7</v>
      </c>
      <c r="G747">
        <v>2.88</v>
      </c>
      <c r="H747">
        <v>0.8</v>
      </c>
      <c r="I747" t="s">
        <v>15</v>
      </c>
      <c r="J747">
        <v>1</v>
      </c>
      <c r="K747">
        <v>7</v>
      </c>
      <c r="L747">
        <v>7</v>
      </c>
      <c r="M747">
        <v>0</v>
      </c>
    </row>
    <row r="748" spans="1:13" x14ac:dyDescent="0.35">
      <c r="A748">
        <v>14</v>
      </c>
      <c r="B748" t="s">
        <v>16</v>
      </c>
      <c r="C748">
        <v>7</v>
      </c>
      <c r="D748" t="s">
        <v>14</v>
      </c>
      <c r="E748">
        <v>4.5</v>
      </c>
      <c r="F748">
        <v>1.6</v>
      </c>
      <c r="G748">
        <v>2.83</v>
      </c>
      <c r="H748">
        <v>0.4</v>
      </c>
      <c r="I748" t="s">
        <v>19</v>
      </c>
      <c r="J748">
        <v>8</v>
      </c>
      <c r="K748">
        <v>1</v>
      </c>
      <c r="L748">
        <v>7</v>
      </c>
      <c r="M748">
        <v>0</v>
      </c>
    </row>
    <row r="749" spans="1:13" x14ac:dyDescent="0.35">
      <c r="A749">
        <v>16</v>
      </c>
      <c r="B749" t="s">
        <v>16</v>
      </c>
      <c r="C749">
        <v>4.8</v>
      </c>
      <c r="D749" t="s">
        <v>20</v>
      </c>
      <c r="E749">
        <v>5.0999999999999996</v>
      </c>
      <c r="F749">
        <v>2.1</v>
      </c>
      <c r="G749">
        <v>2.4900000000000002</v>
      </c>
      <c r="H749">
        <v>1.6</v>
      </c>
      <c r="I749" t="s">
        <v>15</v>
      </c>
      <c r="J749">
        <v>4</v>
      </c>
      <c r="K749">
        <v>9</v>
      </c>
      <c r="L749">
        <v>1</v>
      </c>
      <c r="M749">
        <v>0</v>
      </c>
    </row>
    <row r="750" spans="1:13" x14ac:dyDescent="0.35">
      <c r="A750">
        <v>13</v>
      </c>
      <c r="B750" t="s">
        <v>16</v>
      </c>
      <c r="C750">
        <v>5.8</v>
      </c>
      <c r="D750" t="s">
        <v>14</v>
      </c>
      <c r="E750">
        <v>6.3</v>
      </c>
      <c r="F750">
        <v>1.1000000000000001</v>
      </c>
      <c r="G750">
        <v>3.09</v>
      </c>
      <c r="H750">
        <v>0.9</v>
      </c>
      <c r="I750" t="s">
        <v>19</v>
      </c>
      <c r="J750">
        <v>8</v>
      </c>
      <c r="K750">
        <v>4</v>
      </c>
      <c r="L750">
        <v>9</v>
      </c>
      <c r="M750">
        <v>0</v>
      </c>
    </row>
    <row r="751" spans="1:13" x14ac:dyDescent="0.35">
      <c r="A751">
        <v>19</v>
      </c>
      <c r="B751" t="s">
        <v>16</v>
      </c>
      <c r="C751">
        <v>6</v>
      </c>
      <c r="D751" t="s">
        <v>20</v>
      </c>
      <c r="E751">
        <v>6.3</v>
      </c>
      <c r="F751">
        <v>2.8</v>
      </c>
      <c r="G751">
        <v>3.98</v>
      </c>
      <c r="H751">
        <v>2</v>
      </c>
      <c r="I751" t="s">
        <v>19</v>
      </c>
      <c r="J751">
        <v>2</v>
      </c>
      <c r="K751">
        <v>6</v>
      </c>
      <c r="L751">
        <v>2</v>
      </c>
      <c r="M751">
        <v>0</v>
      </c>
    </row>
    <row r="752" spans="1:13" x14ac:dyDescent="0.35">
      <c r="A752">
        <v>15</v>
      </c>
      <c r="B752" t="s">
        <v>13</v>
      </c>
      <c r="C752">
        <v>4</v>
      </c>
      <c r="D752" t="s">
        <v>20</v>
      </c>
      <c r="E752">
        <v>5.2</v>
      </c>
      <c r="F752">
        <v>1.8</v>
      </c>
      <c r="G752">
        <v>3.3</v>
      </c>
      <c r="H752">
        <v>0.7</v>
      </c>
      <c r="I752" t="s">
        <v>19</v>
      </c>
      <c r="J752">
        <v>10</v>
      </c>
      <c r="K752">
        <v>5</v>
      </c>
      <c r="L752">
        <v>1</v>
      </c>
      <c r="M752">
        <v>0</v>
      </c>
    </row>
    <row r="753" spans="1:13" x14ac:dyDescent="0.35">
      <c r="A753">
        <v>14</v>
      </c>
      <c r="B753" t="s">
        <v>16</v>
      </c>
      <c r="C753">
        <v>5.8</v>
      </c>
      <c r="D753" t="s">
        <v>20</v>
      </c>
      <c r="E753">
        <v>4.8</v>
      </c>
      <c r="F753">
        <v>2.6</v>
      </c>
      <c r="G753">
        <v>2.08</v>
      </c>
      <c r="H753">
        <v>0.8</v>
      </c>
      <c r="I753" t="s">
        <v>19</v>
      </c>
      <c r="J753">
        <v>6</v>
      </c>
      <c r="K753">
        <v>4</v>
      </c>
      <c r="L753">
        <v>9</v>
      </c>
      <c r="M753">
        <v>0</v>
      </c>
    </row>
    <row r="754" spans="1:13" x14ac:dyDescent="0.35">
      <c r="A754">
        <v>19</v>
      </c>
      <c r="B754" t="s">
        <v>13</v>
      </c>
      <c r="C754">
        <v>5.2</v>
      </c>
      <c r="D754" t="s">
        <v>14</v>
      </c>
      <c r="E754">
        <v>7.6</v>
      </c>
      <c r="F754">
        <v>1.3</v>
      </c>
      <c r="G754">
        <v>3.89</v>
      </c>
      <c r="H754">
        <v>1.5</v>
      </c>
      <c r="I754" t="s">
        <v>18</v>
      </c>
      <c r="J754">
        <v>4</v>
      </c>
      <c r="K754">
        <v>5</v>
      </c>
      <c r="L754">
        <v>8</v>
      </c>
      <c r="M754">
        <v>0</v>
      </c>
    </row>
    <row r="755" spans="1:13" x14ac:dyDescent="0.35">
      <c r="A755">
        <v>17</v>
      </c>
      <c r="B755" t="s">
        <v>13</v>
      </c>
      <c r="C755">
        <v>2.9</v>
      </c>
      <c r="D755" t="s">
        <v>20</v>
      </c>
      <c r="E755">
        <v>6.7</v>
      </c>
      <c r="F755">
        <v>1.5</v>
      </c>
      <c r="G755">
        <v>3.62</v>
      </c>
      <c r="H755">
        <v>0.8</v>
      </c>
      <c r="I755" t="s">
        <v>19</v>
      </c>
      <c r="J755">
        <v>10</v>
      </c>
      <c r="K755">
        <v>6</v>
      </c>
      <c r="L755">
        <v>4</v>
      </c>
      <c r="M755">
        <v>0</v>
      </c>
    </row>
    <row r="756" spans="1:13" x14ac:dyDescent="0.35">
      <c r="A756">
        <v>18</v>
      </c>
      <c r="B756" t="s">
        <v>16</v>
      </c>
      <c r="C756">
        <v>7.5</v>
      </c>
      <c r="D756" t="s">
        <v>17</v>
      </c>
      <c r="E756">
        <v>7.5</v>
      </c>
      <c r="F756">
        <v>1.4</v>
      </c>
      <c r="G756">
        <v>3.14</v>
      </c>
      <c r="H756">
        <v>2</v>
      </c>
      <c r="I756" t="s">
        <v>15</v>
      </c>
      <c r="J756">
        <v>2</v>
      </c>
      <c r="K756">
        <v>9</v>
      </c>
      <c r="L756">
        <v>2</v>
      </c>
      <c r="M756">
        <v>0</v>
      </c>
    </row>
    <row r="757" spans="1:13" x14ac:dyDescent="0.35">
      <c r="A757">
        <v>13</v>
      </c>
      <c r="B757" t="s">
        <v>16</v>
      </c>
      <c r="C757">
        <v>5.8</v>
      </c>
      <c r="D757" t="s">
        <v>14</v>
      </c>
      <c r="E757">
        <v>6.1</v>
      </c>
      <c r="F757">
        <v>1.2</v>
      </c>
      <c r="G757">
        <v>3.81</v>
      </c>
      <c r="H757">
        <v>1.8</v>
      </c>
      <c r="I757" t="s">
        <v>19</v>
      </c>
      <c r="J757">
        <v>6</v>
      </c>
      <c r="K757">
        <v>10</v>
      </c>
      <c r="L757">
        <v>6</v>
      </c>
      <c r="M757">
        <v>0</v>
      </c>
    </row>
    <row r="758" spans="1:13" x14ac:dyDescent="0.35">
      <c r="A758">
        <v>14</v>
      </c>
      <c r="B758" t="s">
        <v>13</v>
      </c>
      <c r="C758">
        <v>7.6</v>
      </c>
      <c r="D758" t="s">
        <v>14</v>
      </c>
      <c r="E758">
        <v>5.8</v>
      </c>
      <c r="F758">
        <v>1.9</v>
      </c>
      <c r="G758">
        <v>3.49</v>
      </c>
      <c r="H758">
        <v>1.7</v>
      </c>
      <c r="I758" t="s">
        <v>18</v>
      </c>
      <c r="J758">
        <v>10</v>
      </c>
      <c r="K758">
        <v>1</v>
      </c>
      <c r="L758">
        <v>3</v>
      </c>
      <c r="M758">
        <v>0</v>
      </c>
    </row>
    <row r="759" spans="1:13" x14ac:dyDescent="0.35">
      <c r="A759">
        <v>15</v>
      </c>
      <c r="B759" t="s">
        <v>16</v>
      </c>
      <c r="C759">
        <v>1.3</v>
      </c>
      <c r="D759" t="s">
        <v>17</v>
      </c>
      <c r="E759">
        <v>7.6</v>
      </c>
      <c r="F759">
        <v>0.6</v>
      </c>
      <c r="G759">
        <v>3.46</v>
      </c>
      <c r="H759">
        <v>1.9</v>
      </c>
      <c r="I759" t="s">
        <v>15</v>
      </c>
      <c r="J759">
        <v>1</v>
      </c>
      <c r="K759">
        <v>1</v>
      </c>
      <c r="L759">
        <v>4</v>
      </c>
      <c r="M759">
        <v>0</v>
      </c>
    </row>
    <row r="760" spans="1:13" x14ac:dyDescent="0.35">
      <c r="A760">
        <v>15</v>
      </c>
      <c r="B760" t="s">
        <v>13</v>
      </c>
      <c r="C760">
        <v>3.7</v>
      </c>
      <c r="D760" t="s">
        <v>20</v>
      </c>
      <c r="E760">
        <v>5.7</v>
      </c>
      <c r="F760">
        <v>1.3</v>
      </c>
      <c r="G760">
        <v>3.24</v>
      </c>
      <c r="H760">
        <v>0.2</v>
      </c>
      <c r="I760" t="s">
        <v>15</v>
      </c>
      <c r="J760">
        <v>4</v>
      </c>
      <c r="K760">
        <v>9</v>
      </c>
      <c r="L760">
        <v>10</v>
      </c>
      <c r="M760">
        <v>0</v>
      </c>
    </row>
    <row r="761" spans="1:13" x14ac:dyDescent="0.35">
      <c r="A761">
        <v>18</v>
      </c>
      <c r="B761" t="s">
        <v>13</v>
      </c>
      <c r="C761">
        <v>3.6</v>
      </c>
      <c r="D761" t="s">
        <v>14</v>
      </c>
      <c r="E761">
        <v>4.7</v>
      </c>
      <c r="F761">
        <v>2.5</v>
      </c>
      <c r="G761">
        <v>2.73</v>
      </c>
      <c r="H761">
        <v>1.2</v>
      </c>
      <c r="I761" t="s">
        <v>19</v>
      </c>
      <c r="J761">
        <v>9</v>
      </c>
      <c r="K761">
        <v>7</v>
      </c>
      <c r="L761">
        <v>6</v>
      </c>
      <c r="M761">
        <v>0</v>
      </c>
    </row>
    <row r="762" spans="1:13" x14ac:dyDescent="0.35">
      <c r="A762">
        <v>15</v>
      </c>
      <c r="B762" t="s">
        <v>13</v>
      </c>
      <c r="C762">
        <v>6.4</v>
      </c>
      <c r="D762" t="s">
        <v>17</v>
      </c>
      <c r="E762">
        <v>6.9</v>
      </c>
      <c r="F762">
        <v>2.9</v>
      </c>
      <c r="G762">
        <v>2.48</v>
      </c>
      <c r="H762">
        <v>0.9</v>
      </c>
      <c r="I762" t="s">
        <v>15</v>
      </c>
      <c r="J762">
        <v>8</v>
      </c>
      <c r="K762">
        <v>4</v>
      </c>
      <c r="L762">
        <v>8</v>
      </c>
      <c r="M762">
        <v>0</v>
      </c>
    </row>
    <row r="763" spans="1:13" x14ac:dyDescent="0.35">
      <c r="A763">
        <v>13</v>
      </c>
      <c r="B763" t="s">
        <v>13</v>
      </c>
      <c r="C763">
        <v>6</v>
      </c>
      <c r="D763" t="s">
        <v>17</v>
      </c>
      <c r="E763">
        <v>4.8</v>
      </c>
      <c r="F763">
        <v>2.6</v>
      </c>
      <c r="G763">
        <v>2.74</v>
      </c>
      <c r="H763">
        <v>1.6</v>
      </c>
      <c r="I763" t="s">
        <v>18</v>
      </c>
      <c r="J763">
        <v>6</v>
      </c>
      <c r="K763">
        <v>10</v>
      </c>
      <c r="L763">
        <v>8</v>
      </c>
      <c r="M763">
        <v>0</v>
      </c>
    </row>
    <row r="764" spans="1:13" x14ac:dyDescent="0.35">
      <c r="A764">
        <v>14</v>
      </c>
      <c r="B764" t="s">
        <v>16</v>
      </c>
      <c r="C764">
        <v>1.3</v>
      </c>
      <c r="D764" t="s">
        <v>17</v>
      </c>
      <c r="E764">
        <v>7.7</v>
      </c>
      <c r="F764">
        <v>1.9</v>
      </c>
      <c r="G764">
        <v>2.27</v>
      </c>
      <c r="H764">
        <v>1.5</v>
      </c>
      <c r="I764" t="s">
        <v>15</v>
      </c>
      <c r="J764">
        <v>7</v>
      </c>
      <c r="K764">
        <v>2</v>
      </c>
      <c r="L764">
        <v>2</v>
      </c>
      <c r="M764">
        <v>0</v>
      </c>
    </row>
    <row r="765" spans="1:13" x14ac:dyDescent="0.35">
      <c r="A765">
        <v>18</v>
      </c>
      <c r="B765" t="s">
        <v>13</v>
      </c>
      <c r="C765">
        <v>3.7</v>
      </c>
      <c r="D765" t="s">
        <v>14</v>
      </c>
      <c r="E765">
        <v>7</v>
      </c>
      <c r="F765">
        <v>1.4</v>
      </c>
      <c r="G765">
        <v>2.0499999999999998</v>
      </c>
      <c r="H765">
        <v>0.4</v>
      </c>
      <c r="I765" t="s">
        <v>19</v>
      </c>
      <c r="J765">
        <v>10</v>
      </c>
      <c r="K765">
        <v>9</v>
      </c>
      <c r="L765">
        <v>5</v>
      </c>
      <c r="M765">
        <v>0</v>
      </c>
    </row>
    <row r="766" spans="1:13" x14ac:dyDescent="0.35">
      <c r="A766">
        <v>18</v>
      </c>
      <c r="B766" t="s">
        <v>16</v>
      </c>
      <c r="C766">
        <v>8</v>
      </c>
      <c r="D766" t="s">
        <v>17</v>
      </c>
      <c r="E766">
        <v>4.3</v>
      </c>
      <c r="F766">
        <v>0.8</v>
      </c>
      <c r="G766">
        <v>3.44</v>
      </c>
      <c r="H766">
        <v>0.8</v>
      </c>
      <c r="I766" t="s">
        <v>19</v>
      </c>
      <c r="J766">
        <v>3</v>
      </c>
      <c r="K766">
        <v>4</v>
      </c>
      <c r="L766">
        <v>4</v>
      </c>
      <c r="M766">
        <v>0</v>
      </c>
    </row>
    <row r="767" spans="1:13" x14ac:dyDescent="0.35">
      <c r="A767">
        <v>19</v>
      </c>
      <c r="B767" t="s">
        <v>16</v>
      </c>
      <c r="C767">
        <v>4.0999999999999996</v>
      </c>
      <c r="D767" t="s">
        <v>20</v>
      </c>
      <c r="E767">
        <v>7.5</v>
      </c>
      <c r="F767">
        <v>2.7</v>
      </c>
      <c r="G767">
        <v>2.66</v>
      </c>
      <c r="H767">
        <v>1.6</v>
      </c>
      <c r="I767" t="s">
        <v>18</v>
      </c>
      <c r="J767">
        <v>5</v>
      </c>
      <c r="K767">
        <v>10</v>
      </c>
      <c r="L767">
        <v>5</v>
      </c>
      <c r="M767">
        <v>0</v>
      </c>
    </row>
    <row r="768" spans="1:13" x14ac:dyDescent="0.35">
      <c r="A768">
        <v>13</v>
      </c>
      <c r="B768" t="s">
        <v>13</v>
      </c>
      <c r="C768">
        <v>3.9</v>
      </c>
      <c r="D768" t="s">
        <v>20</v>
      </c>
      <c r="E768">
        <v>8.6999999999999993</v>
      </c>
      <c r="F768">
        <v>1.5</v>
      </c>
      <c r="G768">
        <v>2.71</v>
      </c>
      <c r="H768">
        <v>0.7</v>
      </c>
      <c r="I768" t="s">
        <v>15</v>
      </c>
      <c r="J768">
        <v>7</v>
      </c>
      <c r="K768">
        <v>1</v>
      </c>
      <c r="L768">
        <v>4</v>
      </c>
      <c r="M768">
        <v>0</v>
      </c>
    </row>
    <row r="769" spans="1:13" x14ac:dyDescent="0.35">
      <c r="A769">
        <v>15</v>
      </c>
      <c r="B769" t="s">
        <v>16</v>
      </c>
      <c r="C769">
        <v>6.4</v>
      </c>
      <c r="D769" t="s">
        <v>14</v>
      </c>
      <c r="E769">
        <v>5.9</v>
      </c>
      <c r="F769">
        <v>1.6</v>
      </c>
      <c r="G769">
        <v>3.97</v>
      </c>
      <c r="H769">
        <v>1</v>
      </c>
      <c r="I769" t="s">
        <v>18</v>
      </c>
      <c r="J769">
        <v>10</v>
      </c>
      <c r="K769">
        <v>2</v>
      </c>
      <c r="L769">
        <v>6</v>
      </c>
      <c r="M769">
        <v>0</v>
      </c>
    </row>
    <row r="770" spans="1:13" x14ac:dyDescent="0.35">
      <c r="A770">
        <v>19</v>
      </c>
      <c r="B770" t="s">
        <v>16</v>
      </c>
      <c r="C770">
        <v>1.3</v>
      </c>
      <c r="D770" t="s">
        <v>17</v>
      </c>
      <c r="E770">
        <v>6.5</v>
      </c>
      <c r="F770">
        <v>2.1</v>
      </c>
      <c r="G770">
        <v>3.68</v>
      </c>
      <c r="H770">
        <v>1.1000000000000001</v>
      </c>
      <c r="I770" t="s">
        <v>18</v>
      </c>
      <c r="J770">
        <v>7</v>
      </c>
      <c r="K770">
        <v>1</v>
      </c>
      <c r="L770">
        <v>9</v>
      </c>
      <c r="M770">
        <v>0</v>
      </c>
    </row>
    <row r="771" spans="1:13" x14ac:dyDescent="0.35">
      <c r="A771">
        <v>18</v>
      </c>
      <c r="B771" t="s">
        <v>16</v>
      </c>
      <c r="C771">
        <v>5</v>
      </c>
      <c r="D771" t="s">
        <v>14</v>
      </c>
      <c r="E771">
        <v>6.6</v>
      </c>
      <c r="F771">
        <v>1.8</v>
      </c>
      <c r="G771">
        <v>3.87</v>
      </c>
      <c r="H771">
        <v>1.2</v>
      </c>
      <c r="I771" t="s">
        <v>18</v>
      </c>
      <c r="J771">
        <v>3</v>
      </c>
      <c r="K771">
        <v>4</v>
      </c>
      <c r="L771">
        <v>2</v>
      </c>
      <c r="M771">
        <v>0</v>
      </c>
    </row>
    <row r="772" spans="1:13" x14ac:dyDescent="0.35">
      <c r="A772">
        <v>18</v>
      </c>
      <c r="B772" t="s">
        <v>13</v>
      </c>
      <c r="C772">
        <v>5.5</v>
      </c>
      <c r="D772" t="s">
        <v>20</v>
      </c>
      <c r="E772">
        <v>5.2</v>
      </c>
      <c r="F772">
        <v>1.4</v>
      </c>
      <c r="G772">
        <v>3.24</v>
      </c>
      <c r="H772">
        <v>0.9</v>
      </c>
      <c r="I772" t="s">
        <v>19</v>
      </c>
      <c r="J772">
        <v>10</v>
      </c>
      <c r="K772">
        <v>5</v>
      </c>
      <c r="L772">
        <v>7</v>
      </c>
      <c r="M772">
        <v>0</v>
      </c>
    </row>
    <row r="773" spans="1:13" x14ac:dyDescent="0.35">
      <c r="A773">
        <v>13</v>
      </c>
      <c r="B773" t="s">
        <v>16</v>
      </c>
      <c r="C773">
        <v>7.6</v>
      </c>
      <c r="D773" t="s">
        <v>14</v>
      </c>
      <c r="E773">
        <v>7.9</v>
      </c>
      <c r="F773">
        <v>3</v>
      </c>
      <c r="G773">
        <v>2.54</v>
      </c>
      <c r="H773">
        <v>1.2</v>
      </c>
      <c r="I773" t="s">
        <v>18</v>
      </c>
      <c r="J773">
        <v>8</v>
      </c>
      <c r="K773">
        <v>8</v>
      </c>
      <c r="L773">
        <v>1</v>
      </c>
      <c r="M773">
        <v>0</v>
      </c>
    </row>
    <row r="774" spans="1:13" x14ac:dyDescent="0.35">
      <c r="A774">
        <v>19</v>
      </c>
      <c r="B774" t="s">
        <v>16</v>
      </c>
      <c r="C774">
        <v>6.3</v>
      </c>
      <c r="D774" t="s">
        <v>20</v>
      </c>
      <c r="E774">
        <v>5.7</v>
      </c>
      <c r="F774">
        <v>2.2999999999999998</v>
      </c>
      <c r="G774">
        <v>2.16</v>
      </c>
      <c r="H774">
        <v>1.9</v>
      </c>
      <c r="I774" t="s">
        <v>18</v>
      </c>
      <c r="J774">
        <v>6</v>
      </c>
      <c r="K774">
        <v>3</v>
      </c>
      <c r="L774">
        <v>6</v>
      </c>
      <c r="M774">
        <v>0</v>
      </c>
    </row>
    <row r="775" spans="1:13" x14ac:dyDescent="0.35">
      <c r="A775">
        <v>18</v>
      </c>
      <c r="B775" t="s">
        <v>16</v>
      </c>
      <c r="C775">
        <v>2</v>
      </c>
      <c r="D775" t="s">
        <v>14</v>
      </c>
      <c r="E775">
        <v>5.9</v>
      </c>
      <c r="F775">
        <v>2.9</v>
      </c>
      <c r="G775">
        <v>3.52</v>
      </c>
      <c r="H775">
        <v>1.1000000000000001</v>
      </c>
      <c r="I775" t="s">
        <v>18</v>
      </c>
      <c r="J775">
        <v>8</v>
      </c>
      <c r="K775">
        <v>6</v>
      </c>
      <c r="L775">
        <v>10</v>
      </c>
      <c r="M775">
        <v>0</v>
      </c>
    </row>
    <row r="776" spans="1:13" x14ac:dyDescent="0.35">
      <c r="A776">
        <v>15</v>
      </c>
      <c r="B776" t="s">
        <v>13</v>
      </c>
      <c r="C776">
        <v>4</v>
      </c>
      <c r="D776" t="s">
        <v>17</v>
      </c>
      <c r="E776">
        <v>4.5</v>
      </c>
      <c r="F776">
        <v>1.9</v>
      </c>
      <c r="G776">
        <v>3.22</v>
      </c>
      <c r="H776">
        <v>0.2</v>
      </c>
      <c r="I776" t="s">
        <v>19</v>
      </c>
      <c r="J776">
        <v>4</v>
      </c>
      <c r="K776">
        <v>5</v>
      </c>
      <c r="L776">
        <v>3</v>
      </c>
      <c r="M776">
        <v>0</v>
      </c>
    </row>
    <row r="777" spans="1:13" x14ac:dyDescent="0.35">
      <c r="A777">
        <v>14</v>
      </c>
      <c r="B777" t="s">
        <v>13</v>
      </c>
      <c r="C777">
        <v>4.9000000000000004</v>
      </c>
      <c r="D777" t="s">
        <v>14</v>
      </c>
      <c r="E777">
        <v>5.5</v>
      </c>
      <c r="F777">
        <v>1.6</v>
      </c>
      <c r="G777">
        <v>2.85</v>
      </c>
      <c r="H777">
        <v>0.4</v>
      </c>
      <c r="I777" t="s">
        <v>15</v>
      </c>
      <c r="J777">
        <v>8</v>
      </c>
      <c r="K777">
        <v>1</v>
      </c>
      <c r="L777">
        <v>8</v>
      </c>
      <c r="M777">
        <v>0</v>
      </c>
    </row>
    <row r="778" spans="1:13" x14ac:dyDescent="0.35">
      <c r="A778">
        <v>14</v>
      </c>
      <c r="B778" t="s">
        <v>16</v>
      </c>
      <c r="C778">
        <v>6.9</v>
      </c>
      <c r="D778" t="s">
        <v>17</v>
      </c>
      <c r="E778">
        <v>8</v>
      </c>
      <c r="F778">
        <v>1.6</v>
      </c>
      <c r="G778">
        <v>2.64</v>
      </c>
      <c r="H778">
        <v>0.1</v>
      </c>
      <c r="I778" t="s">
        <v>19</v>
      </c>
      <c r="J778">
        <v>3</v>
      </c>
      <c r="K778">
        <v>3</v>
      </c>
      <c r="L778">
        <v>3</v>
      </c>
      <c r="M778">
        <v>0</v>
      </c>
    </row>
    <row r="779" spans="1:13" x14ac:dyDescent="0.35">
      <c r="A779">
        <v>15</v>
      </c>
      <c r="B779" t="s">
        <v>13</v>
      </c>
      <c r="C779">
        <v>5.4</v>
      </c>
      <c r="D779" t="s">
        <v>17</v>
      </c>
      <c r="E779">
        <v>4.2</v>
      </c>
      <c r="F779">
        <v>1.8</v>
      </c>
      <c r="G779">
        <v>2.15</v>
      </c>
      <c r="H779">
        <v>0.3</v>
      </c>
      <c r="I779" t="s">
        <v>19</v>
      </c>
      <c r="J779">
        <v>1</v>
      </c>
      <c r="K779">
        <v>10</v>
      </c>
      <c r="L779">
        <v>5</v>
      </c>
      <c r="M779">
        <v>0</v>
      </c>
    </row>
    <row r="780" spans="1:13" x14ac:dyDescent="0.35">
      <c r="A780">
        <v>13</v>
      </c>
      <c r="B780" t="s">
        <v>16</v>
      </c>
      <c r="C780">
        <v>3.8</v>
      </c>
      <c r="D780" t="s">
        <v>20</v>
      </c>
      <c r="E780">
        <v>8.9</v>
      </c>
      <c r="F780">
        <v>2.5</v>
      </c>
      <c r="G780">
        <v>2.29</v>
      </c>
      <c r="H780">
        <v>0.6</v>
      </c>
      <c r="I780" t="s">
        <v>18</v>
      </c>
      <c r="J780">
        <v>9</v>
      </c>
      <c r="K780">
        <v>9</v>
      </c>
      <c r="L780">
        <v>7</v>
      </c>
      <c r="M780">
        <v>0</v>
      </c>
    </row>
    <row r="781" spans="1:13" x14ac:dyDescent="0.35">
      <c r="A781">
        <v>15</v>
      </c>
      <c r="B781" t="s">
        <v>13</v>
      </c>
      <c r="C781">
        <v>7.8</v>
      </c>
      <c r="D781" t="s">
        <v>20</v>
      </c>
      <c r="E781">
        <v>6.8</v>
      </c>
      <c r="F781">
        <v>0.6</v>
      </c>
      <c r="G781">
        <v>3.2</v>
      </c>
      <c r="H781">
        <v>1.7</v>
      </c>
      <c r="I781" t="s">
        <v>19</v>
      </c>
      <c r="J781">
        <v>1</v>
      </c>
      <c r="K781">
        <v>7</v>
      </c>
      <c r="L781">
        <v>5</v>
      </c>
      <c r="M781">
        <v>0</v>
      </c>
    </row>
    <row r="782" spans="1:13" x14ac:dyDescent="0.35">
      <c r="A782">
        <v>15</v>
      </c>
      <c r="B782" t="s">
        <v>13</v>
      </c>
      <c r="C782">
        <v>3.5</v>
      </c>
      <c r="D782" t="s">
        <v>20</v>
      </c>
      <c r="E782">
        <v>8.8000000000000007</v>
      </c>
      <c r="F782">
        <v>1.8</v>
      </c>
      <c r="G782">
        <v>3.5</v>
      </c>
      <c r="H782">
        <v>0.8</v>
      </c>
      <c r="I782" t="s">
        <v>15</v>
      </c>
      <c r="J782">
        <v>3</v>
      </c>
      <c r="K782">
        <v>6</v>
      </c>
      <c r="L782">
        <v>3</v>
      </c>
      <c r="M782">
        <v>0</v>
      </c>
    </row>
    <row r="783" spans="1:13" x14ac:dyDescent="0.35">
      <c r="A783">
        <v>19</v>
      </c>
      <c r="B783" t="s">
        <v>16</v>
      </c>
      <c r="C783">
        <v>5.4</v>
      </c>
      <c r="D783" t="s">
        <v>14</v>
      </c>
      <c r="E783">
        <v>7.3</v>
      </c>
      <c r="F783">
        <v>2</v>
      </c>
      <c r="G783">
        <v>3.98</v>
      </c>
      <c r="H783">
        <v>0.9</v>
      </c>
      <c r="I783" t="s">
        <v>19</v>
      </c>
      <c r="J783">
        <v>6</v>
      </c>
      <c r="K783">
        <v>6</v>
      </c>
      <c r="L783">
        <v>1</v>
      </c>
      <c r="M783">
        <v>0</v>
      </c>
    </row>
    <row r="784" spans="1:13" x14ac:dyDescent="0.35">
      <c r="A784">
        <v>17</v>
      </c>
      <c r="B784" t="s">
        <v>13</v>
      </c>
      <c r="C784">
        <v>3.8</v>
      </c>
      <c r="D784" t="s">
        <v>20</v>
      </c>
      <c r="E784">
        <v>5.7</v>
      </c>
      <c r="F784">
        <v>2</v>
      </c>
      <c r="G784">
        <v>3.01</v>
      </c>
      <c r="H784">
        <v>1</v>
      </c>
      <c r="I784" t="s">
        <v>15</v>
      </c>
      <c r="J784">
        <v>1</v>
      </c>
      <c r="K784">
        <v>3</v>
      </c>
      <c r="L784">
        <v>1</v>
      </c>
      <c r="M784">
        <v>0</v>
      </c>
    </row>
    <row r="785" spans="1:13" x14ac:dyDescent="0.35">
      <c r="A785">
        <v>17</v>
      </c>
      <c r="B785" t="s">
        <v>13</v>
      </c>
      <c r="C785">
        <v>8</v>
      </c>
      <c r="D785" t="s">
        <v>14</v>
      </c>
      <c r="E785">
        <v>6.9</v>
      </c>
      <c r="F785">
        <v>2.2000000000000002</v>
      </c>
      <c r="G785">
        <v>2.36</v>
      </c>
      <c r="H785">
        <v>1.6</v>
      </c>
      <c r="I785" t="s">
        <v>15</v>
      </c>
      <c r="J785">
        <v>4</v>
      </c>
      <c r="K785">
        <v>2</v>
      </c>
      <c r="L785">
        <v>8</v>
      </c>
      <c r="M785">
        <v>0</v>
      </c>
    </row>
    <row r="786" spans="1:13" x14ac:dyDescent="0.35">
      <c r="A786">
        <v>14</v>
      </c>
      <c r="B786" t="s">
        <v>16</v>
      </c>
      <c r="C786">
        <v>3.7</v>
      </c>
      <c r="D786" t="s">
        <v>17</v>
      </c>
      <c r="E786">
        <v>5.7</v>
      </c>
      <c r="F786">
        <v>1.7</v>
      </c>
      <c r="G786">
        <v>2.88</v>
      </c>
      <c r="H786">
        <v>0.2</v>
      </c>
      <c r="I786" t="s">
        <v>15</v>
      </c>
      <c r="J786">
        <v>9</v>
      </c>
      <c r="K786">
        <v>10</v>
      </c>
      <c r="L786">
        <v>3</v>
      </c>
      <c r="M786">
        <v>0</v>
      </c>
    </row>
    <row r="787" spans="1:13" x14ac:dyDescent="0.35">
      <c r="A787">
        <v>19</v>
      </c>
      <c r="B787" t="s">
        <v>16</v>
      </c>
      <c r="C787">
        <v>5</v>
      </c>
      <c r="D787" t="s">
        <v>14</v>
      </c>
      <c r="E787">
        <v>6.3</v>
      </c>
      <c r="F787">
        <v>2.9</v>
      </c>
      <c r="G787">
        <v>2.04</v>
      </c>
      <c r="H787">
        <v>0.5</v>
      </c>
      <c r="I787" t="s">
        <v>19</v>
      </c>
      <c r="J787">
        <v>5</v>
      </c>
      <c r="K787">
        <v>2</v>
      </c>
      <c r="L787">
        <v>2</v>
      </c>
      <c r="M787">
        <v>0</v>
      </c>
    </row>
    <row r="788" spans="1:13" x14ac:dyDescent="0.35">
      <c r="A788">
        <v>19</v>
      </c>
      <c r="B788" t="s">
        <v>16</v>
      </c>
      <c r="C788">
        <v>4.2</v>
      </c>
      <c r="D788" t="s">
        <v>14</v>
      </c>
      <c r="E788">
        <v>7.1</v>
      </c>
      <c r="F788">
        <v>2.5</v>
      </c>
      <c r="G788">
        <v>3.91</v>
      </c>
      <c r="H788">
        <v>1.5</v>
      </c>
      <c r="I788" t="s">
        <v>18</v>
      </c>
      <c r="J788">
        <v>6</v>
      </c>
      <c r="K788">
        <v>8</v>
      </c>
      <c r="L788">
        <v>9</v>
      </c>
      <c r="M788">
        <v>0</v>
      </c>
    </row>
    <row r="789" spans="1:13" x14ac:dyDescent="0.35">
      <c r="A789">
        <v>16</v>
      </c>
      <c r="B789" t="s">
        <v>13</v>
      </c>
      <c r="C789">
        <v>4.5999999999999996</v>
      </c>
      <c r="D789" t="s">
        <v>14</v>
      </c>
      <c r="E789">
        <v>8.1999999999999993</v>
      </c>
      <c r="F789">
        <v>1.5</v>
      </c>
      <c r="G789">
        <v>2.13</v>
      </c>
      <c r="H789">
        <v>1</v>
      </c>
      <c r="I789" t="s">
        <v>15</v>
      </c>
      <c r="J789">
        <v>3</v>
      </c>
      <c r="K789">
        <v>2</v>
      </c>
      <c r="L789">
        <v>2</v>
      </c>
      <c r="M789">
        <v>0</v>
      </c>
    </row>
    <row r="790" spans="1:13" x14ac:dyDescent="0.35">
      <c r="A790">
        <v>18</v>
      </c>
      <c r="B790" t="s">
        <v>13</v>
      </c>
      <c r="C790">
        <v>5.5</v>
      </c>
      <c r="D790" t="s">
        <v>14</v>
      </c>
      <c r="E790">
        <v>5</v>
      </c>
      <c r="F790">
        <v>0.9</v>
      </c>
      <c r="G790">
        <v>2.93</v>
      </c>
      <c r="H790">
        <v>1.1000000000000001</v>
      </c>
      <c r="I790" t="s">
        <v>15</v>
      </c>
      <c r="J790">
        <v>4</v>
      </c>
      <c r="K790">
        <v>10</v>
      </c>
      <c r="L790">
        <v>10</v>
      </c>
      <c r="M790">
        <v>0</v>
      </c>
    </row>
    <row r="791" spans="1:13" x14ac:dyDescent="0.35">
      <c r="A791">
        <v>19</v>
      </c>
      <c r="B791" t="s">
        <v>16</v>
      </c>
      <c r="C791">
        <v>1.8</v>
      </c>
      <c r="D791" t="s">
        <v>14</v>
      </c>
      <c r="E791">
        <v>4.5</v>
      </c>
      <c r="F791">
        <v>2.8</v>
      </c>
      <c r="G791">
        <v>3.22</v>
      </c>
      <c r="H791">
        <v>1.6</v>
      </c>
      <c r="I791" t="s">
        <v>19</v>
      </c>
      <c r="J791">
        <v>5</v>
      </c>
      <c r="K791">
        <v>3</v>
      </c>
      <c r="L791">
        <v>10</v>
      </c>
      <c r="M791">
        <v>0</v>
      </c>
    </row>
    <row r="792" spans="1:13" x14ac:dyDescent="0.35">
      <c r="A792">
        <v>14</v>
      </c>
      <c r="B792" t="s">
        <v>16</v>
      </c>
      <c r="C792">
        <v>6.6</v>
      </c>
      <c r="D792" t="s">
        <v>17</v>
      </c>
      <c r="E792">
        <v>6.2</v>
      </c>
      <c r="F792">
        <v>1.8</v>
      </c>
      <c r="G792">
        <v>2.36</v>
      </c>
      <c r="H792">
        <v>1.7</v>
      </c>
      <c r="I792" t="s">
        <v>18</v>
      </c>
      <c r="J792">
        <v>4</v>
      </c>
      <c r="K792">
        <v>1</v>
      </c>
      <c r="L792">
        <v>8</v>
      </c>
      <c r="M792">
        <v>0</v>
      </c>
    </row>
    <row r="793" spans="1:13" x14ac:dyDescent="0.35">
      <c r="A793">
        <v>15</v>
      </c>
      <c r="B793" t="s">
        <v>16</v>
      </c>
      <c r="C793">
        <v>4.4000000000000004</v>
      </c>
      <c r="D793" t="s">
        <v>17</v>
      </c>
      <c r="E793">
        <v>5.3</v>
      </c>
      <c r="F793">
        <v>0.9</v>
      </c>
      <c r="G793">
        <v>3.75</v>
      </c>
      <c r="H793">
        <v>0.5</v>
      </c>
      <c r="I793" t="s">
        <v>18</v>
      </c>
      <c r="J793">
        <v>10</v>
      </c>
      <c r="K793">
        <v>5</v>
      </c>
      <c r="L793">
        <v>5</v>
      </c>
      <c r="M793">
        <v>0</v>
      </c>
    </row>
    <row r="794" spans="1:13" x14ac:dyDescent="0.35">
      <c r="A794">
        <v>14</v>
      </c>
      <c r="B794" t="s">
        <v>16</v>
      </c>
      <c r="C794">
        <v>4.7</v>
      </c>
      <c r="D794" t="s">
        <v>17</v>
      </c>
      <c r="E794">
        <v>4.4000000000000004</v>
      </c>
      <c r="F794">
        <v>2.1</v>
      </c>
      <c r="G794">
        <v>3.92</v>
      </c>
      <c r="H794">
        <v>0.9</v>
      </c>
      <c r="I794" t="s">
        <v>15</v>
      </c>
      <c r="J794">
        <v>10</v>
      </c>
      <c r="K794">
        <v>1</v>
      </c>
      <c r="L794">
        <v>4</v>
      </c>
      <c r="M794">
        <v>0</v>
      </c>
    </row>
    <row r="795" spans="1:13" x14ac:dyDescent="0.35">
      <c r="A795">
        <v>18</v>
      </c>
      <c r="B795" t="s">
        <v>16</v>
      </c>
      <c r="C795">
        <v>7.1</v>
      </c>
      <c r="D795" t="s">
        <v>14</v>
      </c>
      <c r="E795">
        <v>5.7</v>
      </c>
      <c r="F795">
        <v>0.6</v>
      </c>
      <c r="G795">
        <v>2.9</v>
      </c>
      <c r="H795">
        <v>1.7</v>
      </c>
      <c r="I795" t="s">
        <v>19</v>
      </c>
      <c r="J795">
        <v>3</v>
      </c>
      <c r="K795">
        <v>1</v>
      </c>
      <c r="L795">
        <v>6</v>
      </c>
      <c r="M795">
        <v>0</v>
      </c>
    </row>
    <row r="796" spans="1:13" x14ac:dyDescent="0.35">
      <c r="A796">
        <v>17</v>
      </c>
      <c r="B796" t="s">
        <v>13</v>
      </c>
      <c r="C796">
        <v>4</v>
      </c>
      <c r="D796" t="s">
        <v>20</v>
      </c>
      <c r="E796">
        <v>8.5</v>
      </c>
      <c r="F796">
        <v>1</v>
      </c>
      <c r="G796">
        <v>2.16</v>
      </c>
      <c r="H796">
        <v>0.1</v>
      </c>
      <c r="I796" t="s">
        <v>15</v>
      </c>
      <c r="J796">
        <v>1</v>
      </c>
      <c r="K796">
        <v>7</v>
      </c>
      <c r="L796">
        <v>5</v>
      </c>
      <c r="M796">
        <v>0</v>
      </c>
    </row>
    <row r="797" spans="1:13" x14ac:dyDescent="0.35">
      <c r="A797">
        <v>18</v>
      </c>
      <c r="B797" t="s">
        <v>16</v>
      </c>
      <c r="C797">
        <v>5.5</v>
      </c>
      <c r="D797" t="s">
        <v>14</v>
      </c>
      <c r="E797">
        <v>5.3</v>
      </c>
      <c r="F797">
        <v>2.6</v>
      </c>
      <c r="G797">
        <v>3.09</v>
      </c>
      <c r="H797">
        <v>2</v>
      </c>
      <c r="I797" t="s">
        <v>15</v>
      </c>
      <c r="J797">
        <v>8</v>
      </c>
      <c r="K797">
        <v>6</v>
      </c>
      <c r="L797">
        <v>3</v>
      </c>
      <c r="M797">
        <v>0</v>
      </c>
    </row>
    <row r="798" spans="1:13" x14ac:dyDescent="0.35">
      <c r="A798">
        <v>19</v>
      </c>
      <c r="B798" t="s">
        <v>13</v>
      </c>
      <c r="C798">
        <v>5.6</v>
      </c>
      <c r="D798" t="s">
        <v>17</v>
      </c>
      <c r="E798">
        <v>6.5</v>
      </c>
      <c r="F798">
        <v>1.4</v>
      </c>
      <c r="G798">
        <v>3.19</v>
      </c>
      <c r="H798">
        <v>0</v>
      </c>
      <c r="I798" t="s">
        <v>18</v>
      </c>
      <c r="J798">
        <v>9</v>
      </c>
      <c r="K798">
        <v>9</v>
      </c>
      <c r="L798">
        <v>7</v>
      </c>
      <c r="M798">
        <v>0</v>
      </c>
    </row>
    <row r="799" spans="1:13" x14ac:dyDescent="0.35">
      <c r="A799">
        <v>14</v>
      </c>
      <c r="B799" t="s">
        <v>16</v>
      </c>
      <c r="C799">
        <v>3.7</v>
      </c>
      <c r="D799" t="s">
        <v>20</v>
      </c>
      <c r="E799">
        <v>7.1</v>
      </c>
      <c r="F799">
        <v>1.7</v>
      </c>
      <c r="G799">
        <v>2.5</v>
      </c>
      <c r="H799">
        <v>1.8</v>
      </c>
      <c r="I799" t="s">
        <v>19</v>
      </c>
      <c r="J799">
        <v>10</v>
      </c>
      <c r="K799">
        <v>4</v>
      </c>
      <c r="L799">
        <v>5</v>
      </c>
      <c r="M799">
        <v>0</v>
      </c>
    </row>
    <row r="800" spans="1:13" x14ac:dyDescent="0.35">
      <c r="A800">
        <v>16</v>
      </c>
      <c r="B800" t="s">
        <v>13</v>
      </c>
      <c r="C800">
        <v>1.8</v>
      </c>
      <c r="D800" t="s">
        <v>17</v>
      </c>
      <c r="E800">
        <v>7.4</v>
      </c>
      <c r="F800">
        <v>2.2999999999999998</v>
      </c>
      <c r="G800">
        <v>3.76</v>
      </c>
      <c r="H800">
        <v>0.8</v>
      </c>
      <c r="I800" t="s">
        <v>15</v>
      </c>
      <c r="J800">
        <v>9</v>
      </c>
      <c r="K800">
        <v>5</v>
      </c>
      <c r="L800">
        <v>8</v>
      </c>
      <c r="M800">
        <v>0</v>
      </c>
    </row>
    <row r="801" spans="1:13" x14ac:dyDescent="0.35">
      <c r="A801">
        <v>16</v>
      </c>
      <c r="B801" t="s">
        <v>16</v>
      </c>
      <c r="C801">
        <v>7.6</v>
      </c>
      <c r="D801" t="s">
        <v>17</v>
      </c>
      <c r="E801">
        <v>4.2</v>
      </c>
      <c r="F801">
        <v>2.8</v>
      </c>
      <c r="G801">
        <v>3.87</v>
      </c>
      <c r="H801">
        <v>0.7</v>
      </c>
      <c r="I801" t="s">
        <v>18</v>
      </c>
      <c r="J801">
        <v>10</v>
      </c>
      <c r="K801">
        <v>2</v>
      </c>
      <c r="L801">
        <v>9</v>
      </c>
      <c r="M801">
        <v>0</v>
      </c>
    </row>
    <row r="802" spans="1:13" x14ac:dyDescent="0.35">
      <c r="A802">
        <v>18</v>
      </c>
      <c r="B802" t="s">
        <v>13</v>
      </c>
      <c r="C802">
        <v>5.7</v>
      </c>
      <c r="D802" t="s">
        <v>17</v>
      </c>
      <c r="E802">
        <v>8</v>
      </c>
      <c r="F802">
        <v>2.5</v>
      </c>
      <c r="G802">
        <v>3.4</v>
      </c>
      <c r="H802">
        <v>0.1</v>
      </c>
      <c r="I802" t="s">
        <v>15</v>
      </c>
      <c r="J802">
        <v>5</v>
      </c>
      <c r="K802">
        <v>2</v>
      </c>
      <c r="L802">
        <v>1</v>
      </c>
      <c r="M802">
        <v>0</v>
      </c>
    </row>
    <row r="803" spans="1:13" x14ac:dyDescent="0.35">
      <c r="A803">
        <v>14</v>
      </c>
      <c r="B803" t="s">
        <v>16</v>
      </c>
      <c r="C803">
        <v>6.1</v>
      </c>
      <c r="D803" t="s">
        <v>14</v>
      </c>
      <c r="E803">
        <v>7</v>
      </c>
      <c r="F803">
        <v>2.7</v>
      </c>
      <c r="G803">
        <v>3.97</v>
      </c>
      <c r="H803">
        <v>1</v>
      </c>
      <c r="I803" t="s">
        <v>19</v>
      </c>
      <c r="J803">
        <v>1</v>
      </c>
      <c r="K803">
        <v>8</v>
      </c>
      <c r="L803">
        <v>8</v>
      </c>
      <c r="M803">
        <v>0</v>
      </c>
    </row>
    <row r="804" spans="1:13" x14ac:dyDescent="0.35">
      <c r="A804">
        <v>13</v>
      </c>
      <c r="B804" t="s">
        <v>16</v>
      </c>
      <c r="C804">
        <v>6</v>
      </c>
      <c r="D804" t="s">
        <v>14</v>
      </c>
      <c r="E804">
        <v>7.2</v>
      </c>
      <c r="F804">
        <v>0.6</v>
      </c>
      <c r="G804">
        <v>2.11</v>
      </c>
      <c r="H804">
        <v>1.1000000000000001</v>
      </c>
      <c r="I804" t="s">
        <v>15</v>
      </c>
      <c r="J804">
        <v>1</v>
      </c>
      <c r="K804">
        <v>3</v>
      </c>
      <c r="L804">
        <v>6</v>
      </c>
      <c r="M804">
        <v>0</v>
      </c>
    </row>
    <row r="805" spans="1:13" x14ac:dyDescent="0.35">
      <c r="A805">
        <v>15</v>
      </c>
      <c r="B805" t="s">
        <v>16</v>
      </c>
      <c r="C805">
        <v>3.1</v>
      </c>
      <c r="D805" t="s">
        <v>17</v>
      </c>
      <c r="E805">
        <v>4.2</v>
      </c>
      <c r="F805">
        <v>2.4</v>
      </c>
      <c r="G805">
        <v>3.41</v>
      </c>
      <c r="H805">
        <v>0.2</v>
      </c>
      <c r="I805" t="s">
        <v>15</v>
      </c>
      <c r="J805">
        <v>3</v>
      </c>
      <c r="K805">
        <v>7</v>
      </c>
      <c r="L805">
        <v>5</v>
      </c>
      <c r="M805">
        <v>0</v>
      </c>
    </row>
    <row r="806" spans="1:13" x14ac:dyDescent="0.35">
      <c r="A806">
        <v>17</v>
      </c>
      <c r="B806" t="s">
        <v>13</v>
      </c>
      <c r="C806">
        <v>7.6</v>
      </c>
      <c r="D806" t="s">
        <v>14</v>
      </c>
      <c r="E806">
        <v>6</v>
      </c>
      <c r="F806">
        <v>2</v>
      </c>
      <c r="G806">
        <v>3.82</v>
      </c>
      <c r="H806">
        <v>1.5</v>
      </c>
      <c r="I806" t="s">
        <v>15</v>
      </c>
      <c r="J806">
        <v>8</v>
      </c>
      <c r="K806">
        <v>9</v>
      </c>
      <c r="L806">
        <v>7</v>
      </c>
      <c r="M806">
        <v>0</v>
      </c>
    </row>
    <row r="807" spans="1:13" x14ac:dyDescent="0.35">
      <c r="A807">
        <v>17</v>
      </c>
      <c r="B807" t="s">
        <v>13</v>
      </c>
      <c r="C807">
        <v>6</v>
      </c>
      <c r="D807" t="s">
        <v>20</v>
      </c>
      <c r="E807">
        <v>5.3</v>
      </c>
      <c r="F807">
        <v>2.7</v>
      </c>
      <c r="G807">
        <v>3.2</v>
      </c>
      <c r="H807">
        <v>1.4</v>
      </c>
      <c r="I807" t="s">
        <v>19</v>
      </c>
      <c r="J807">
        <v>8</v>
      </c>
      <c r="K807">
        <v>2</v>
      </c>
      <c r="L807">
        <v>4</v>
      </c>
      <c r="M807">
        <v>0</v>
      </c>
    </row>
    <row r="808" spans="1:13" x14ac:dyDescent="0.35">
      <c r="A808">
        <v>13</v>
      </c>
      <c r="B808" t="s">
        <v>16</v>
      </c>
      <c r="C808">
        <v>3.5</v>
      </c>
      <c r="D808" t="s">
        <v>14</v>
      </c>
      <c r="E808">
        <v>5.3</v>
      </c>
      <c r="F808">
        <v>2.7</v>
      </c>
      <c r="G808">
        <v>3.7</v>
      </c>
      <c r="H808">
        <v>0.5</v>
      </c>
      <c r="I808" t="s">
        <v>15</v>
      </c>
      <c r="J808">
        <v>3</v>
      </c>
      <c r="K808">
        <v>7</v>
      </c>
      <c r="L808">
        <v>2</v>
      </c>
      <c r="M808">
        <v>0</v>
      </c>
    </row>
    <row r="809" spans="1:13" x14ac:dyDescent="0.35">
      <c r="A809">
        <v>14</v>
      </c>
      <c r="B809" t="s">
        <v>16</v>
      </c>
      <c r="C809">
        <v>1.3</v>
      </c>
      <c r="D809" t="s">
        <v>17</v>
      </c>
      <c r="E809">
        <v>7.5</v>
      </c>
      <c r="F809">
        <v>1.4</v>
      </c>
      <c r="G809">
        <v>3.85</v>
      </c>
      <c r="H809">
        <v>1.6</v>
      </c>
      <c r="I809" t="s">
        <v>19</v>
      </c>
      <c r="J809">
        <v>10</v>
      </c>
      <c r="K809">
        <v>8</v>
      </c>
      <c r="L809">
        <v>7</v>
      </c>
      <c r="M809">
        <v>0</v>
      </c>
    </row>
    <row r="810" spans="1:13" x14ac:dyDescent="0.35">
      <c r="A810">
        <v>18</v>
      </c>
      <c r="B810" t="s">
        <v>16</v>
      </c>
      <c r="C810">
        <v>2.8</v>
      </c>
      <c r="D810" t="s">
        <v>17</v>
      </c>
      <c r="E810">
        <v>7</v>
      </c>
      <c r="F810">
        <v>2.9</v>
      </c>
      <c r="G810">
        <v>3.91</v>
      </c>
      <c r="H810">
        <v>1.1000000000000001</v>
      </c>
      <c r="I810" t="s">
        <v>19</v>
      </c>
      <c r="J810">
        <v>9</v>
      </c>
      <c r="K810">
        <v>9</v>
      </c>
      <c r="L810">
        <v>1</v>
      </c>
      <c r="M810">
        <v>0</v>
      </c>
    </row>
    <row r="811" spans="1:13" x14ac:dyDescent="0.35">
      <c r="A811">
        <v>14</v>
      </c>
      <c r="B811" t="s">
        <v>13</v>
      </c>
      <c r="C811">
        <v>3.9</v>
      </c>
      <c r="D811" t="s">
        <v>20</v>
      </c>
      <c r="E811">
        <v>4.8</v>
      </c>
      <c r="F811">
        <v>0.8</v>
      </c>
      <c r="G811">
        <v>3.32</v>
      </c>
      <c r="H811">
        <v>0.3</v>
      </c>
      <c r="I811" t="s">
        <v>18</v>
      </c>
      <c r="J811">
        <v>5</v>
      </c>
      <c r="K811">
        <v>2</v>
      </c>
      <c r="L811">
        <v>5</v>
      </c>
      <c r="M811">
        <v>0</v>
      </c>
    </row>
    <row r="812" spans="1:13" x14ac:dyDescent="0.35">
      <c r="A812">
        <v>19</v>
      </c>
      <c r="B812" t="s">
        <v>13</v>
      </c>
      <c r="C812">
        <v>3.9</v>
      </c>
      <c r="D812" t="s">
        <v>20</v>
      </c>
      <c r="E812">
        <v>4.8</v>
      </c>
      <c r="F812">
        <v>2.8</v>
      </c>
      <c r="G812">
        <v>3.98</v>
      </c>
      <c r="H812">
        <v>1.9</v>
      </c>
      <c r="I812" t="s">
        <v>19</v>
      </c>
      <c r="J812">
        <v>7</v>
      </c>
      <c r="K812">
        <v>5</v>
      </c>
      <c r="L812">
        <v>3</v>
      </c>
      <c r="M812">
        <v>0</v>
      </c>
    </row>
    <row r="813" spans="1:13" x14ac:dyDescent="0.35">
      <c r="A813">
        <v>14</v>
      </c>
      <c r="B813" t="s">
        <v>13</v>
      </c>
      <c r="C813">
        <v>7.4</v>
      </c>
      <c r="D813" t="s">
        <v>14</v>
      </c>
      <c r="E813">
        <v>8.9</v>
      </c>
      <c r="F813">
        <v>2.4</v>
      </c>
      <c r="G813">
        <v>2.29</v>
      </c>
      <c r="H813">
        <v>1.1000000000000001</v>
      </c>
      <c r="I813" t="s">
        <v>15</v>
      </c>
      <c r="J813">
        <v>10</v>
      </c>
      <c r="K813">
        <v>4</v>
      </c>
      <c r="L813">
        <v>8</v>
      </c>
      <c r="M813">
        <v>0</v>
      </c>
    </row>
    <row r="814" spans="1:13" x14ac:dyDescent="0.35">
      <c r="A814">
        <v>19</v>
      </c>
      <c r="B814" t="s">
        <v>16</v>
      </c>
      <c r="C814">
        <v>5.4</v>
      </c>
      <c r="D814" t="s">
        <v>17</v>
      </c>
      <c r="E814">
        <v>7.4</v>
      </c>
      <c r="F814">
        <v>1.7</v>
      </c>
      <c r="G814">
        <v>2.88</v>
      </c>
      <c r="H814">
        <v>0.6</v>
      </c>
      <c r="I814" t="s">
        <v>15</v>
      </c>
      <c r="J814">
        <v>6</v>
      </c>
      <c r="K814">
        <v>10</v>
      </c>
      <c r="L814">
        <v>9</v>
      </c>
      <c r="M814">
        <v>0</v>
      </c>
    </row>
    <row r="815" spans="1:13" x14ac:dyDescent="0.35">
      <c r="A815">
        <v>19</v>
      </c>
      <c r="B815" t="s">
        <v>16</v>
      </c>
      <c r="C815">
        <v>6.6</v>
      </c>
      <c r="D815" t="s">
        <v>20</v>
      </c>
      <c r="E815">
        <v>6.8</v>
      </c>
      <c r="F815">
        <v>0.8</v>
      </c>
      <c r="G815">
        <v>2.64</v>
      </c>
      <c r="H815">
        <v>1.5</v>
      </c>
      <c r="I815" t="s">
        <v>15</v>
      </c>
      <c r="J815">
        <v>5</v>
      </c>
      <c r="K815">
        <v>4</v>
      </c>
      <c r="L815">
        <v>6</v>
      </c>
      <c r="M815">
        <v>0</v>
      </c>
    </row>
    <row r="816" spans="1:13" x14ac:dyDescent="0.35">
      <c r="A816">
        <v>17</v>
      </c>
      <c r="B816" t="s">
        <v>13</v>
      </c>
      <c r="C816">
        <v>5.9</v>
      </c>
      <c r="D816" t="s">
        <v>14</v>
      </c>
      <c r="E816">
        <v>7.4</v>
      </c>
      <c r="F816">
        <v>1.7</v>
      </c>
      <c r="G816">
        <v>2.5</v>
      </c>
      <c r="H816">
        <v>0.7</v>
      </c>
      <c r="I816" t="s">
        <v>18</v>
      </c>
      <c r="J816">
        <v>6</v>
      </c>
      <c r="K816">
        <v>7</v>
      </c>
      <c r="L816">
        <v>1</v>
      </c>
      <c r="M816">
        <v>0</v>
      </c>
    </row>
    <row r="817" spans="1:13" x14ac:dyDescent="0.35">
      <c r="A817">
        <v>17</v>
      </c>
      <c r="B817" t="s">
        <v>13</v>
      </c>
      <c r="C817">
        <v>3.3</v>
      </c>
      <c r="D817" t="s">
        <v>20</v>
      </c>
      <c r="E817">
        <v>5.2</v>
      </c>
      <c r="F817">
        <v>1.8</v>
      </c>
      <c r="G817">
        <v>2.1</v>
      </c>
      <c r="H817">
        <v>1.2</v>
      </c>
      <c r="I817" t="s">
        <v>15</v>
      </c>
      <c r="J817">
        <v>2</v>
      </c>
      <c r="K817">
        <v>3</v>
      </c>
      <c r="L817">
        <v>9</v>
      </c>
      <c r="M817">
        <v>0</v>
      </c>
    </row>
    <row r="818" spans="1:13" x14ac:dyDescent="0.35">
      <c r="A818">
        <v>15</v>
      </c>
      <c r="B818" t="s">
        <v>16</v>
      </c>
      <c r="C818">
        <v>2.8</v>
      </c>
      <c r="D818" t="s">
        <v>14</v>
      </c>
      <c r="E818">
        <v>7.7</v>
      </c>
      <c r="F818">
        <v>1</v>
      </c>
      <c r="G818">
        <v>3.73</v>
      </c>
      <c r="H818">
        <v>0.5</v>
      </c>
      <c r="I818" t="s">
        <v>19</v>
      </c>
      <c r="J818">
        <v>6</v>
      </c>
      <c r="K818">
        <v>10</v>
      </c>
      <c r="L818">
        <v>1</v>
      </c>
      <c r="M818">
        <v>0</v>
      </c>
    </row>
    <row r="819" spans="1:13" x14ac:dyDescent="0.35">
      <c r="A819">
        <v>14</v>
      </c>
      <c r="B819" t="s">
        <v>16</v>
      </c>
      <c r="C819">
        <v>7.3</v>
      </c>
      <c r="D819" t="s">
        <v>17</v>
      </c>
      <c r="E819">
        <v>8.8000000000000007</v>
      </c>
      <c r="F819">
        <v>2.5</v>
      </c>
      <c r="G819">
        <v>2.12</v>
      </c>
      <c r="H819">
        <v>0.5</v>
      </c>
      <c r="I819" t="s">
        <v>18</v>
      </c>
      <c r="J819">
        <v>10</v>
      </c>
      <c r="K819">
        <v>10</v>
      </c>
      <c r="L819">
        <v>1</v>
      </c>
      <c r="M819">
        <v>0</v>
      </c>
    </row>
    <row r="820" spans="1:13" x14ac:dyDescent="0.35">
      <c r="A820">
        <v>18</v>
      </c>
      <c r="B820" t="s">
        <v>13</v>
      </c>
      <c r="C820">
        <v>2.8</v>
      </c>
      <c r="D820" t="s">
        <v>14</v>
      </c>
      <c r="E820">
        <v>6.9</v>
      </c>
      <c r="F820">
        <v>2.2999999999999998</v>
      </c>
      <c r="G820">
        <v>3.11</v>
      </c>
      <c r="H820">
        <v>0.1</v>
      </c>
      <c r="I820" t="s">
        <v>19</v>
      </c>
      <c r="J820">
        <v>7</v>
      </c>
      <c r="K820">
        <v>1</v>
      </c>
      <c r="L820">
        <v>9</v>
      </c>
      <c r="M820">
        <v>0</v>
      </c>
    </row>
    <row r="821" spans="1:13" x14ac:dyDescent="0.35">
      <c r="A821">
        <v>18</v>
      </c>
      <c r="B821" t="s">
        <v>16</v>
      </c>
      <c r="C821">
        <v>7.2</v>
      </c>
      <c r="D821" t="s">
        <v>17</v>
      </c>
      <c r="E821">
        <v>7.7</v>
      </c>
      <c r="F821">
        <v>1.2</v>
      </c>
      <c r="G821">
        <v>3.7</v>
      </c>
      <c r="H821">
        <v>0.1</v>
      </c>
      <c r="I821" t="s">
        <v>15</v>
      </c>
      <c r="J821">
        <v>6</v>
      </c>
      <c r="K821">
        <v>3</v>
      </c>
      <c r="L821">
        <v>9</v>
      </c>
      <c r="M821">
        <v>0</v>
      </c>
    </row>
    <row r="822" spans="1:13" x14ac:dyDescent="0.35">
      <c r="A822">
        <v>19</v>
      </c>
      <c r="B822" t="s">
        <v>16</v>
      </c>
      <c r="C822">
        <v>7.1</v>
      </c>
      <c r="D822" t="s">
        <v>17</v>
      </c>
      <c r="E822">
        <v>6.3</v>
      </c>
      <c r="F822">
        <v>0.8</v>
      </c>
      <c r="G822">
        <v>3.66</v>
      </c>
      <c r="H822">
        <v>0.5</v>
      </c>
      <c r="I822" t="s">
        <v>18</v>
      </c>
      <c r="J822">
        <v>3</v>
      </c>
      <c r="K822">
        <v>7</v>
      </c>
      <c r="L822">
        <v>7</v>
      </c>
      <c r="M822">
        <v>0</v>
      </c>
    </row>
    <row r="823" spans="1:13" x14ac:dyDescent="0.35">
      <c r="A823">
        <v>13</v>
      </c>
      <c r="B823" t="s">
        <v>16</v>
      </c>
      <c r="C823">
        <v>4.3</v>
      </c>
      <c r="D823" t="s">
        <v>17</v>
      </c>
      <c r="E823">
        <v>4.4000000000000004</v>
      </c>
      <c r="F823">
        <v>0.9</v>
      </c>
      <c r="G823">
        <v>2.35</v>
      </c>
      <c r="H823">
        <v>1.5</v>
      </c>
      <c r="I823" t="s">
        <v>18</v>
      </c>
      <c r="J823">
        <v>3</v>
      </c>
      <c r="K823">
        <v>1</v>
      </c>
      <c r="L823">
        <v>7</v>
      </c>
      <c r="M823">
        <v>0</v>
      </c>
    </row>
    <row r="824" spans="1:13" x14ac:dyDescent="0.35">
      <c r="A824">
        <v>19</v>
      </c>
      <c r="B824" t="s">
        <v>13</v>
      </c>
      <c r="C824">
        <v>1.6</v>
      </c>
      <c r="D824" t="s">
        <v>20</v>
      </c>
      <c r="E824">
        <v>4.4000000000000004</v>
      </c>
      <c r="F824">
        <v>1.4</v>
      </c>
      <c r="G824">
        <v>2.0299999999999998</v>
      </c>
      <c r="H824">
        <v>1.1000000000000001</v>
      </c>
      <c r="I824" t="s">
        <v>18</v>
      </c>
      <c r="J824">
        <v>2</v>
      </c>
      <c r="K824">
        <v>9</v>
      </c>
      <c r="L824">
        <v>5</v>
      </c>
      <c r="M824">
        <v>0</v>
      </c>
    </row>
    <row r="825" spans="1:13" x14ac:dyDescent="0.35">
      <c r="A825">
        <v>19</v>
      </c>
      <c r="B825" t="s">
        <v>16</v>
      </c>
      <c r="C825">
        <v>1.4</v>
      </c>
      <c r="D825" t="s">
        <v>20</v>
      </c>
      <c r="E825">
        <v>8</v>
      </c>
      <c r="F825">
        <v>2.5</v>
      </c>
      <c r="G825">
        <v>3.54</v>
      </c>
      <c r="H825">
        <v>1.8</v>
      </c>
      <c r="I825" t="s">
        <v>15</v>
      </c>
      <c r="J825">
        <v>4</v>
      </c>
      <c r="K825">
        <v>8</v>
      </c>
      <c r="L825">
        <v>3</v>
      </c>
      <c r="M825">
        <v>0</v>
      </c>
    </row>
    <row r="826" spans="1:13" x14ac:dyDescent="0.35">
      <c r="A826">
        <v>18</v>
      </c>
      <c r="B826" t="s">
        <v>16</v>
      </c>
      <c r="C826">
        <v>3.2</v>
      </c>
      <c r="D826" t="s">
        <v>14</v>
      </c>
      <c r="E826">
        <v>6.8</v>
      </c>
      <c r="F826">
        <v>2.2999999999999998</v>
      </c>
      <c r="G826">
        <v>3.16</v>
      </c>
      <c r="H826">
        <v>1.8</v>
      </c>
      <c r="I826" t="s">
        <v>15</v>
      </c>
      <c r="J826">
        <v>4</v>
      </c>
      <c r="K826">
        <v>8</v>
      </c>
      <c r="L826">
        <v>5</v>
      </c>
      <c r="M826">
        <v>0</v>
      </c>
    </row>
    <row r="827" spans="1:13" x14ac:dyDescent="0.35">
      <c r="A827">
        <v>17</v>
      </c>
      <c r="B827" t="s">
        <v>13</v>
      </c>
      <c r="C827">
        <v>1.5</v>
      </c>
      <c r="D827" t="s">
        <v>20</v>
      </c>
      <c r="E827">
        <v>8</v>
      </c>
      <c r="F827">
        <v>0.5</v>
      </c>
      <c r="G827">
        <v>3.01</v>
      </c>
      <c r="H827">
        <v>0.4</v>
      </c>
      <c r="I827" t="s">
        <v>19</v>
      </c>
      <c r="J827">
        <v>10</v>
      </c>
      <c r="K827">
        <v>2</v>
      </c>
      <c r="L827">
        <v>3</v>
      </c>
      <c r="M827">
        <v>0</v>
      </c>
    </row>
    <row r="828" spans="1:13" x14ac:dyDescent="0.35">
      <c r="A828">
        <v>18</v>
      </c>
      <c r="B828" t="s">
        <v>13</v>
      </c>
      <c r="C828">
        <v>7.5</v>
      </c>
      <c r="D828" t="s">
        <v>17</v>
      </c>
      <c r="E828">
        <v>5.0999999999999996</v>
      </c>
      <c r="F828">
        <v>2.6</v>
      </c>
      <c r="G828">
        <v>3.82</v>
      </c>
      <c r="H828">
        <v>0.7</v>
      </c>
      <c r="I828" t="s">
        <v>15</v>
      </c>
      <c r="J828">
        <v>7</v>
      </c>
      <c r="K828">
        <v>3</v>
      </c>
      <c r="L828">
        <v>8</v>
      </c>
      <c r="M828">
        <v>0</v>
      </c>
    </row>
    <row r="829" spans="1:13" x14ac:dyDescent="0.35">
      <c r="A829">
        <v>14</v>
      </c>
      <c r="B829" t="s">
        <v>16</v>
      </c>
      <c r="C829">
        <v>3.5</v>
      </c>
      <c r="D829" t="s">
        <v>14</v>
      </c>
      <c r="E829">
        <v>4.5999999999999996</v>
      </c>
      <c r="F829">
        <v>0.7</v>
      </c>
      <c r="G829">
        <v>2.74</v>
      </c>
      <c r="H829">
        <v>1</v>
      </c>
      <c r="I829" t="s">
        <v>15</v>
      </c>
      <c r="J829">
        <v>2</v>
      </c>
      <c r="K829">
        <v>7</v>
      </c>
      <c r="L829">
        <v>8</v>
      </c>
      <c r="M829">
        <v>0</v>
      </c>
    </row>
    <row r="830" spans="1:13" x14ac:dyDescent="0.35">
      <c r="A830">
        <v>17</v>
      </c>
      <c r="B830" t="s">
        <v>13</v>
      </c>
      <c r="C830">
        <v>4.4000000000000004</v>
      </c>
      <c r="D830" t="s">
        <v>20</v>
      </c>
      <c r="E830">
        <v>8.1999999999999993</v>
      </c>
      <c r="F830">
        <v>2.7</v>
      </c>
      <c r="G830">
        <v>3.13</v>
      </c>
      <c r="H830">
        <v>0.3</v>
      </c>
      <c r="I830" t="s">
        <v>19</v>
      </c>
      <c r="J830">
        <v>3</v>
      </c>
      <c r="K830">
        <v>1</v>
      </c>
      <c r="L830">
        <v>2</v>
      </c>
      <c r="M830">
        <v>0</v>
      </c>
    </row>
    <row r="831" spans="1:13" x14ac:dyDescent="0.35">
      <c r="A831">
        <v>17</v>
      </c>
      <c r="B831" t="s">
        <v>13</v>
      </c>
      <c r="C831">
        <v>4.5999999999999996</v>
      </c>
      <c r="D831" t="s">
        <v>17</v>
      </c>
      <c r="E831">
        <v>5.0999999999999996</v>
      </c>
      <c r="F831">
        <v>2.5</v>
      </c>
      <c r="G831">
        <v>2.13</v>
      </c>
      <c r="H831">
        <v>1</v>
      </c>
      <c r="I831" t="s">
        <v>19</v>
      </c>
      <c r="J831">
        <v>2</v>
      </c>
      <c r="K831">
        <v>5</v>
      </c>
      <c r="L831">
        <v>6</v>
      </c>
      <c r="M831">
        <v>0</v>
      </c>
    </row>
    <row r="832" spans="1:13" x14ac:dyDescent="0.35">
      <c r="A832">
        <v>13</v>
      </c>
      <c r="B832" t="s">
        <v>13</v>
      </c>
      <c r="C832">
        <v>5.9</v>
      </c>
      <c r="D832" t="s">
        <v>17</v>
      </c>
      <c r="E832">
        <v>6.6</v>
      </c>
      <c r="F832">
        <v>2.6</v>
      </c>
      <c r="G832">
        <v>3.58</v>
      </c>
      <c r="H832">
        <v>1.6</v>
      </c>
      <c r="I832" t="s">
        <v>19</v>
      </c>
      <c r="J832">
        <v>7</v>
      </c>
      <c r="K832">
        <v>7</v>
      </c>
      <c r="L832">
        <v>10</v>
      </c>
      <c r="M832">
        <v>0</v>
      </c>
    </row>
    <row r="833" spans="1:13" x14ac:dyDescent="0.35">
      <c r="A833">
        <v>16</v>
      </c>
      <c r="B833" t="s">
        <v>16</v>
      </c>
      <c r="C833">
        <v>7.8</v>
      </c>
      <c r="D833" t="s">
        <v>17</v>
      </c>
      <c r="E833">
        <v>4.7</v>
      </c>
      <c r="F833">
        <v>1.1000000000000001</v>
      </c>
      <c r="G833">
        <v>3.53</v>
      </c>
      <c r="H833">
        <v>2</v>
      </c>
      <c r="I833" t="s">
        <v>19</v>
      </c>
      <c r="J833">
        <v>9</v>
      </c>
      <c r="K833">
        <v>3</v>
      </c>
      <c r="L833">
        <v>8</v>
      </c>
      <c r="M833">
        <v>0</v>
      </c>
    </row>
    <row r="834" spans="1:13" x14ac:dyDescent="0.35">
      <c r="A834">
        <v>15</v>
      </c>
      <c r="B834" t="s">
        <v>16</v>
      </c>
      <c r="C834">
        <v>4.8</v>
      </c>
      <c r="D834" t="s">
        <v>17</v>
      </c>
      <c r="E834">
        <v>7.3</v>
      </c>
      <c r="F834">
        <v>1.9</v>
      </c>
      <c r="G834">
        <v>2.76</v>
      </c>
      <c r="H834">
        <v>0.9</v>
      </c>
      <c r="I834" t="s">
        <v>18</v>
      </c>
      <c r="J834">
        <v>2</v>
      </c>
      <c r="K834">
        <v>10</v>
      </c>
      <c r="L834">
        <v>1</v>
      </c>
      <c r="M834">
        <v>0</v>
      </c>
    </row>
    <row r="835" spans="1:13" x14ac:dyDescent="0.35">
      <c r="A835">
        <v>16</v>
      </c>
      <c r="B835" t="s">
        <v>16</v>
      </c>
      <c r="C835">
        <v>7.4</v>
      </c>
      <c r="D835" t="s">
        <v>17</v>
      </c>
      <c r="E835">
        <v>4.5999999999999996</v>
      </c>
      <c r="F835">
        <v>1</v>
      </c>
      <c r="G835">
        <v>2.23</v>
      </c>
      <c r="H835">
        <v>1.1000000000000001</v>
      </c>
      <c r="I835" t="s">
        <v>15</v>
      </c>
      <c r="J835">
        <v>2</v>
      </c>
      <c r="K835">
        <v>4</v>
      </c>
      <c r="L835">
        <v>5</v>
      </c>
      <c r="M835">
        <v>0</v>
      </c>
    </row>
    <row r="836" spans="1:13" x14ac:dyDescent="0.35">
      <c r="A836">
        <v>18</v>
      </c>
      <c r="B836" t="s">
        <v>13</v>
      </c>
      <c r="C836">
        <v>2.7</v>
      </c>
      <c r="D836" t="s">
        <v>14</v>
      </c>
      <c r="E836">
        <v>7.9</v>
      </c>
      <c r="F836">
        <v>1.2</v>
      </c>
      <c r="G836">
        <v>2.75</v>
      </c>
      <c r="H836">
        <v>1.9</v>
      </c>
      <c r="I836" t="s">
        <v>19</v>
      </c>
      <c r="J836">
        <v>5</v>
      </c>
      <c r="K836">
        <v>8</v>
      </c>
      <c r="L836">
        <v>3</v>
      </c>
      <c r="M836">
        <v>0</v>
      </c>
    </row>
    <row r="837" spans="1:13" x14ac:dyDescent="0.35">
      <c r="A837">
        <v>13</v>
      </c>
      <c r="B837" t="s">
        <v>16</v>
      </c>
      <c r="C837">
        <v>5.3</v>
      </c>
      <c r="D837" t="s">
        <v>17</v>
      </c>
      <c r="E837">
        <v>6.4</v>
      </c>
      <c r="F837">
        <v>1.1000000000000001</v>
      </c>
      <c r="G837">
        <v>3.32</v>
      </c>
      <c r="H837">
        <v>1.9</v>
      </c>
      <c r="I837" t="s">
        <v>19</v>
      </c>
      <c r="J837">
        <v>8</v>
      </c>
      <c r="K837">
        <v>5</v>
      </c>
      <c r="L837">
        <v>10</v>
      </c>
      <c r="M837">
        <v>0</v>
      </c>
    </row>
    <row r="838" spans="1:13" x14ac:dyDescent="0.35">
      <c r="A838">
        <v>16</v>
      </c>
      <c r="B838" t="s">
        <v>16</v>
      </c>
      <c r="C838">
        <v>3.6</v>
      </c>
      <c r="D838" t="s">
        <v>20</v>
      </c>
      <c r="E838">
        <v>4.4000000000000004</v>
      </c>
      <c r="F838">
        <v>2.4</v>
      </c>
      <c r="G838">
        <v>2.5299999999999998</v>
      </c>
      <c r="H838">
        <v>0.7</v>
      </c>
      <c r="I838" t="s">
        <v>19</v>
      </c>
      <c r="J838">
        <v>1</v>
      </c>
      <c r="K838">
        <v>7</v>
      </c>
      <c r="L838">
        <v>5</v>
      </c>
      <c r="M838">
        <v>0</v>
      </c>
    </row>
    <row r="839" spans="1:13" x14ac:dyDescent="0.35">
      <c r="A839">
        <v>18</v>
      </c>
      <c r="B839" t="s">
        <v>13</v>
      </c>
      <c r="C839">
        <v>2.5</v>
      </c>
      <c r="D839" t="s">
        <v>20</v>
      </c>
      <c r="E839">
        <v>5.7</v>
      </c>
      <c r="F839">
        <v>2.1</v>
      </c>
      <c r="G839">
        <v>3.33</v>
      </c>
      <c r="H839">
        <v>0.6</v>
      </c>
      <c r="I839" t="s">
        <v>15</v>
      </c>
      <c r="J839">
        <v>8</v>
      </c>
      <c r="K839">
        <v>4</v>
      </c>
      <c r="L839">
        <v>6</v>
      </c>
      <c r="M839">
        <v>0</v>
      </c>
    </row>
    <row r="840" spans="1:13" x14ac:dyDescent="0.35">
      <c r="A840">
        <v>15</v>
      </c>
      <c r="B840" t="s">
        <v>13</v>
      </c>
      <c r="C840">
        <v>4.5</v>
      </c>
      <c r="D840" t="s">
        <v>20</v>
      </c>
      <c r="E840">
        <v>7</v>
      </c>
      <c r="F840">
        <v>1.5</v>
      </c>
      <c r="G840">
        <v>3.16</v>
      </c>
      <c r="H840">
        <v>1.7</v>
      </c>
      <c r="I840" t="s">
        <v>19</v>
      </c>
      <c r="J840">
        <v>4</v>
      </c>
      <c r="K840">
        <v>7</v>
      </c>
      <c r="L840">
        <v>10</v>
      </c>
      <c r="M840">
        <v>0</v>
      </c>
    </row>
    <row r="841" spans="1:13" x14ac:dyDescent="0.35">
      <c r="A841">
        <v>18</v>
      </c>
      <c r="B841" t="s">
        <v>16</v>
      </c>
      <c r="C841">
        <v>1.9</v>
      </c>
      <c r="D841" t="s">
        <v>20</v>
      </c>
      <c r="E841">
        <v>5.0999999999999996</v>
      </c>
      <c r="F841">
        <v>2.9</v>
      </c>
      <c r="G841">
        <v>2.62</v>
      </c>
      <c r="H841">
        <v>1</v>
      </c>
      <c r="I841" t="s">
        <v>15</v>
      </c>
      <c r="J841">
        <v>4</v>
      </c>
      <c r="K841">
        <v>3</v>
      </c>
      <c r="L841">
        <v>2</v>
      </c>
      <c r="M841">
        <v>0</v>
      </c>
    </row>
    <row r="842" spans="1:13" x14ac:dyDescent="0.35">
      <c r="A842">
        <v>17</v>
      </c>
      <c r="B842" t="s">
        <v>13</v>
      </c>
      <c r="C842">
        <v>3.8</v>
      </c>
      <c r="D842" t="s">
        <v>14</v>
      </c>
      <c r="E842">
        <v>7.7</v>
      </c>
      <c r="F842">
        <v>0.7</v>
      </c>
      <c r="G842">
        <v>3.45</v>
      </c>
      <c r="H842">
        <v>1</v>
      </c>
      <c r="I842" t="s">
        <v>15</v>
      </c>
      <c r="J842">
        <v>2</v>
      </c>
      <c r="K842">
        <v>8</v>
      </c>
      <c r="L842">
        <v>9</v>
      </c>
      <c r="M842">
        <v>0</v>
      </c>
    </row>
    <row r="843" spans="1:13" x14ac:dyDescent="0.35">
      <c r="A843">
        <v>18</v>
      </c>
      <c r="B843" t="s">
        <v>16</v>
      </c>
      <c r="C843">
        <v>3.9</v>
      </c>
      <c r="D843" t="s">
        <v>20</v>
      </c>
      <c r="E843">
        <v>4</v>
      </c>
      <c r="F843">
        <v>1.8</v>
      </c>
      <c r="G843">
        <v>2.19</v>
      </c>
      <c r="H843">
        <v>1.4</v>
      </c>
      <c r="I843" t="s">
        <v>18</v>
      </c>
      <c r="J843">
        <v>1</v>
      </c>
      <c r="K843">
        <v>2</v>
      </c>
      <c r="L843">
        <v>5</v>
      </c>
      <c r="M843">
        <v>0</v>
      </c>
    </row>
    <row r="844" spans="1:13" x14ac:dyDescent="0.35">
      <c r="A844">
        <v>17</v>
      </c>
      <c r="B844" t="s">
        <v>16</v>
      </c>
      <c r="C844">
        <v>1.1000000000000001</v>
      </c>
      <c r="D844" t="s">
        <v>20</v>
      </c>
      <c r="E844">
        <v>8.6999999999999993</v>
      </c>
      <c r="F844">
        <v>2.1</v>
      </c>
      <c r="G844">
        <v>3.01</v>
      </c>
      <c r="H844">
        <v>0.7</v>
      </c>
      <c r="I844" t="s">
        <v>19</v>
      </c>
      <c r="J844">
        <v>1</v>
      </c>
      <c r="K844">
        <v>1</v>
      </c>
      <c r="L844">
        <v>3</v>
      </c>
      <c r="M844">
        <v>0</v>
      </c>
    </row>
    <row r="845" spans="1:13" x14ac:dyDescent="0.35">
      <c r="A845">
        <v>15</v>
      </c>
      <c r="B845" t="s">
        <v>16</v>
      </c>
      <c r="C845">
        <v>3.9</v>
      </c>
      <c r="D845" t="s">
        <v>20</v>
      </c>
      <c r="E845">
        <v>8.6999999999999993</v>
      </c>
      <c r="F845">
        <v>1.1000000000000001</v>
      </c>
      <c r="G845">
        <v>2.82</v>
      </c>
      <c r="H845">
        <v>0.3</v>
      </c>
      <c r="I845" t="s">
        <v>18</v>
      </c>
      <c r="J845">
        <v>5</v>
      </c>
      <c r="K845">
        <v>10</v>
      </c>
      <c r="L845">
        <v>6</v>
      </c>
      <c r="M845">
        <v>0</v>
      </c>
    </row>
    <row r="846" spans="1:13" x14ac:dyDescent="0.35">
      <c r="A846">
        <v>16</v>
      </c>
      <c r="B846" t="s">
        <v>13</v>
      </c>
      <c r="C846">
        <v>8</v>
      </c>
      <c r="D846" t="s">
        <v>14</v>
      </c>
      <c r="E846">
        <v>8.1</v>
      </c>
      <c r="F846">
        <v>2.5</v>
      </c>
      <c r="G846">
        <v>2.7</v>
      </c>
      <c r="H846">
        <v>1.7</v>
      </c>
      <c r="I846" t="s">
        <v>19</v>
      </c>
      <c r="J846">
        <v>4</v>
      </c>
      <c r="K846">
        <v>5</v>
      </c>
      <c r="L846">
        <v>7</v>
      </c>
      <c r="M846">
        <v>0</v>
      </c>
    </row>
    <row r="847" spans="1:13" x14ac:dyDescent="0.35">
      <c r="A847">
        <v>14</v>
      </c>
      <c r="B847" t="s">
        <v>16</v>
      </c>
      <c r="C847">
        <v>1.2</v>
      </c>
      <c r="D847" t="s">
        <v>17</v>
      </c>
      <c r="E847">
        <v>8.5</v>
      </c>
      <c r="F847">
        <v>2.2999999999999998</v>
      </c>
      <c r="G847">
        <v>3.91</v>
      </c>
      <c r="H847">
        <v>1.8</v>
      </c>
      <c r="I847" t="s">
        <v>18</v>
      </c>
      <c r="J847">
        <v>1</v>
      </c>
      <c r="K847">
        <v>8</v>
      </c>
      <c r="L847">
        <v>1</v>
      </c>
      <c r="M847">
        <v>0</v>
      </c>
    </row>
    <row r="848" spans="1:13" x14ac:dyDescent="0.35">
      <c r="A848">
        <v>15</v>
      </c>
      <c r="B848" t="s">
        <v>13</v>
      </c>
      <c r="C848">
        <v>2.2000000000000002</v>
      </c>
      <c r="D848" t="s">
        <v>14</v>
      </c>
      <c r="E848">
        <v>6.1</v>
      </c>
      <c r="F848">
        <v>0.9</v>
      </c>
      <c r="G848">
        <v>3.81</v>
      </c>
      <c r="H848">
        <v>0.1</v>
      </c>
      <c r="I848" t="s">
        <v>18</v>
      </c>
      <c r="J848">
        <v>2</v>
      </c>
      <c r="K848">
        <v>7</v>
      </c>
      <c r="L848">
        <v>3</v>
      </c>
      <c r="M848">
        <v>0</v>
      </c>
    </row>
    <row r="849" spans="1:13" x14ac:dyDescent="0.35">
      <c r="A849">
        <v>15</v>
      </c>
      <c r="B849" t="s">
        <v>16</v>
      </c>
      <c r="C849">
        <v>4.2</v>
      </c>
      <c r="D849" t="s">
        <v>17</v>
      </c>
      <c r="E849">
        <v>6.8</v>
      </c>
      <c r="F849">
        <v>1.4</v>
      </c>
      <c r="G849">
        <v>2.0099999999999998</v>
      </c>
      <c r="H849">
        <v>1</v>
      </c>
      <c r="I849" t="s">
        <v>15</v>
      </c>
      <c r="J849">
        <v>6</v>
      </c>
      <c r="K849">
        <v>6</v>
      </c>
      <c r="L849">
        <v>4</v>
      </c>
      <c r="M849">
        <v>0</v>
      </c>
    </row>
    <row r="850" spans="1:13" x14ac:dyDescent="0.35">
      <c r="A850">
        <v>19</v>
      </c>
      <c r="B850" t="s">
        <v>13</v>
      </c>
      <c r="C850">
        <v>6</v>
      </c>
      <c r="D850" t="s">
        <v>20</v>
      </c>
      <c r="E850">
        <v>5.6</v>
      </c>
      <c r="F850">
        <v>1.1000000000000001</v>
      </c>
      <c r="G850">
        <v>2.4300000000000002</v>
      </c>
      <c r="H850">
        <v>1.7</v>
      </c>
      <c r="I850" t="s">
        <v>19</v>
      </c>
      <c r="J850">
        <v>1</v>
      </c>
      <c r="K850">
        <v>3</v>
      </c>
      <c r="L850">
        <v>3</v>
      </c>
      <c r="M850">
        <v>0</v>
      </c>
    </row>
    <row r="851" spans="1:13" x14ac:dyDescent="0.35">
      <c r="A851">
        <v>19</v>
      </c>
      <c r="B851" t="s">
        <v>13</v>
      </c>
      <c r="C851">
        <v>5.4</v>
      </c>
      <c r="D851" t="s">
        <v>14</v>
      </c>
      <c r="E851">
        <v>4.9000000000000004</v>
      </c>
      <c r="F851">
        <v>0.6</v>
      </c>
      <c r="G851">
        <v>3.17</v>
      </c>
      <c r="H851">
        <v>0</v>
      </c>
      <c r="I851" t="s">
        <v>15</v>
      </c>
      <c r="J851">
        <v>5</v>
      </c>
      <c r="K851">
        <v>6</v>
      </c>
      <c r="L851">
        <v>10</v>
      </c>
      <c r="M851">
        <v>0</v>
      </c>
    </row>
    <row r="852" spans="1:13" x14ac:dyDescent="0.35">
      <c r="A852">
        <v>15</v>
      </c>
      <c r="B852" t="s">
        <v>16</v>
      </c>
      <c r="C852">
        <v>2.7</v>
      </c>
      <c r="D852" t="s">
        <v>17</v>
      </c>
      <c r="E852">
        <v>7.6</v>
      </c>
      <c r="F852">
        <v>2.5</v>
      </c>
      <c r="G852">
        <v>2.37</v>
      </c>
      <c r="H852">
        <v>1.9</v>
      </c>
      <c r="I852" t="s">
        <v>18</v>
      </c>
      <c r="J852">
        <v>1</v>
      </c>
      <c r="K852">
        <v>8</v>
      </c>
      <c r="L852">
        <v>7</v>
      </c>
      <c r="M852">
        <v>0</v>
      </c>
    </row>
    <row r="853" spans="1:13" x14ac:dyDescent="0.35">
      <c r="A853">
        <v>19</v>
      </c>
      <c r="B853" t="s">
        <v>16</v>
      </c>
      <c r="C853">
        <v>1.9</v>
      </c>
      <c r="D853" t="s">
        <v>20</v>
      </c>
      <c r="E853">
        <v>6.2</v>
      </c>
      <c r="F853">
        <v>0.9</v>
      </c>
      <c r="G853">
        <v>2.4700000000000002</v>
      </c>
      <c r="H853">
        <v>1.4</v>
      </c>
      <c r="I853" t="s">
        <v>15</v>
      </c>
      <c r="J853">
        <v>5</v>
      </c>
      <c r="K853">
        <v>6</v>
      </c>
      <c r="L853">
        <v>7</v>
      </c>
      <c r="M853">
        <v>0</v>
      </c>
    </row>
    <row r="854" spans="1:13" x14ac:dyDescent="0.35">
      <c r="A854">
        <v>14</v>
      </c>
      <c r="B854" t="s">
        <v>13</v>
      </c>
      <c r="C854">
        <v>1.5</v>
      </c>
      <c r="D854" t="s">
        <v>20</v>
      </c>
      <c r="E854">
        <v>6.8</v>
      </c>
      <c r="F854">
        <v>0.8</v>
      </c>
      <c r="G854">
        <v>3.14</v>
      </c>
      <c r="H854">
        <v>0</v>
      </c>
      <c r="I854" t="s">
        <v>19</v>
      </c>
      <c r="J854">
        <v>4</v>
      </c>
      <c r="K854">
        <v>5</v>
      </c>
      <c r="L854">
        <v>8</v>
      </c>
      <c r="M854">
        <v>0</v>
      </c>
    </row>
    <row r="855" spans="1:13" x14ac:dyDescent="0.35">
      <c r="A855">
        <v>17</v>
      </c>
      <c r="B855" t="s">
        <v>16</v>
      </c>
      <c r="C855">
        <v>2.6</v>
      </c>
      <c r="D855" t="s">
        <v>17</v>
      </c>
      <c r="E855">
        <v>4.8</v>
      </c>
      <c r="F855">
        <v>0.7</v>
      </c>
      <c r="G855">
        <v>2.52</v>
      </c>
      <c r="H855">
        <v>1.8</v>
      </c>
      <c r="I855" t="s">
        <v>19</v>
      </c>
      <c r="J855">
        <v>9</v>
      </c>
      <c r="K855">
        <v>6</v>
      </c>
      <c r="L855">
        <v>6</v>
      </c>
      <c r="M855">
        <v>0</v>
      </c>
    </row>
    <row r="856" spans="1:13" x14ac:dyDescent="0.35">
      <c r="A856">
        <v>16</v>
      </c>
      <c r="B856" t="s">
        <v>13</v>
      </c>
      <c r="C856">
        <v>1.2</v>
      </c>
      <c r="D856" t="s">
        <v>14</v>
      </c>
      <c r="E856">
        <v>7.3</v>
      </c>
      <c r="F856">
        <v>1</v>
      </c>
      <c r="G856">
        <v>2.36</v>
      </c>
      <c r="H856">
        <v>1.1000000000000001</v>
      </c>
      <c r="I856" t="s">
        <v>19</v>
      </c>
      <c r="J856">
        <v>5</v>
      </c>
      <c r="K856">
        <v>3</v>
      </c>
      <c r="L856">
        <v>6</v>
      </c>
      <c r="M856">
        <v>0</v>
      </c>
    </row>
    <row r="857" spans="1:13" x14ac:dyDescent="0.35">
      <c r="A857">
        <v>18</v>
      </c>
      <c r="B857" t="s">
        <v>16</v>
      </c>
      <c r="C857">
        <v>1.8</v>
      </c>
      <c r="D857" t="s">
        <v>20</v>
      </c>
      <c r="E857">
        <v>7.8</v>
      </c>
      <c r="F857">
        <v>2</v>
      </c>
      <c r="G857">
        <v>2.67</v>
      </c>
      <c r="H857">
        <v>0.8</v>
      </c>
      <c r="I857" t="s">
        <v>15</v>
      </c>
      <c r="J857">
        <v>4</v>
      </c>
      <c r="K857">
        <v>6</v>
      </c>
      <c r="L857">
        <v>3</v>
      </c>
      <c r="M857">
        <v>0</v>
      </c>
    </row>
    <row r="858" spans="1:13" x14ac:dyDescent="0.35">
      <c r="A858">
        <v>19</v>
      </c>
      <c r="B858" t="s">
        <v>13</v>
      </c>
      <c r="C858">
        <v>4.8</v>
      </c>
      <c r="D858" t="s">
        <v>20</v>
      </c>
      <c r="E858">
        <v>7.5</v>
      </c>
      <c r="F858">
        <v>1</v>
      </c>
      <c r="G858">
        <v>2.68</v>
      </c>
      <c r="H858">
        <v>1.5</v>
      </c>
      <c r="I858" t="s">
        <v>15</v>
      </c>
      <c r="J858">
        <v>9</v>
      </c>
      <c r="K858">
        <v>4</v>
      </c>
      <c r="L858">
        <v>6</v>
      </c>
      <c r="M858">
        <v>0</v>
      </c>
    </row>
    <row r="859" spans="1:13" x14ac:dyDescent="0.35">
      <c r="A859">
        <v>19</v>
      </c>
      <c r="B859" t="s">
        <v>13</v>
      </c>
      <c r="C859">
        <v>2.1</v>
      </c>
      <c r="D859" t="s">
        <v>20</v>
      </c>
      <c r="E859">
        <v>5.6</v>
      </c>
      <c r="F859">
        <v>2.4</v>
      </c>
      <c r="G859">
        <v>3.56</v>
      </c>
      <c r="H859">
        <v>1</v>
      </c>
      <c r="I859" t="s">
        <v>18</v>
      </c>
      <c r="J859">
        <v>9</v>
      </c>
      <c r="K859">
        <v>3</v>
      </c>
      <c r="L859">
        <v>4</v>
      </c>
      <c r="M859">
        <v>0</v>
      </c>
    </row>
    <row r="860" spans="1:13" x14ac:dyDescent="0.35">
      <c r="A860">
        <v>15</v>
      </c>
      <c r="B860" t="s">
        <v>13</v>
      </c>
      <c r="C860">
        <v>4.4000000000000004</v>
      </c>
      <c r="D860" t="s">
        <v>14</v>
      </c>
      <c r="E860">
        <v>6</v>
      </c>
      <c r="F860">
        <v>0.5</v>
      </c>
      <c r="G860">
        <v>3.33</v>
      </c>
      <c r="H860">
        <v>0.7</v>
      </c>
      <c r="I860" t="s">
        <v>19</v>
      </c>
      <c r="J860">
        <v>1</v>
      </c>
      <c r="K860">
        <v>6</v>
      </c>
      <c r="L860">
        <v>10</v>
      </c>
      <c r="M860">
        <v>0</v>
      </c>
    </row>
    <row r="861" spans="1:13" x14ac:dyDescent="0.35">
      <c r="A861">
        <v>14</v>
      </c>
      <c r="B861" t="s">
        <v>13</v>
      </c>
      <c r="C861">
        <v>2.8</v>
      </c>
      <c r="D861" t="s">
        <v>20</v>
      </c>
      <c r="E861">
        <v>4.3</v>
      </c>
      <c r="F861">
        <v>3</v>
      </c>
      <c r="G861">
        <v>2.14</v>
      </c>
      <c r="H861">
        <v>1.9</v>
      </c>
      <c r="I861" t="s">
        <v>19</v>
      </c>
      <c r="J861">
        <v>9</v>
      </c>
      <c r="K861">
        <v>3</v>
      </c>
      <c r="L861">
        <v>7</v>
      </c>
      <c r="M861">
        <v>0</v>
      </c>
    </row>
    <row r="862" spans="1:13" x14ac:dyDescent="0.35">
      <c r="A862">
        <v>15</v>
      </c>
      <c r="B862" t="s">
        <v>13</v>
      </c>
      <c r="C862">
        <v>3.5</v>
      </c>
      <c r="D862" t="s">
        <v>17</v>
      </c>
      <c r="E862">
        <v>4.5</v>
      </c>
      <c r="F862">
        <v>2.7</v>
      </c>
      <c r="G862">
        <v>2.4700000000000002</v>
      </c>
      <c r="H862">
        <v>1.4</v>
      </c>
      <c r="I862" t="s">
        <v>15</v>
      </c>
      <c r="J862">
        <v>1</v>
      </c>
      <c r="K862">
        <v>5</v>
      </c>
      <c r="L862">
        <v>10</v>
      </c>
      <c r="M862">
        <v>0</v>
      </c>
    </row>
    <row r="863" spans="1:13" x14ac:dyDescent="0.35">
      <c r="A863">
        <v>15</v>
      </c>
      <c r="B863" t="s">
        <v>13</v>
      </c>
      <c r="C863">
        <v>6.8</v>
      </c>
      <c r="D863" t="s">
        <v>20</v>
      </c>
      <c r="E863">
        <v>6.6</v>
      </c>
      <c r="F863">
        <v>2.1</v>
      </c>
      <c r="G863">
        <v>3.43</v>
      </c>
      <c r="H863">
        <v>1.7</v>
      </c>
      <c r="I863" t="s">
        <v>15</v>
      </c>
      <c r="J863">
        <v>10</v>
      </c>
      <c r="K863">
        <v>10</v>
      </c>
      <c r="L863">
        <v>8</v>
      </c>
      <c r="M863">
        <v>0</v>
      </c>
    </row>
    <row r="864" spans="1:13" x14ac:dyDescent="0.35">
      <c r="A864">
        <v>14</v>
      </c>
      <c r="B864" t="s">
        <v>13</v>
      </c>
      <c r="C864">
        <v>7</v>
      </c>
      <c r="D864" t="s">
        <v>14</v>
      </c>
      <c r="E864">
        <v>5.2</v>
      </c>
      <c r="F864">
        <v>1.4</v>
      </c>
      <c r="G864">
        <v>3.27</v>
      </c>
      <c r="H864">
        <v>1.7</v>
      </c>
      <c r="I864" t="s">
        <v>19</v>
      </c>
      <c r="J864">
        <v>5</v>
      </c>
      <c r="K864">
        <v>7</v>
      </c>
      <c r="L864">
        <v>8</v>
      </c>
      <c r="M864">
        <v>0</v>
      </c>
    </row>
    <row r="865" spans="1:13" x14ac:dyDescent="0.35">
      <c r="A865">
        <v>17</v>
      </c>
      <c r="B865" t="s">
        <v>16</v>
      </c>
      <c r="C865">
        <v>7.5</v>
      </c>
      <c r="D865" t="s">
        <v>20</v>
      </c>
      <c r="E865">
        <v>8.1</v>
      </c>
      <c r="F865">
        <v>2.8</v>
      </c>
      <c r="G865">
        <v>2.58</v>
      </c>
      <c r="H865">
        <v>0.5</v>
      </c>
      <c r="I865" t="s">
        <v>19</v>
      </c>
      <c r="J865">
        <v>2</v>
      </c>
      <c r="K865">
        <v>2</v>
      </c>
      <c r="L865">
        <v>3</v>
      </c>
      <c r="M865">
        <v>0</v>
      </c>
    </row>
    <row r="866" spans="1:13" x14ac:dyDescent="0.35">
      <c r="A866">
        <v>17</v>
      </c>
      <c r="B866" t="s">
        <v>16</v>
      </c>
      <c r="C866">
        <v>2.5</v>
      </c>
      <c r="D866" t="s">
        <v>14</v>
      </c>
      <c r="E866">
        <v>4.4000000000000004</v>
      </c>
      <c r="F866">
        <v>2</v>
      </c>
      <c r="G866">
        <v>3.29</v>
      </c>
      <c r="H866">
        <v>0.7</v>
      </c>
      <c r="I866" t="s">
        <v>15</v>
      </c>
      <c r="J866">
        <v>4</v>
      </c>
      <c r="K866">
        <v>6</v>
      </c>
      <c r="L866">
        <v>5</v>
      </c>
      <c r="M866">
        <v>0</v>
      </c>
    </row>
    <row r="867" spans="1:13" x14ac:dyDescent="0.35">
      <c r="A867">
        <v>15</v>
      </c>
      <c r="B867" t="s">
        <v>13</v>
      </c>
      <c r="C867">
        <v>6.5</v>
      </c>
      <c r="D867" t="s">
        <v>17</v>
      </c>
      <c r="E867">
        <v>5.4</v>
      </c>
      <c r="F867">
        <v>2.1</v>
      </c>
      <c r="G867">
        <v>3.44</v>
      </c>
      <c r="H867">
        <v>1.8</v>
      </c>
      <c r="I867" t="s">
        <v>15</v>
      </c>
      <c r="J867">
        <v>7</v>
      </c>
      <c r="K867">
        <v>3</v>
      </c>
      <c r="L867">
        <v>6</v>
      </c>
      <c r="M867">
        <v>0</v>
      </c>
    </row>
    <row r="868" spans="1:13" x14ac:dyDescent="0.35">
      <c r="A868">
        <v>13</v>
      </c>
      <c r="B868" t="s">
        <v>13</v>
      </c>
      <c r="C868">
        <v>7.7</v>
      </c>
      <c r="D868" t="s">
        <v>14</v>
      </c>
      <c r="E868">
        <v>4.4000000000000004</v>
      </c>
      <c r="F868">
        <v>2</v>
      </c>
      <c r="G868">
        <v>3.09</v>
      </c>
      <c r="H868">
        <v>1</v>
      </c>
      <c r="I868" t="s">
        <v>18</v>
      </c>
      <c r="J868">
        <v>8</v>
      </c>
      <c r="K868">
        <v>7</v>
      </c>
      <c r="L868">
        <v>8</v>
      </c>
      <c r="M868">
        <v>1</v>
      </c>
    </row>
    <row r="869" spans="1:13" x14ac:dyDescent="0.35">
      <c r="A869">
        <v>18</v>
      </c>
      <c r="B869" t="s">
        <v>16</v>
      </c>
      <c r="C869">
        <v>3.2</v>
      </c>
      <c r="D869" t="s">
        <v>20</v>
      </c>
      <c r="E869">
        <v>7.8</v>
      </c>
      <c r="F869">
        <v>0.7</v>
      </c>
      <c r="G869">
        <v>3.46</v>
      </c>
      <c r="H869">
        <v>1.3</v>
      </c>
      <c r="I869" t="s">
        <v>15</v>
      </c>
      <c r="J869">
        <v>5</v>
      </c>
      <c r="K869">
        <v>10</v>
      </c>
      <c r="L869">
        <v>6</v>
      </c>
      <c r="M869">
        <v>0</v>
      </c>
    </row>
    <row r="870" spans="1:13" x14ac:dyDescent="0.35">
      <c r="A870">
        <v>16</v>
      </c>
      <c r="B870" t="s">
        <v>16</v>
      </c>
      <c r="C870">
        <v>5.3</v>
      </c>
      <c r="D870" t="s">
        <v>17</v>
      </c>
      <c r="E870">
        <v>4.3</v>
      </c>
      <c r="F870">
        <v>1.5</v>
      </c>
      <c r="G870">
        <v>2.54</v>
      </c>
      <c r="H870">
        <v>0.3</v>
      </c>
      <c r="I870" t="s">
        <v>18</v>
      </c>
      <c r="J870">
        <v>7</v>
      </c>
      <c r="K870">
        <v>7</v>
      </c>
      <c r="L870">
        <v>10</v>
      </c>
      <c r="M870">
        <v>1</v>
      </c>
    </row>
    <row r="871" spans="1:13" x14ac:dyDescent="0.35">
      <c r="A871">
        <v>14</v>
      </c>
      <c r="B871" t="s">
        <v>13</v>
      </c>
      <c r="C871">
        <v>5</v>
      </c>
      <c r="D871" t="s">
        <v>17</v>
      </c>
      <c r="E871">
        <v>5.2</v>
      </c>
      <c r="F871">
        <v>0.5</v>
      </c>
      <c r="G871">
        <v>3.55</v>
      </c>
      <c r="H871">
        <v>0.4</v>
      </c>
      <c r="I871" t="s">
        <v>15</v>
      </c>
      <c r="J871">
        <v>10</v>
      </c>
      <c r="K871">
        <v>6</v>
      </c>
      <c r="L871">
        <v>8</v>
      </c>
      <c r="M871">
        <v>0</v>
      </c>
    </row>
    <row r="872" spans="1:13" x14ac:dyDescent="0.35">
      <c r="A872">
        <v>19</v>
      </c>
      <c r="B872" t="s">
        <v>13</v>
      </c>
      <c r="C872">
        <v>6.1</v>
      </c>
      <c r="D872" t="s">
        <v>14</v>
      </c>
      <c r="E872">
        <v>7.1</v>
      </c>
      <c r="F872">
        <v>2.2999999999999998</v>
      </c>
      <c r="G872">
        <v>3.22</v>
      </c>
      <c r="H872">
        <v>0.5</v>
      </c>
      <c r="I872" t="s">
        <v>15</v>
      </c>
      <c r="J872">
        <v>4</v>
      </c>
      <c r="K872">
        <v>3</v>
      </c>
      <c r="L872">
        <v>7</v>
      </c>
      <c r="M872">
        <v>0</v>
      </c>
    </row>
    <row r="873" spans="1:13" x14ac:dyDescent="0.35">
      <c r="A873">
        <v>17</v>
      </c>
      <c r="B873" t="s">
        <v>13</v>
      </c>
      <c r="C873">
        <v>4.2</v>
      </c>
      <c r="D873" t="s">
        <v>17</v>
      </c>
      <c r="E873">
        <v>7.3</v>
      </c>
      <c r="F873">
        <v>2.6</v>
      </c>
      <c r="G873">
        <v>3.2</v>
      </c>
      <c r="H873">
        <v>0.2</v>
      </c>
      <c r="I873" t="s">
        <v>18</v>
      </c>
      <c r="J873">
        <v>7</v>
      </c>
      <c r="K873">
        <v>1</v>
      </c>
      <c r="L873">
        <v>3</v>
      </c>
      <c r="M873">
        <v>0</v>
      </c>
    </row>
    <row r="874" spans="1:13" x14ac:dyDescent="0.35">
      <c r="A874">
        <v>15</v>
      </c>
      <c r="B874" t="s">
        <v>13</v>
      </c>
      <c r="C874">
        <v>4.7</v>
      </c>
      <c r="D874" t="s">
        <v>14</v>
      </c>
      <c r="E874">
        <v>8.1999999999999993</v>
      </c>
      <c r="F874">
        <v>2.2999999999999998</v>
      </c>
      <c r="G874">
        <v>3.35</v>
      </c>
      <c r="H874">
        <v>0.6</v>
      </c>
      <c r="I874" t="s">
        <v>15</v>
      </c>
      <c r="J874">
        <v>6</v>
      </c>
      <c r="K874">
        <v>2</v>
      </c>
      <c r="L874">
        <v>5</v>
      </c>
      <c r="M874">
        <v>0</v>
      </c>
    </row>
    <row r="875" spans="1:13" x14ac:dyDescent="0.35">
      <c r="A875">
        <v>18</v>
      </c>
      <c r="B875" t="s">
        <v>13</v>
      </c>
      <c r="C875">
        <v>1.6</v>
      </c>
      <c r="D875" t="s">
        <v>17</v>
      </c>
      <c r="E875">
        <v>5.8</v>
      </c>
      <c r="F875">
        <v>0.6</v>
      </c>
      <c r="G875">
        <v>3.63</v>
      </c>
      <c r="H875">
        <v>1.1000000000000001</v>
      </c>
      <c r="I875" t="s">
        <v>18</v>
      </c>
      <c r="J875">
        <v>6</v>
      </c>
      <c r="K875">
        <v>9</v>
      </c>
      <c r="L875">
        <v>7</v>
      </c>
      <c r="M875">
        <v>0</v>
      </c>
    </row>
    <row r="876" spans="1:13" x14ac:dyDescent="0.35">
      <c r="A876">
        <v>14</v>
      </c>
      <c r="B876" t="s">
        <v>16</v>
      </c>
      <c r="C876">
        <v>1.7</v>
      </c>
      <c r="D876" t="s">
        <v>17</v>
      </c>
      <c r="E876">
        <v>6.5</v>
      </c>
      <c r="F876">
        <v>2.7</v>
      </c>
      <c r="G876">
        <v>2.06</v>
      </c>
      <c r="H876">
        <v>0.1</v>
      </c>
      <c r="I876" t="s">
        <v>19</v>
      </c>
      <c r="J876">
        <v>9</v>
      </c>
      <c r="K876">
        <v>5</v>
      </c>
      <c r="L876">
        <v>9</v>
      </c>
      <c r="M876">
        <v>0</v>
      </c>
    </row>
    <row r="877" spans="1:13" x14ac:dyDescent="0.35">
      <c r="A877">
        <v>18</v>
      </c>
      <c r="B877" t="s">
        <v>13</v>
      </c>
      <c r="C877">
        <v>4.5999999999999996</v>
      </c>
      <c r="D877" t="s">
        <v>14</v>
      </c>
      <c r="E877">
        <v>4.0999999999999996</v>
      </c>
      <c r="F877">
        <v>1.4</v>
      </c>
      <c r="G877">
        <v>2.2799999999999998</v>
      </c>
      <c r="H877">
        <v>0.4</v>
      </c>
      <c r="I877" t="s">
        <v>19</v>
      </c>
      <c r="J877">
        <v>4</v>
      </c>
      <c r="K877">
        <v>10</v>
      </c>
      <c r="L877">
        <v>10</v>
      </c>
      <c r="M877">
        <v>0</v>
      </c>
    </row>
    <row r="878" spans="1:13" x14ac:dyDescent="0.35">
      <c r="A878">
        <v>13</v>
      </c>
      <c r="B878" t="s">
        <v>16</v>
      </c>
      <c r="C878">
        <v>2.5</v>
      </c>
      <c r="D878" t="s">
        <v>17</v>
      </c>
      <c r="E878">
        <v>6.8</v>
      </c>
      <c r="F878">
        <v>2.8</v>
      </c>
      <c r="G878">
        <v>2.77</v>
      </c>
      <c r="H878">
        <v>0.5</v>
      </c>
      <c r="I878" t="s">
        <v>15</v>
      </c>
      <c r="J878">
        <v>2</v>
      </c>
      <c r="K878">
        <v>6</v>
      </c>
      <c r="L878">
        <v>10</v>
      </c>
      <c r="M878">
        <v>0</v>
      </c>
    </row>
    <row r="879" spans="1:13" x14ac:dyDescent="0.35">
      <c r="A879">
        <v>16</v>
      </c>
      <c r="B879" t="s">
        <v>16</v>
      </c>
      <c r="C879">
        <v>4.2</v>
      </c>
      <c r="D879" t="s">
        <v>17</v>
      </c>
      <c r="E879">
        <v>6.3</v>
      </c>
      <c r="F879">
        <v>1.2</v>
      </c>
      <c r="G879">
        <v>3.72</v>
      </c>
      <c r="H879">
        <v>1.9</v>
      </c>
      <c r="I879" t="s">
        <v>15</v>
      </c>
      <c r="J879">
        <v>5</v>
      </c>
      <c r="K879">
        <v>3</v>
      </c>
      <c r="L879">
        <v>7</v>
      </c>
      <c r="M879">
        <v>0</v>
      </c>
    </row>
    <row r="880" spans="1:13" x14ac:dyDescent="0.35">
      <c r="A880">
        <v>19</v>
      </c>
      <c r="B880" t="s">
        <v>16</v>
      </c>
      <c r="C880">
        <v>1.2</v>
      </c>
      <c r="D880" t="s">
        <v>17</v>
      </c>
      <c r="E880">
        <v>4.8</v>
      </c>
      <c r="F880">
        <v>1.7</v>
      </c>
      <c r="G880">
        <v>2.16</v>
      </c>
      <c r="H880">
        <v>0.6</v>
      </c>
      <c r="I880" t="s">
        <v>19</v>
      </c>
      <c r="J880">
        <v>10</v>
      </c>
      <c r="K880">
        <v>10</v>
      </c>
      <c r="L880">
        <v>10</v>
      </c>
      <c r="M880">
        <v>0</v>
      </c>
    </row>
    <row r="881" spans="1:13" x14ac:dyDescent="0.35">
      <c r="A881">
        <v>15</v>
      </c>
      <c r="B881" t="s">
        <v>13</v>
      </c>
      <c r="C881">
        <v>2.7</v>
      </c>
      <c r="D881" t="s">
        <v>14</v>
      </c>
      <c r="E881">
        <v>7.2</v>
      </c>
      <c r="F881">
        <v>2.9</v>
      </c>
      <c r="G881">
        <v>3.27</v>
      </c>
      <c r="H881">
        <v>0.8</v>
      </c>
      <c r="I881" t="s">
        <v>19</v>
      </c>
      <c r="J881">
        <v>5</v>
      </c>
      <c r="K881">
        <v>2</v>
      </c>
      <c r="L881">
        <v>9</v>
      </c>
      <c r="M881">
        <v>0</v>
      </c>
    </row>
    <row r="882" spans="1:13" x14ac:dyDescent="0.35">
      <c r="A882">
        <v>13</v>
      </c>
      <c r="B882" t="s">
        <v>13</v>
      </c>
      <c r="C882">
        <v>1.5</v>
      </c>
      <c r="D882" t="s">
        <v>20</v>
      </c>
      <c r="E882">
        <v>5.2</v>
      </c>
      <c r="F882">
        <v>0.8</v>
      </c>
      <c r="G882">
        <v>2.16</v>
      </c>
      <c r="H882">
        <v>0.9</v>
      </c>
      <c r="I882" t="s">
        <v>19</v>
      </c>
      <c r="J882">
        <v>10</v>
      </c>
      <c r="K882">
        <v>6</v>
      </c>
      <c r="L882">
        <v>8</v>
      </c>
      <c r="M882">
        <v>0</v>
      </c>
    </row>
    <row r="883" spans="1:13" x14ac:dyDescent="0.35">
      <c r="A883">
        <v>15</v>
      </c>
      <c r="B883" t="s">
        <v>13</v>
      </c>
      <c r="C883">
        <v>3.2</v>
      </c>
      <c r="D883" t="s">
        <v>14</v>
      </c>
      <c r="E883">
        <v>5.6</v>
      </c>
      <c r="F883">
        <v>0.7</v>
      </c>
      <c r="G883">
        <v>3.1</v>
      </c>
      <c r="H883">
        <v>1.5</v>
      </c>
      <c r="I883" t="s">
        <v>18</v>
      </c>
      <c r="J883">
        <v>6</v>
      </c>
      <c r="K883">
        <v>3</v>
      </c>
      <c r="L883">
        <v>1</v>
      </c>
      <c r="M883">
        <v>0</v>
      </c>
    </row>
    <row r="884" spans="1:13" x14ac:dyDescent="0.35">
      <c r="A884">
        <v>19</v>
      </c>
      <c r="B884" t="s">
        <v>16</v>
      </c>
      <c r="C884">
        <v>7.3</v>
      </c>
      <c r="D884" t="s">
        <v>20</v>
      </c>
      <c r="E884">
        <v>7.4</v>
      </c>
      <c r="F884">
        <v>1.5</v>
      </c>
      <c r="G884">
        <v>2.84</v>
      </c>
      <c r="H884">
        <v>1</v>
      </c>
      <c r="I884" t="s">
        <v>19</v>
      </c>
      <c r="J884">
        <v>9</v>
      </c>
      <c r="K884">
        <v>8</v>
      </c>
      <c r="L884">
        <v>5</v>
      </c>
      <c r="M884">
        <v>0</v>
      </c>
    </row>
    <row r="885" spans="1:13" x14ac:dyDescent="0.35">
      <c r="A885">
        <v>16</v>
      </c>
      <c r="B885" t="s">
        <v>13</v>
      </c>
      <c r="C885">
        <v>2</v>
      </c>
      <c r="D885" t="s">
        <v>14</v>
      </c>
      <c r="E885">
        <v>8.1999999999999993</v>
      </c>
      <c r="F885">
        <v>1</v>
      </c>
      <c r="G885">
        <v>3.15</v>
      </c>
      <c r="H885">
        <v>0.9</v>
      </c>
      <c r="I885" t="s">
        <v>19</v>
      </c>
      <c r="J885">
        <v>9</v>
      </c>
      <c r="K885">
        <v>7</v>
      </c>
      <c r="L885">
        <v>10</v>
      </c>
      <c r="M885">
        <v>0</v>
      </c>
    </row>
    <row r="886" spans="1:13" x14ac:dyDescent="0.35">
      <c r="A886">
        <v>19</v>
      </c>
      <c r="B886" t="s">
        <v>13</v>
      </c>
      <c r="C886">
        <v>2.5</v>
      </c>
      <c r="D886" t="s">
        <v>17</v>
      </c>
      <c r="E886">
        <v>7.1</v>
      </c>
      <c r="F886">
        <v>1.9</v>
      </c>
      <c r="G886">
        <v>2.35</v>
      </c>
      <c r="H886">
        <v>1.1000000000000001</v>
      </c>
      <c r="I886" t="s">
        <v>15</v>
      </c>
      <c r="J886">
        <v>4</v>
      </c>
      <c r="K886">
        <v>4</v>
      </c>
      <c r="L886">
        <v>8</v>
      </c>
      <c r="M886">
        <v>0</v>
      </c>
    </row>
    <row r="887" spans="1:13" x14ac:dyDescent="0.35">
      <c r="A887">
        <v>16</v>
      </c>
      <c r="B887" t="s">
        <v>16</v>
      </c>
      <c r="C887">
        <v>7.7</v>
      </c>
      <c r="D887" t="s">
        <v>14</v>
      </c>
      <c r="E887">
        <v>4.7</v>
      </c>
      <c r="F887">
        <v>2.9</v>
      </c>
      <c r="G887">
        <v>2.17</v>
      </c>
      <c r="H887">
        <v>1.2</v>
      </c>
      <c r="I887" t="s">
        <v>19</v>
      </c>
      <c r="J887">
        <v>5</v>
      </c>
      <c r="K887">
        <v>7</v>
      </c>
      <c r="L887">
        <v>6</v>
      </c>
      <c r="M887">
        <v>0</v>
      </c>
    </row>
    <row r="888" spans="1:13" x14ac:dyDescent="0.35">
      <c r="A888">
        <v>19</v>
      </c>
      <c r="B888" t="s">
        <v>16</v>
      </c>
      <c r="C888">
        <v>3.9</v>
      </c>
      <c r="D888" t="s">
        <v>20</v>
      </c>
      <c r="E888">
        <v>7.9</v>
      </c>
      <c r="F888">
        <v>2.1</v>
      </c>
      <c r="G888">
        <v>3.52</v>
      </c>
      <c r="H888">
        <v>0.6</v>
      </c>
      <c r="I888" t="s">
        <v>18</v>
      </c>
      <c r="J888">
        <v>3</v>
      </c>
      <c r="K888">
        <v>2</v>
      </c>
      <c r="L888">
        <v>4</v>
      </c>
      <c r="M888">
        <v>0</v>
      </c>
    </row>
    <row r="889" spans="1:13" x14ac:dyDescent="0.35">
      <c r="A889">
        <v>16</v>
      </c>
      <c r="B889" t="s">
        <v>16</v>
      </c>
      <c r="C889">
        <v>3.5</v>
      </c>
      <c r="D889" t="s">
        <v>17</v>
      </c>
      <c r="E889">
        <v>6.1</v>
      </c>
      <c r="F889">
        <v>2.7</v>
      </c>
      <c r="G889">
        <v>3.83</v>
      </c>
      <c r="H889">
        <v>0.1</v>
      </c>
      <c r="I889" t="s">
        <v>19</v>
      </c>
      <c r="J889">
        <v>4</v>
      </c>
      <c r="K889">
        <v>5</v>
      </c>
      <c r="L889">
        <v>10</v>
      </c>
      <c r="M889">
        <v>0</v>
      </c>
    </row>
    <row r="890" spans="1:13" x14ac:dyDescent="0.35">
      <c r="A890">
        <v>17</v>
      </c>
      <c r="B890" t="s">
        <v>13</v>
      </c>
      <c r="C890">
        <v>4.9000000000000004</v>
      </c>
      <c r="D890" t="s">
        <v>14</v>
      </c>
      <c r="E890">
        <v>6.4</v>
      </c>
      <c r="F890">
        <v>2.5</v>
      </c>
      <c r="G890">
        <v>2.64</v>
      </c>
      <c r="H890">
        <v>1.9</v>
      </c>
      <c r="I890" t="s">
        <v>19</v>
      </c>
      <c r="J890">
        <v>6</v>
      </c>
      <c r="K890">
        <v>2</v>
      </c>
      <c r="L890">
        <v>10</v>
      </c>
      <c r="M890">
        <v>0</v>
      </c>
    </row>
    <row r="891" spans="1:13" x14ac:dyDescent="0.35">
      <c r="A891">
        <v>14</v>
      </c>
      <c r="B891" t="s">
        <v>13</v>
      </c>
      <c r="C891">
        <v>3.4</v>
      </c>
      <c r="D891" t="s">
        <v>20</v>
      </c>
      <c r="E891">
        <v>5.8</v>
      </c>
      <c r="F891">
        <v>3</v>
      </c>
      <c r="G891">
        <v>3.32</v>
      </c>
      <c r="H891">
        <v>0.6</v>
      </c>
      <c r="I891" t="s">
        <v>19</v>
      </c>
      <c r="J891">
        <v>1</v>
      </c>
      <c r="K891">
        <v>4</v>
      </c>
      <c r="L891">
        <v>4</v>
      </c>
      <c r="M891">
        <v>0</v>
      </c>
    </row>
    <row r="892" spans="1:13" x14ac:dyDescent="0.35">
      <c r="A892">
        <v>18</v>
      </c>
      <c r="B892" t="s">
        <v>13</v>
      </c>
      <c r="C892">
        <v>2.5</v>
      </c>
      <c r="D892" t="s">
        <v>17</v>
      </c>
      <c r="E892">
        <v>4.5999999999999996</v>
      </c>
      <c r="F892">
        <v>2.2000000000000002</v>
      </c>
      <c r="G892">
        <v>2.0499999999999998</v>
      </c>
      <c r="H892">
        <v>0.7</v>
      </c>
      <c r="I892" t="s">
        <v>19</v>
      </c>
      <c r="J892">
        <v>9</v>
      </c>
      <c r="K892">
        <v>5</v>
      </c>
      <c r="L892">
        <v>10</v>
      </c>
      <c r="M892">
        <v>0</v>
      </c>
    </row>
    <row r="893" spans="1:13" x14ac:dyDescent="0.35">
      <c r="A893">
        <v>16</v>
      </c>
      <c r="B893" t="s">
        <v>13</v>
      </c>
      <c r="C893">
        <v>4.8</v>
      </c>
      <c r="D893" t="s">
        <v>20</v>
      </c>
      <c r="E893">
        <v>5.4</v>
      </c>
      <c r="F893">
        <v>0.9</v>
      </c>
      <c r="G893">
        <v>2.06</v>
      </c>
      <c r="H893">
        <v>1.9</v>
      </c>
      <c r="I893" t="s">
        <v>15</v>
      </c>
      <c r="J893">
        <v>8</v>
      </c>
      <c r="K893">
        <v>3</v>
      </c>
      <c r="L893">
        <v>2</v>
      </c>
      <c r="M893">
        <v>0</v>
      </c>
    </row>
    <row r="894" spans="1:13" x14ac:dyDescent="0.35">
      <c r="A894">
        <v>19</v>
      </c>
      <c r="B894" t="s">
        <v>13</v>
      </c>
      <c r="C894">
        <v>7.4</v>
      </c>
      <c r="D894" t="s">
        <v>17</v>
      </c>
      <c r="E894">
        <v>6.1</v>
      </c>
      <c r="F894">
        <v>1.1000000000000001</v>
      </c>
      <c r="G894">
        <v>2.15</v>
      </c>
      <c r="H894">
        <v>1.6</v>
      </c>
      <c r="I894" t="s">
        <v>18</v>
      </c>
      <c r="J894">
        <v>4</v>
      </c>
      <c r="K894">
        <v>4</v>
      </c>
      <c r="L894">
        <v>1</v>
      </c>
      <c r="M894">
        <v>0</v>
      </c>
    </row>
    <row r="895" spans="1:13" x14ac:dyDescent="0.35">
      <c r="A895">
        <v>16</v>
      </c>
      <c r="B895" t="s">
        <v>16</v>
      </c>
      <c r="C895">
        <v>2.1</v>
      </c>
      <c r="D895" t="s">
        <v>14</v>
      </c>
      <c r="E895">
        <v>4.8</v>
      </c>
      <c r="F895">
        <v>1.3</v>
      </c>
      <c r="G895">
        <v>2.29</v>
      </c>
      <c r="H895">
        <v>1.8</v>
      </c>
      <c r="I895" t="s">
        <v>18</v>
      </c>
      <c r="J895">
        <v>6</v>
      </c>
      <c r="K895">
        <v>9</v>
      </c>
      <c r="L895">
        <v>2</v>
      </c>
      <c r="M895">
        <v>0</v>
      </c>
    </row>
    <row r="896" spans="1:13" x14ac:dyDescent="0.35">
      <c r="A896">
        <v>19</v>
      </c>
      <c r="B896" t="s">
        <v>13</v>
      </c>
      <c r="C896">
        <v>2.1</v>
      </c>
      <c r="D896" t="s">
        <v>17</v>
      </c>
      <c r="E896">
        <v>6.8</v>
      </c>
      <c r="F896">
        <v>2.2000000000000002</v>
      </c>
      <c r="G896">
        <v>2.33</v>
      </c>
      <c r="H896">
        <v>1</v>
      </c>
      <c r="I896" t="s">
        <v>19</v>
      </c>
      <c r="J896">
        <v>7</v>
      </c>
      <c r="K896">
        <v>6</v>
      </c>
      <c r="L896">
        <v>7</v>
      </c>
      <c r="M896">
        <v>0</v>
      </c>
    </row>
    <row r="897" spans="1:13" x14ac:dyDescent="0.35">
      <c r="A897">
        <v>16</v>
      </c>
      <c r="B897" t="s">
        <v>13</v>
      </c>
      <c r="C897">
        <v>1.8</v>
      </c>
      <c r="D897" t="s">
        <v>14</v>
      </c>
      <c r="E897">
        <v>4.9000000000000004</v>
      </c>
      <c r="F897">
        <v>2.2999999999999998</v>
      </c>
      <c r="G897">
        <v>2.67</v>
      </c>
      <c r="H897">
        <v>1.4</v>
      </c>
      <c r="I897" t="s">
        <v>19</v>
      </c>
      <c r="J897">
        <v>3</v>
      </c>
      <c r="K897">
        <v>8</v>
      </c>
      <c r="L897">
        <v>6</v>
      </c>
      <c r="M897">
        <v>0</v>
      </c>
    </row>
    <row r="898" spans="1:13" x14ac:dyDescent="0.35">
      <c r="A898">
        <v>18</v>
      </c>
      <c r="B898" t="s">
        <v>13</v>
      </c>
      <c r="C898">
        <v>6.8</v>
      </c>
      <c r="D898" t="s">
        <v>20</v>
      </c>
      <c r="E898">
        <v>5.4</v>
      </c>
      <c r="F898">
        <v>0.9</v>
      </c>
      <c r="G898">
        <v>2.64</v>
      </c>
      <c r="H898">
        <v>0.3</v>
      </c>
      <c r="I898" t="s">
        <v>18</v>
      </c>
      <c r="J898">
        <v>9</v>
      </c>
      <c r="K898">
        <v>1</v>
      </c>
      <c r="L898">
        <v>8</v>
      </c>
      <c r="M898">
        <v>0</v>
      </c>
    </row>
    <row r="899" spans="1:13" x14ac:dyDescent="0.35">
      <c r="A899">
        <v>18</v>
      </c>
      <c r="B899" t="s">
        <v>13</v>
      </c>
      <c r="C899">
        <v>7.9</v>
      </c>
      <c r="D899" t="s">
        <v>14</v>
      </c>
      <c r="E899">
        <v>4.0999999999999996</v>
      </c>
      <c r="F899">
        <v>2.8</v>
      </c>
      <c r="G899">
        <v>3.25</v>
      </c>
      <c r="H899">
        <v>1.4</v>
      </c>
      <c r="I899" t="s">
        <v>18</v>
      </c>
      <c r="J899">
        <v>4</v>
      </c>
      <c r="K899">
        <v>2</v>
      </c>
      <c r="L899">
        <v>4</v>
      </c>
      <c r="M899">
        <v>0</v>
      </c>
    </row>
    <row r="900" spans="1:13" x14ac:dyDescent="0.35">
      <c r="A900">
        <v>15</v>
      </c>
      <c r="B900" t="s">
        <v>13</v>
      </c>
      <c r="C900">
        <v>7.6</v>
      </c>
      <c r="D900" t="s">
        <v>20</v>
      </c>
      <c r="E900">
        <v>6</v>
      </c>
      <c r="F900">
        <v>2.9</v>
      </c>
      <c r="G900">
        <v>2.72</v>
      </c>
      <c r="H900">
        <v>1.8</v>
      </c>
      <c r="I900" t="s">
        <v>18</v>
      </c>
      <c r="J900">
        <v>1</v>
      </c>
      <c r="K900">
        <v>9</v>
      </c>
      <c r="L900">
        <v>6</v>
      </c>
      <c r="M900">
        <v>0</v>
      </c>
    </row>
    <row r="901" spans="1:13" x14ac:dyDescent="0.35">
      <c r="A901">
        <v>18</v>
      </c>
      <c r="B901" t="s">
        <v>13</v>
      </c>
      <c r="C901">
        <v>6.1</v>
      </c>
      <c r="D901" t="s">
        <v>17</v>
      </c>
      <c r="E901">
        <v>5.8</v>
      </c>
      <c r="F901">
        <v>1.8</v>
      </c>
      <c r="G901">
        <v>3.59</v>
      </c>
      <c r="H901">
        <v>0.2</v>
      </c>
      <c r="I901" t="s">
        <v>15</v>
      </c>
      <c r="J901">
        <v>2</v>
      </c>
      <c r="K901">
        <v>5</v>
      </c>
      <c r="L901">
        <v>4</v>
      </c>
      <c r="M901">
        <v>0</v>
      </c>
    </row>
    <row r="902" spans="1:13" x14ac:dyDescent="0.35">
      <c r="A902">
        <v>16</v>
      </c>
      <c r="B902" t="s">
        <v>16</v>
      </c>
      <c r="C902">
        <v>1.4</v>
      </c>
      <c r="D902" t="s">
        <v>20</v>
      </c>
      <c r="E902">
        <v>5.7</v>
      </c>
      <c r="F902">
        <v>1.8</v>
      </c>
      <c r="G902">
        <v>2</v>
      </c>
      <c r="H902">
        <v>1.4</v>
      </c>
      <c r="I902" t="s">
        <v>15</v>
      </c>
      <c r="J902">
        <v>4</v>
      </c>
      <c r="K902">
        <v>8</v>
      </c>
      <c r="L902">
        <v>7</v>
      </c>
      <c r="M902">
        <v>0</v>
      </c>
    </row>
    <row r="903" spans="1:13" x14ac:dyDescent="0.35">
      <c r="A903">
        <v>19</v>
      </c>
      <c r="B903" t="s">
        <v>13</v>
      </c>
      <c r="C903">
        <v>6.3</v>
      </c>
      <c r="D903" t="s">
        <v>17</v>
      </c>
      <c r="E903">
        <v>5.7</v>
      </c>
      <c r="F903">
        <v>1.4</v>
      </c>
      <c r="G903">
        <v>2.0299999999999998</v>
      </c>
      <c r="H903">
        <v>1.1000000000000001</v>
      </c>
      <c r="I903" t="s">
        <v>15</v>
      </c>
      <c r="J903">
        <v>4</v>
      </c>
      <c r="K903">
        <v>6</v>
      </c>
      <c r="L903">
        <v>1</v>
      </c>
      <c r="M903">
        <v>0</v>
      </c>
    </row>
    <row r="904" spans="1:13" x14ac:dyDescent="0.35">
      <c r="A904">
        <v>13</v>
      </c>
      <c r="B904" t="s">
        <v>13</v>
      </c>
      <c r="C904">
        <v>1.3</v>
      </c>
      <c r="D904" t="s">
        <v>14</v>
      </c>
      <c r="E904">
        <v>5.7</v>
      </c>
      <c r="F904">
        <v>1.1000000000000001</v>
      </c>
      <c r="G904">
        <v>3.74</v>
      </c>
      <c r="H904">
        <v>1.3</v>
      </c>
      <c r="I904" t="s">
        <v>15</v>
      </c>
      <c r="J904">
        <v>9</v>
      </c>
      <c r="K904">
        <v>5</v>
      </c>
      <c r="L904">
        <v>10</v>
      </c>
      <c r="M904">
        <v>0</v>
      </c>
    </row>
    <row r="905" spans="1:13" x14ac:dyDescent="0.35">
      <c r="A905">
        <v>17</v>
      </c>
      <c r="B905" t="s">
        <v>13</v>
      </c>
      <c r="C905">
        <v>5.0999999999999996</v>
      </c>
      <c r="D905" t="s">
        <v>17</v>
      </c>
      <c r="E905">
        <v>5.0999999999999996</v>
      </c>
      <c r="F905">
        <v>2.9</v>
      </c>
      <c r="G905">
        <v>3.99</v>
      </c>
      <c r="H905">
        <v>0.6</v>
      </c>
      <c r="I905" t="s">
        <v>19</v>
      </c>
      <c r="J905">
        <v>4</v>
      </c>
      <c r="K905">
        <v>2</v>
      </c>
      <c r="L905">
        <v>9</v>
      </c>
      <c r="M905">
        <v>0</v>
      </c>
    </row>
    <row r="906" spans="1:13" x14ac:dyDescent="0.35">
      <c r="A906">
        <v>19</v>
      </c>
      <c r="B906" t="s">
        <v>16</v>
      </c>
      <c r="C906">
        <v>4</v>
      </c>
      <c r="D906" t="s">
        <v>14</v>
      </c>
      <c r="E906">
        <v>8.1999999999999993</v>
      </c>
      <c r="F906">
        <v>1.4</v>
      </c>
      <c r="G906">
        <v>3.63</v>
      </c>
      <c r="H906">
        <v>1.3</v>
      </c>
      <c r="I906" t="s">
        <v>15</v>
      </c>
      <c r="J906">
        <v>5</v>
      </c>
      <c r="K906">
        <v>3</v>
      </c>
      <c r="L906">
        <v>10</v>
      </c>
      <c r="M906">
        <v>0</v>
      </c>
    </row>
    <row r="907" spans="1:13" x14ac:dyDescent="0.35">
      <c r="A907">
        <v>17</v>
      </c>
      <c r="B907" t="s">
        <v>16</v>
      </c>
      <c r="C907">
        <v>7.6</v>
      </c>
      <c r="D907" t="s">
        <v>14</v>
      </c>
      <c r="E907">
        <v>7.3</v>
      </c>
      <c r="F907">
        <v>1.9</v>
      </c>
      <c r="G907">
        <v>3.05</v>
      </c>
      <c r="H907">
        <v>1.1000000000000001</v>
      </c>
      <c r="I907" t="s">
        <v>19</v>
      </c>
      <c r="J907">
        <v>10</v>
      </c>
      <c r="K907">
        <v>8</v>
      </c>
      <c r="L907">
        <v>1</v>
      </c>
      <c r="M907">
        <v>0</v>
      </c>
    </row>
    <row r="908" spans="1:13" x14ac:dyDescent="0.35">
      <c r="A908">
        <v>19</v>
      </c>
      <c r="B908" t="s">
        <v>13</v>
      </c>
      <c r="C908">
        <v>3.8</v>
      </c>
      <c r="D908" t="s">
        <v>17</v>
      </c>
      <c r="E908">
        <v>7.4</v>
      </c>
      <c r="F908">
        <v>2.6</v>
      </c>
      <c r="G908">
        <v>2.25</v>
      </c>
      <c r="H908">
        <v>0.5</v>
      </c>
      <c r="I908" t="s">
        <v>15</v>
      </c>
      <c r="J908">
        <v>7</v>
      </c>
      <c r="K908">
        <v>4</v>
      </c>
      <c r="L908">
        <v>8</v>
      </c>
      <c r="M908">
        <v>0</v>
      </c>
    </row>
    <row r="909" spans="1:13" x14ac:dyDescent="0.35">
      <c r="A909">
        <v>17</v>
      </c>
      <c r="B909" t="s">
        <v>13</v>
      </c>
      <c r="C909">
        <v>5.2</v>
      </c>
      <c r="D909" t="s">
        <v>14</v>
      </c>
      <c r="E909">
        <v>4.7</v>
      </c>
      <c r="F909">
        <v>2.4</v>
      </c>
      <c r="G909">
        <v>2.77</v>
      </c>
      <c r="H909">
        <v>1.3</v>
      </c>
      <c r="I909" t="s">
        <v>18</v>
      </c>
      <c r="J909">
        <v>9</v>
      </c>
      <c r="K909">
        <v>6</v>
      </c>
      <c r="L909">
        <v>9</v>
      </c>
      <c r="M909">
        <v>0</v>
      </c>
    </row>
    <row r="910" spans="1:13" x14ac:dyDescent="0.35">
      <c r="A910">
        <v>13</v>
      </c>
      <c r="B910" t="s">
        <v>13</v>
      </c>
      <c r="C910">
        <v>5</v>
      </c>
      <c r="D910" t="s">
        <v>20</v>
      </c>
      <c r="E910">
        <v>8.6</v>
      </c>
      <c r="F910">
        <v>0.7</v>
      </c>
      <c r="G910">
        <v>2.99</v>
      </c>
      <c r="H910">
        <v>1.5</v>
      </c>
      <c r="I910" t="s">
        <v>15</v>
      </c>
      <c r="J910">
        <v>3</v>
      </c>
      <c r="K910">
        <v>8</v>
      </c>
      <c r="L910">
        <v>3</v>
      </c>
      <c r="M910">
        <v>0</v>
      </c>
    </row>
    <row r="911" spans="1:13" x14ac:dyDescent="0.35">
      <c r="A911">
        <v>19</v>
      </c>
      <c r="B911" t="s">
        <v>16</v>
      </c>
      <c r="C911">
        <v>7.4</v>
      </c>
      <c r="D911" t="s">
        <v>20</v>
      </c>
      <c r="E911">
        <v>8.3000000000000007</v>
      </c>
      <c r="F911">
        <v>1.4</v>
      </c>
      <c r="G911">
        <v>3.64</v>
      </c>
      <c r="H911">
        <v>0.4</v>
      </c>
      <c r="I911" t="s">
        <v>15</v>
      </c>
      <c r="J911">
        <v>6</v>
      </c>
      <c r="K911">
        <v>9</v>
      </c>
      <c r="L911">
        <v>6</v>
      </c>
      <c r="M911">
        <v>0</v>
      </c>
    </row>
    <row r="912" spans="1:13" x14ac:dyDescent="0.35">
      <c r="A912">
        <v>16</v>
      </c>
      <c r="B912" t="s">
        <v>13</v>
      </c>
      <c r="C912">
        <v>6.1</v>
      </c>
      <c r="D912" t="s">
        <v>17</v>
      </c>
      <c r="E912">
        <v>6.8</v>
      </c>
      <c r="F912">
        <v>0.8</v>
      </c>
      <c r="G912">
        <v>2.61</v>
      </c>
      <c r="H912">
        <v>0.9</v>
      </c>
      <c r="I912" t="s">
        <v>15</v>
      </c>
      <c r="J912">
        <v>10</v>
      </c>
      <c r="K912">
        <v>10</v>
      </c>
      <c r="L912">
        <v>4</v>
      </c>
      <c r="M912">
        <v>0</v>
      </c>
    </row>
    <row r="913" spans="1:13" x14ac:dyDescent="0.35">
      <c r="A913">
        <v>13</v>
      </c>
      <c r="B913" t="s">
        <v>16</v>
      </c>
      <c r="C913">
        <v>7.4</v>
      </c>
      <c r="D913" t="s">
        <v>20</v>
      </c>
      <c r="E913">
        <v>6.7</v>
      </c>
      <c r="F913">
        <v>2</v>
      </c>
      <c r="G913">
        <v>2.42</v>
      </c>
      <c r="H913">
        <v>1.5</v>
      </c>
      <c r="I913" t="s">
        <v>15</v>
      </c>
      <c r="J913">
        <v>10</v>
      </c>
      <c r="K913">
        <v>1</v>
      </c>
      <c r="L913">
        <v>1</v>
      </c>
      <c r="M913">
        <v>0</v>
      </c>
    </row>
    <row r="914" spans="1:13" x14ac:dyDescent="0.35">
      <c r="A914">
        <v>16</v>
      </c>
      <c r="B914" t="s">
        <v>13</v>
      </c>
      <c r="C914">
        <v>3.5</v>
      </c>
      <c r="D914" t="s">
        <v>20</v>
      </c>
      <c r="E914">
        <v>4.4000000000000004</v>
      </c>
      <c r="F914">
        <v>1.5</v>
      </c>
      <c r="G914">
        <v>2.7</v>
      </c>
      <c r="H914">
        <v>0.8</v>
      </c>
      <c r="I914" t="s">
        <v>18</v>
      </c>
      <c r="J914">
        <v>2</v>
      </c>
      <c r="K914">
        <v>10</v>
      </c>
      <c r="L914">
        <v>8</v>
      </c>
      <c r="M914">
        <v>0</v>
      </c>
    </row>
    <row r="915" spans="1:13" x14ac:dyDescent="0.35">
      <c r="A915">
        <v>14</v>
      </c>
      <c r="B915" t="s">
        <v>13</v>
      </c>
      <c r="C915">
        <v>5.0999999999999996</v>
      </c>
      <c r="D915" t="s">
        <v>14</v>
      </c>
      <c r="E915">
        <v>6.3</v>
      </c>
      <c r="F915">
        <v>1.6</v>
      </c>
      <c r="G915">
        <v>2.7</v>
      </c>
      <c r="H915">
        <v>0.1</v>
      </c>
      <c r="I915" t="s">
        <v>19</v>
      </c>
      <c r="J915">
        <v>7</v>
      </c>
      <c r="K915">
        <v>2</v>
      </c>
      <c r="L915">
        <v>7</v>
      </c>
      <c r="M915">
        <v>0</v>
      </c>
    </row>
    <row r="916" spans="1:13" x14ac:dyDescent="0.35">
      <c r="A916">
        <v>17</v>
      </c>
      <c r="B916" t="s">
        <v>13</v>
      </c>
      <c r="C916">
        <v>4.8</v>
      </c>
      <c r="D916" t="s">
        <v>17</v>
      </c>
      <c r="E916">
        <v>6</v>
      </c>
      <c r="F916">
        <v>2.1</v>
      </c>
      <c r="G916">
        <v>2.39</v>
      </c>
      <c r="H916">
        <v>1.8</v>
      </c>
      <c r="I916" t="s">
        <v>18</v>
      </c>
      <c r="J916">
        <v>5</v>
      </c>
      <c r="K916">
        <v>8</v>
      </c>
      <c r="L916">
        <v>7</v>
      </c>
      <c r="M916">
        <v>0</v>
      </c>
    </row>
    <row r="917" spans="1:13" x14ac:dyDescent="0.35">
      <c r="A917">
        <v>14</v>
      </c>
      <c r="B917" t="s">
        <v>13</v>
      </c>
      <c r="C917">
        <v>7.5</v>
      </c>
      <c r="D917" t="s">
        <v>20</v>
      </c>
      <c r="E917">
        <v>7.6</v>
      </c>
      <c r="F917">
        <v>2.8</v>
      </c>
      <c r="G917">
        <v>3.1</v>
      </c>
      <c r="H917">
        <v>0.7</v>
      </c>
      <c r="I917" t="s">
        <v>19</v>
      </c>
      <c r="J917">
        <v>3</v>
      </c>
      <c r="K917">
        <v>1</v>
      </c>
      <c r="L917">
        <v>2</v>
      </c>
      <c r="M917">
        <v>0</v>
      </c>
    </row>
    <row r="918" spans="1:13" x14ac:dyDescent="0.35">
      <c r="A918">
        <v>19</v>
      </c>
      <c r="B918" t="s">
        <v>13</v>
      </c>
      <c r="C918">
        <v>4.7</v>
      </c>
      <c r="D918" t="s">
        <v>20</v>
      </c>
      <c r="E918">
        <v>8.6999999999999993</v>
      </c>
      <c r="F918">
        <v>2</v>
      </c>
      <c r="G918">
        <v>3.23</v>
      </c>
      <c r="H918">
        <v>1.7</v>
      </c>
      <c r="I918" t="s">
        <v>15</v>
      </c>
      <c r="J918">
        <v>4</v>
      </c>
      <c r="K918">
        <v>10</v>
      </c>
      <c r="L918">
        <v>3</v>
      </c>
      <c r="M918">
        <v>0</v>
      </c>
    </row>
    <row r="919" spans="1:13" x14ac:dyDescent="0.35">
      <c r="A919">
        <v>19</v>
      </c>
      <c r="B919" t="s">
        <v>13</v>
      </c>
      <c r="C919">
        <v>3.3</v>
      </c>
      <c r="D919" t="s">
        <v>17</v>
      </c>
      <c r="E919">
        <v>8.5</v>
      </c>
      <c r="F919">
        <v>1.2</v>
      </c>
      <c r="G919">
        <v>3.29</v>
      </c>
      <c r="H919">
        <v>0.5</v>
      </c>
      <c r="I919" t="s">
        <v>19</v>
      </c>
      <c r="J919">
        <v>6</v>
      </c>
      <c r="K919">
        <v>2</v>
      </c>
      <c r="L919">
        <v>9</v>
      </c>
      <c r="M919">
        <v>0</v>
      </c>
    </row>
    <row r="920" spans="1:13" x14ac:dyDescent="0.35">
      <c r="A920">
        <v>16</v>
      </c>
      <c r="B920" t="s">
        <v>16</v>
      </c>
      <c r="C920">
        <v>6.9</v>
      </c>
      <c r="D920" t="s">
        <v>14</v>
      </c>
      <c r="E920">
        <v>5.8</v>
      </c>
      <c r="F920">
        <v>0.6</v>
      </c>
      <c r="G920">
        <v>3.65</v>
      </c>
      <c r="H920">
        <v>0.5</v>
      </c>
      <c r="I920" t="s">
        <v>18</v>
      </c>
      <c r="J920">
        <v>10</v>
      </c>
      <c r="K920">
        <v>8</v>
      </c>
      <c r="L920">
        <v>10</v>
      </c>
      <c r="M920">
        <v>1</v>
      </c>
    </row>
    <row r="921" spans="1:13" x14ac:dyDescent="0.35">
      <c r="A921">
        <v>15</v>
      </c>
      <c r="B921" t="s">
        <v>13</v>
      </c>
      <c r="C921">
        <v>5.4</v>
      </c>
      <c r="D921" t="s">
        <v>14</v>
      </c>
      <c r="E921">
        <v>4.2</v>
      </c>
      <c r="F921">
        <v>1.5</v>
      </c>
      <c r="G921">
        <v>2.72</v>
      </c>
      <c r="H921">
        <v>0.4</v>
      </c>
      <c r="I921" t="s">
        <v>18</v>
      </c>
      <c r="J921">
        <v>1</v>
      </c>
      <c r="K921">
        <v>6</v>
      </c>
      <c r="L921">
        <v>5</v>
      </c>
      <c r="M921">
        <v>0</v>
      </c>
    </row>
    <row r="922" spans="1:13" x14ac:dyDescent="0.35">
      <c r="A922">
        <v>13</v>
      </c>
      <c r="B922" t="s">
        <v>16</v>
      </c>
      <c r="C922">
        <v>5.2</v>
      </c>
      <c r="D922" t="s">
        <v>20</v>
      </c>
      <c r="E922">
        <v>7.7</v>
      </c>
      <c r="F922">
        <v>2.7</v>
      </c>
      <c r="G922">
        <v>2.84</v>
      </c>
      <c r="H922">
        <v>0.8</v>
      </c>
      <c r="I922" t="s">
        <v>18</v>
      </c>
      <c r="J922">
        <v>2</v>
      </c>
      <c r="K922">
        <v>5</v>
      </c>
      <c r="L922">
        <v>5</v>
      </c>
      <c r="M922">
        <v>0</v>
      </c>
    </row>
    <row r="923" spans="1:13" x14ac:dyDescent="0.35">
      <c r="A923">
        <v>15</v>
      </c>
      <c r="B923" t="s">
        <v>16</v>
      </c>
      <c r="C923">
        <v>3.3</v>
      </c>
      <c r="D923" t="s">
        <v>14</v>
      </c>
      <c r="E923">
        <v>6.5</v>
      </c>
      <c r="F923">
        <v>1.3</v>
      </c>
      <c r="G923">
        <v>2.44</v>
      </c>
      <c r="H923">
        <v>0.3</v>
      </c>
      <c r="I923" t="s">
        <v>19</v>
      </c>
      <c r="J923">
        <v>7</v>
      </c>
      <c r="K923">
        <v>6</v>
      </c>
      <c r="L923">
        <v>7</v>
      </c>
      <c r="M923">
        <v>0</v>
      </c>
    </row>
    <row r="924" spans="1:13" x14ac:dyDescent="0.35">
      <c r="A924">
        <v>15</v>
      </c>
      <c r="B924" t="s">
        <v>16</v>
      </c>
      <c r="C924">
        <v>7.3</v>
      </c>
      <c r="D924" t="s">
        <v>20</v>
      </c>
      <c r="E924">
        <v>7.6</v>
      </c>
      <c r="F924">
        <v>1.9</v>
      </c>
      <c r="G924">
        <v>2.31</v>
      </c>
      <c r="H924">
        <v>0.8</v>
      </c>
      <c r="I924" t="s">
        <v>19</v>
      </c>
      <c r="J924">
        <v>8</v>
      </c>
      <c r="K924">
        <v>7</v>
      </c>
      <c r="L924">
        <v>5</v>
      </c>
      <c r="M924">
        <v>0</v>
      </c>
    </row>
    <row r="925" spans="1:13" x14ac:dyDescent="0.35">
      <c r="A925">
        <v>17</v>
      </c>
      <c r="B925" t="s">
        <v>13</v>
      </c>
      <c r="C925">
        <v>7.6</v>
      </c>
      <c r="D925" t="s">
        <v>20</v>
      </c>
      <c r="E925">
        <v>4.9000000000000004</v>
      </c>
      <c r="F925">
        <v>0.6</v>
      </c>
      <c r="G925">
        <v>2.56</v>
      </c>
      <c r="H925">
        <v>0.8</v>
      </c>
      <c r="I925" t="s">
        <v>15</v>
      </c>
      <c r="J925">
        <v>4</v>
      </c>
      <c r="K925">
        <v>1</v>
      </c>
      <c r="L925">
        <v>9</v>
      </c>
      <c r="M925">
        <v>0</v>
      </c>
    </row>
    <row r="926" spans="1:13" x14ac:dyDescent="0.35">
      <c r="A926">
        <v>17</v>
      </c>
      <c r="B926" t="s">
        <v>13</v>
      </c>
      <c r="C926">
        <v>1.7</v>
      </c>
      <c r="D926" t="s">
        <v>20</v>
      </c>
      <c r="E926">
        <v>7</v>
      </c>
      <c r="F926">
        <v>0.8</v>
      </c>
      <c r="G926">
        <v>3.39</v>
      </c>
      <c r="H926">
        <v>0.9</v>
      </c>
      <c r="I926" t="s">
        <v>18</v>
      </c>
      <c r="J926">
        <v>7</v>
      </c>
      <c r="K926">
        <v>7</v>
      </c>
      <c r="L926">
        <v>10</v>
      </c>
      <c r="M926">
        <v>0</v>
      </c>
    </row>
    <row r="927" spans="1:13" x14ac:dyDescent="0.35">
      <c r="A927">
        <v>18</v>
      </c>
      <c r="B927" t="s">
        <v>13</v>
      </c>
      <c r="C927">
        <v>1.5</v>
      </c>
      <c r="D927" t="s">
        <v>20</v>
      </c>
      <c r="E927">
        <v>5.6</v>
      </c>
      <c r="F927">
        <v>2.9</v>
      </c>
      <c r="G927">
        <v>2.57</v>
      </c>
      <c r="H927">
        <v>0.6</v>
      </c>
      <c r="I927" t="s">
        <v>18</v>
      </c>
      <c r="J927">
        <v>5</v>
      </c>
      <c r="K927">
        <v>8</v>
      </c>
      <c r="L927">
        <v>4</v>
      </c>
      <c r="M927">
        <v>0</v>
      </c>
    </row>
    <row r="928" spans="1:13" x14ac:dyDescent="0.35">
      <c r="A928">
        <v>17</v>
      </c>
      <c r="B928" t="s">
        <v>13</v>
      </c>
      <c r="C928">
        <v>7.3</v>
      </c>
      <c r="D928" t="s">
        <v>20</v>
      </c>
      <c r="E928">
        <v>8.5</v>
      </c>
      <c r="F928">
        <v>1.5</v>
      </c>
      <c r="G928">
        <v>3.54</v>
      </c>
      <c r="H928">
        <v>1.2</v>
      </c>
      <c r="I928" t="s">
        <v>15</v>
      </c>
      <c r="J928">
        <v>3</v>
      </c>
      <c r="K928">
        <v>3</v>
      </c>
      <c r="L928">
        <v>7</v>
      </c>
      <c r="M928">
        <v>0</v>
      </c>
    </row>
    <row r="929" spans="1:13" x14ac:dyDescent="0.35">
      <c r="A929">
        <v>14</v>
      </c>
      <c r="B929" t="s">
        <v>13</v>
      </c>
      <c r="C929">
        <v>2.8</v>
      </c>
      <c r="D929" t="s">
        <v>20</v>
      </c>
      <c r="E929">
        <v>6.2</v>
      </c>
      <c r="F929">
        <v>1.2</v>
      </c>
      <c r="G929">
        <v>3.21</v>
      </c>
      <c r="H929">
        <v>1</v>
      </c>
      <c r="I929" t="s">
        <v>15</v>
      </c>
      <c r="J929">
        <v>3</v>
      </c>
      <c r="K929">
        <v>10</v>
      </c>
      <c r="L929">
        <v>6</v>
      </c>
      <c r="M929">
        <v>0</v>
      </c>
    </row>
    <row r="930" spans="1:13" x14ac:dyDescent="0.35">
      <c r="A930">
        <v>15</v>
      </c>
      <c r="B930" t="s">
        <v>13</v>
      </c>
      <c r="C930">
        <v>1.2</v>
      </c>
      <c r="D930" t="s">
        <v>20</v>
      </c>
      <c r="E930">
        <v>7.4</v>
      </c>
      <c r="F930">
        <v>2.7</v>
      </c>
      <c r="G930">
        <v>2.92</v>
      </c>
      <c r="H930">
        <v>1.4</v>
      </c>
      <c r="I930" t="s">
        <v>15</v>
      </c>
      <c r="J930">
        <v>3</v>
      </c>
      <c r="K930">
        <v>7</v>
      </c>
      <c r="L930">
        <v>4</v>
      </c>
      <c r="M930">
        <v>0</v>
      </c>
    </row>
    <row r="931" spans="1:13" x14ac:dyDescent="0.35">
      <c r="A931">
        <v>16</v>
      </c>
      <c r="B931" t="s">
        <v>16</v>
      </c>
      <c r="C931">
        <v>2.5</v>
      </c>
      <c r="D931" t="s">
        <v>17</v>
      </c>
      <c r="E931">
        <v>8.9</v>
      </c>
      <c r="F931">
        <v>1.2</v>
      </c>
      <c r="G931">
        <v>3.33</v>
      </c>
      <c r="H931">
        <v>1.5</v>
      </c>
      <c r="I931" t="s">
        <v>18</v>
      </c>
      <c r="J931">
        <v>4</v>
      </c>
      <c r="K931">
        <v>4</v>
      </c>
      <c r="L931">
        <v>10</v>
      </c>
      <c r="M931">
        <v>0</v>
      </c>
    </row>
    <row r="932" spans="1:13" x14ac:dyDescent="0.35">
      <c r="A932">
        <v>17</v>
      </c>
      <c r="B932" t="s">
        <v>13</v>
      </c>
      <c r="C932">
        <v>4.8</v>
      </c>
      <c r="D932" t="s">
        <v>17</v>
      </c>
      <c r="E932">
        <v>5.6</v>
      </c>
      <c r="F932">
        <v>1.6</v>
      </c>
      <c r="G932">
        <v>2</v>
      </c>
      <c r="H932">
        <v>1.3</v>
      </c>
      <c r="I932" t="s">
        <v>15</v>
      </c>
      <c r="J932">
        <v>3</v>
      </c>
      <c r="K932">
        <v>8</v>
      </c>
      <c r="L932">
        <v>4</v>
      </c>
      <c r="M932">
        <v>0</v>
      </c>
    </row>
    <row r="933" spans="1:13" x14ac:dyDescent="0.35">
      <c r="A933">
        <v>18</v>
      </c>
      <c r="B933" t="s">
        <v>16</v>
      </c>
      <c r="C933">
        <v>6.4</v>
      </c>
      <c r="D933" t="s">
        <v>20</v>
      </c>
      <c r="E933">
        <v>4.2</v>
      </c>
      <c r="F933">
        <v>1.1000000000000001</v>
      </c>
      <c r="G933">
        <v>2.68</v>
      </c>
      <c r="H933">
        <v>0.3</v>
      </c>
      <c r="I933" t="s">
        <v>18</v>
      </c>
      <c r="J933">
        <v>10</v>
      </c>
      <c r="K933">
        <v>9</v>
      </c>
      <c r="L933">
        <v>4</v>
      </c>
      <c r="M933">
        <v>1</v>
      </c>
    </row>
    <row r="934" spans="1:13" x14ac:dyDescent="0.35">
      <c r="A934">
        <v>16</v>
      </c>
      <c r="B934" t="s">
        <v>16</v>
      </c>
      <c r="C934">
        <v>6.6</v>
      </c>
      <c r="D934" t="s">
        <v>14</v>
      </c>
      <c r="E934">
        <v>6.1</v>
      </c>
      <c r="F934">
        <v>1.7</v>
      </c>
      <c r="G934">
        <v>2.67</v>
      </c>
      <c r="H934">
        <v>1.8</v>
      </c>
      <c r="I934" t="s">
        <v>15</v>
      </c>
      <c r="J934">
        <v>10</v>
      </c>
      <c r="K934">
        <v>8</v>
      </c>
      <c r="L934">
        <v>2</v>
      </c>
      <c r="M934">
        <v>0</v>
      </c>
    </row>
    <row r="935" spans="1:13" x14ac:dyDescent="0.35">
      <c r="A935">
        <v>14</v>
      </c>
      <c r="B935" t="s">
        <v>16</v>
      </c>
      <c r="C935">
        <v>3.5</v>
      </c>
      <c r="D935" t="s">
        <v>20</v>
      </c>
      <c r="E935">
        <v>5.7</v>
      </c>
      <c r="F935">
        <v>2.4</v>
      </c>
      <c r="G935">
        <v>3.46</v>
      </c>
      <c r="H935">
        <v>0.9</v>
      </c>
      <c r="I935" t="s">
        <v>15</v>
      </c>
      <c r="J935">
        <v>8</v>
      </c>
      <c r="K935">
        <v>4</v>
      </c>
      <c r="L935">
        <v>10</v>
      </c>
      <c r="M935">
        <v>0</v>
      </c>
    </row>
    <row r="936" spans="1:13" x14ac:dyDescent="0.35">
      <c r="A936">
        <v>14</v>
      </c>
      <c r="B936" t="s">
        <v>16</v>
      </c>
      <c r="C936">
        <v>2.4</v>
      </c>
      <c r="D936" t="s">
        <v>17</v>
      </c>
      <c r="E936">
        <v>6.3</v>
      </c>
      <c r="F936">
        <v>2.8</v>
      </c>
      <c r="G936">
        <v>2.41</v>
      </c>
      <c r="H936">
        <v>0.7</v>
      </c>
      <c r="I936" t="s">
        <v>15</v>
      </c>
      <c r="J936">
        <v>9</v>
      </c>
      <c r="K936">
        <v>5</v>
      </c>
      <c r="L936">
        <v>2</v>
      </c>
      <c r="M936">
        <v>0</v>
      </c>
    </row>
    <row r="937" spans="1:13" x14ac:dyDescent="0.35">
      <c r="A937">
        <v>13</v>
      </c>
      <c r="B937" t="s">
        <v>13</v>
      </c>
      <c r="C937">
        <v>5.9</v>
      </c>
      <c r="D937" t="s">
        <v>14</v>
      </c>
      <c r="E937">
        <v>4.3</v>
      </c>
      <c r="F937">
        <v>0.8</v>
      </c>
      <c r="G937">
        <v>3.41</v>
      </c>
      <c r="H937">
        <v>1.1000000000000001</v>
      </c>
      <c r="I937" t="s">
        <v>19</v>
      </c>
      <c r="J937">
        <v>4</v>
      </c>
      <c r="K937">
        <v>3</v>
      </c>
      <c r="L937">
        <v>2</v>
      </c>
      <c r="M937">
        <v>0</v>
      </c>
    </row>
    <row r="938" spans="1:13" x14ac:dyDescent="0.35">
      <c r="A938">
        <v>19</v>
      </c>
      <c r="B938" t="s">
        <v>16</v>
      </c>
      <c r="C938">
        <v>7.4</v>
      </c>
      <c r="D938" t="s">
        <v>14</v>
      </c>
      <c r="E938">
        <v>5</v>
      </c>
      <c r="F938">
        <v>2</v>
      </c>
      <c r="G938">
        <v>2.68</v>
      </c>
      <c r="H938">
        <v>1.2</v>
      </c>
      <c r="I938" t="s">
        <v>15</v>
      </c>
      <c r="J938">
        <v>1</v>
      </c>
      <c r="K938">
        <v>6</v>
      </c>
      <c r="L938">
        <v>8</v>
      </c>
      <c r="M938">
        <v>0</v>
      </c>
    </row>
    <row r="939" spans="1:13" x14ac:dyDescent="0.35">
      <c r="A939">
        <v>15</v>
      </c>
      <c r="B939" t="s">
        <v>16</v>
      </c>
      <c r="C939">
        <v>4.5999999999999996</v>
      </c>
      <c r="D939" t="s">
        <v>17</v>
      </c>
      <c r="E939">
        <v>5.3</v>
      </c>
      <c r="F939">
        <v>3</v>
      </c>
      <c r="G939">
        <v>3.25</v>
      </c>
      <c r="H939">
        <v>0.2</v>
      </c>
      <c r="I939" t="s">
        <v>15</v>
      </c>
      <c r="J939">
        <v>1</v>
      </c>
      <c r="K939">
        <v>8</v>
      </c>
      <c r="L939">
        <v>7</v>
      </c>
      <c r="M939">
        <v>0</v>
      </c>
    </row>
    <row r="940" spans="1:13" x14ac:dyDescent="0.35">
      <c r="A940">
        <v>17</v>
      </c>
      <c r="B940" t="s">
        <v>13</v>
      </c>
      <c r="C940">
        <v>7.3</v>
      </c>
      <c r="D940" t="s">
        <v>14</v>
      </c>
      <c r="E940">
        <v>5.8</v>
      </c>
      <c r="F940">
        <v>2.9</v>
      </c>
      <c r="G940">
        <v>3.93</v>
      </c>
      <c r="H940">
        <v>0.9</v>
      </c>
      <c r="I940" t="s">
        <v>19</v>
      </c>
      <c r="J940">
        <v>6</v>
      </c>
      <c r="K940">
        <v>2</v>
      </c>
      <c r="L940">
        <v>9</v>
      </c>
      <c r="M940">
        <v>0</v>
      </c>
    </row>
    <row r="941" spans="1:13" x14ac:dyDescent="0.35">
      <c r="A941">
        <v>17</v>
      </c>
      <c r="B941" t="s">
        <v>16</v>
      </c>
      <c r="C941">
        <v>2.9</v>
      </c>
      <c r="D941" t="s">
        <v>17</v>
      </c>
      <c r="E941">
        <v>4.5</v>
      </c>
      <c r="F941">
        <v>0.9</v>
      </c>
      <c r="G941">
        <v>3.71</v>
      </c>
      <c r="H941">
        <v>0.1</v>
      </c>
      <c r="I941" t="s">
        <v>15</v>
      </c>
      <c r="J941">
        <v>1</v>
      </c>
      <c r="K941">
        <v>6</v>
      </c>
      <c r="L941">
        <v>4</v>
      </c>
      <c r="M941">
        <v>0</v>
      </c>
    </row>
    <row r="942" spans="1:13" x14ac:dyDescent="0.35">
      <c r="A942">
        <v>19</v>
      </c>
      <c r="B942" t="s">
        <v>13</v>
      </c>
      <c r="C942">
        <v>5.3</v>
      </c>
      <c r="D942" t="s">
        <v>17</v>
      </c>
      <c r="E942">
        <v>8.4</v>
      </c>
      <c r="F942">
        <v>0.6</v>
      </c>
      <c r="G942">
        <v>3.08</v>
      </c>
      <c r="H942">
        <v>0.4</v>
      </c>
      <c r="I942" t="s">
        <v>19</v>
      </c>
      <c r="J942">
        <v>9</v>
      </c>
      <c r="K942">
        <v>4</v>
      </c>
      <c r="L942">
        <v>6</v>
      </c>
      <c r="M942">
        <v>0</v>
      </c>
    </row>
    <row r="943" spans="1:13" x14ac:dyDescent="0.35">
      <c r="A943">
        <v>17</v>
      </c>
      <c r="B943" t="s">
        <v>16</v>
      </c>
      <c r="C943">
        <v>7.2</v>
      </c>
      <c r="D943" t="s">
        <v>17</v>
      </c>
      <c r="E943">
        <v>8.1999999999999993</v>
      </c>
      <c r="F943">
        <v>2.9</v>
      </c>
      <c r="G943">
        <v>3.69</v>
      </c>
      <c r="H943">
        <v>1</v>
      </c>
      <c r="I943" t="s">
        <v>18</v>
      </c>
      <c r="J943">
        <v>6</v>
      </c>
      <c r="K943">
        <v>2</v>
      </c>
      <c r="L943">
        <v>5</v>
      </c>
      <c r="M943">
        <v>0</v>
      </c>
    </row>
    <row r="944" spans="1:13" x14ac:dyDescent="0.35">
      <c r="A944">
        <v>15</v>
      </c>
      <c r="B944" t="s">
        <v>16</v>
      </c>
      <c r="C944">
        <v>2.6</v>
      </c>
      <c r="D944" t="s">
        <v>20</v>
      </c>
      <c r="E944">
        <v>7.9</v>
      </c>
      <c r="F944">
        <v>1.8</v>
      </c>
      <c r="G944">
        <v>3.91</v>
      </c>
      <c r="H944">
        <v>0.5</v>
      </c>
      <c r="I944" t="s">
        <v>19</v>
      </c>
      <c r="J944">
        <v>4</v>
      </c>
      <c r="K944">
        <v>5</v>
      </c>
      <c r="L944">
        <v>6</v>
      </c>
      <c r="M944">
        <v>0</v>
      </c>
    </row>
    <row r="945" spans="1:13" x14ac:dyDescent="0.35">
      <c r="A945">
        <v>15</v>
      </c>
      <c r="B945" t="s">
        <v>13</v>
      </c>
      <c r="C945">
        <v>3.6</v>
      </c>
      <c r="D945" t="s">
        <v>14</v>
      </c>
      <c r="E945">
        <v>4.8</v>
      </c>
      <c r="F945">
        <v>1</v>
      </c>
      <c r="G945">
        <v>3.71</v>
      </c>
      <c r="H945">
        <v>1.1000000000000001</v>
      </c>
      <c r="I945" t="s">
        <v>19</v>
      </c>
      <c r="J945">
        <v>5</v>
      </c>
      <c r="K945">
        <v>7</v>
      </c>
      <c r="L945">
        <v>4</v>
      </c>
      <c r="M945">
        <v>0</v>
      </c>
    </row>
    <row r="946" spans="1:13" x14ac:dyDescent="0.35">
      <c r="A946">
        <v>19</v>
      </c>
      <c r="B946" t="s">
        <v>13</v>
      </c>
      <c r="C946">
        <v>3.6</v>
      </c>
      <c r="D946" t="s">
        <v>14</v>
      </c>
      <c r="E946">
        <v>6.5</v>
      </c>
      <c r="F946">
        <v>1.1000000000000001</v>
      </c>
      <c r="G946">
        <v>3.65</v>
      </c>
      <c r="H946">
        <v>1.1000000000000001</v>
      </c>
      <c r="I946" t="s">
        <v>15</v>
      </c>
      <c r="J946">
        <v>5</v>
      </c>
      <c r="K946">
        <v>9</v>
      </c>
      <c r="L946">
        <v>10</v>
      </c>
      <c r="M946">
        <v>0</v>
      </c>
    </row>
    <row r="947" spans="1:13" x14ac:dyDescent="0.35">
      <c r="A947">
        <v>15</v>
      </c>
      <c r="B947" t="s">
        <v>16</v>
      </c>
      <c r="C947">
        <v>1.8</v>
      </c>
      <c r="D947" t="s">
        <v>14</v>
      </c>
      <c r="E947">
        <v>5.5</v>
      </c>
      <c r="F947">
        <v>1.6</v>
      </c>
      <c r="G947">
        <v>3.29</v>
      </c>
      <c r="H947">
        <v>1.3</v>
      </c>
      <c r="I947" t="s">
        <v>19</v>
      </c>
      <c r="J947">
        <v>6</v>
      </c>
      <c r="K947">
        <v>5</v>
      </c>
      <c r="L947">
        <v>9</v>
      </c>
      <c r="M947">
        <v>0</v>
      </c>
    </row>
    <row r="948" spans="1:13" x14ac:dyDescent="0.35">
      <c r="A948">
        <v>14</v>
      </c>
      <c r="B948" t="s">
        <v>16</v>
      </c>
      <c r="C948">
        <v>1.8</v>
      </c>
      <c r="D948" t="s">
        <v>14</v>
      </c>
      <c r="E948">
        <v>7.6</v>
      </c>
      <c r="F948">
        <v>1.2</v>
      </c>
      <c r="G948">
        <v>2.84</v>
      </c>
      <c r="H948">
        <v>1.1000000000000001</v>
      </c>
      <c r="I948" t="s">
        <v>18</v>
      </c>
      <c r="J948">
        <v>10</v>
      </c>
      <c r="K948">
        <v>1</v>
      </c>
      <c r="L948">
        <v>3</v>
      </c>
      <c r="M948">
        <v>0</v>
      </c>
    </row>
    <row r="949" spans="1:13" x14ac:dyDescent="0.35">
      <c r="A949">
        <v>15</v>
      </c>
      <c r="B949" t="s">
        <v>16</v>
      </c>
      <c r="C949">
        <v>7.4</v>
      </c>
      <c r="D949" t="s">
        <v>20</v>
      </c>
      <c r="E949">
        <v>8.4</v>
      </c>
      <c r="F949">
        <v>1.9</v>
      </c>
      <c r="G949">
        <v>3.73</v>
      </c>
      <c r="H949">
        <v>0.8</v>
      </c>
      <c r="I949" t="s">
        <v>18</v>
      </c>
      <c r="J949">
        <v>9</v>
      </c>
      <c r="K949">
        <v>9</v>
      </c>
      <c r="L949">
        <v>4</v>
      </c>
      <c r="M949">
        <v>0</v>
      </c>
    </row>
    <row r="950" spans="1:13" x14ac:dyDescent="0.35">
      <c r="A950">
        <v>15</v>
      </c>
      <c r="B950" t="s">
        <v>13</v>
      </c>
      <c r="C950">
        <v>4.8</v>
      </c>
      <c r="D950" t="s">
        <v>20</v>
      </c>
      <c r="E950">
        <v>4.3</v>
      </c>
      <c r="F950">
        <v>2.2000000000000002</v>
      </c>
      <c r="G950">
        <v>2.5</v>
      </c>
      <c r="H950">
        <v>0</v>
      </c>
      <c r="I950" t="s">
        <v>19</v>
      </c>
      <c r="J950">
        <v>4</v>
      </c>
      <c r="K950">
        <v>1</v>
      </c>
      <c r="L950">
        <v>4</v>
      </c>
      <c r="M950">
        <v>0</v>
      </c>
    </row>
    <row r="951" spans="1:13" x14ac:dyDescent="0.35">
      <c r="A951">
        <v>18</v>
      </c>
      <c r="B951" t="s">
        <v>13</v>
      </c>
      <c r="C951">
        <v>2.4</v>
      </c>
      <c r="D951" t="s">
        <v>20</v>
      </c>
      <c r="E951">
        <v>6.8</v>
      </c>
      <c r="F951">
        <v>1</v>
      </c>
      <c r="G951">
        <v>2.86</v>
      </c>
      <c r="H951">
        <v>1.5</v>
      </c>
      <c r="I951" t="s">
        <v>18</v>
      </c>
      <c r="J951">
        <v>9</v>
      </c>
      <c r="K951">
        <v>10</v>
      </c>
      <c r="L951">
        <v>8</v>
      </c>
      <c r="M951">
        <v>0</v>
      </c>
    </row>
    <row r="952" spans="1:13" x14ac:dyDescent="0.35">
      <c r="A952">
        <v>15</v>
      </c>
      <c r="B952" t="s">
        <v>13</v>
      </c>
      <c r="C952">
        <v>5.4</v>
      </c>
      <c r="D952" t="s">
        <v>17</v>
      </c>
      <c r="E952">
        <v>5.2</v>
      </c>
      <c r="F952">
        <v>0.6</v>
      </c>
      <c r="G952">
        <v>3.65</v>
      </c>
      <c r="H952">
        <v>1.5</v>
      </c>
      <c r="I952" t="s">
        <v>15</v>
      </c>
      <c r="J952">
        <v>7</v>
      </c>
      <c r="K952">
        <v>9</v>
      </c>
      <c r="L952">
        <v>10</v>
      </c>
      <c r="M952">
        <v>1</v>
      </c>
    </row>
    <row r="953" spans="1:13" x14ac:dyDescent="0.35">
      <c r="A953">
        <v>17</v>
      </c>
      <c r="B953" t="s">
        <v>16</v>
      </c>
      <c r="C953">
        <v>3.5</v>
      </c>
      <c r="D953" t="s">
        <v>20</v>
      </c>
      <c r="E953">
        <v>8.5</v>
      </c>
      <c r="F953">
        <v>2.2000000000000002</v>
      </c>
      <c r="G953">
        <v>2.11</v>
      </c>
      <c r="H953">
        <v>1.3</v>
      </c>
      <c r="I953" t="s">
        <v>19</v>
      </c>
      <c r="J953">
        <v>8</v>
      </c>
      <c r="K953">
        <v>8</v>
      </c>
      <c r="L953">
        <v>2</v>
      </c>
      <c r="M953">
        <v>0</v>
      </c>
    </row>
    <row r="954" spans="1:13" x14ac:dyDescent="0.35">
      <c r="A954">
        <v>18</v>
      </c>
      <c r="B954" t="s">
        <v>16</v>
      </c>
      <c r="C954">
        <v>3</v>
      </c>
      <c r="D954" t="s">
        <v>14</v>
      </c>
      <c r="E954">
        <v>5</v>
      </c>
      <c r="F954">
        <v>2</v>
      </c>
      <c r="G954">
        <v>2.4500000000000002</v>
      </c>
      <c r="H954">
        <v>1.2</v>
      </c>
      <c r="I954" t="s">
        <v>19</v>
      </c>
      <c r="J954">
        <v>1</v>
      </c>
      <c r="K954">
        <v>10</v>
      </c>
      <c r="L954">
        <v>7</v>
      </c>
      <c r="M954">
        <v>0</v>
      </c>
    </row>
    <row r="955" spans="1:13" x14ac:dyDescent="0.35">
      <c r="A955">
        <v>13</v>
      </c>
      <c r="B955" t="s">
        <v>16</v>
      </c>
      <c r="C955">
        <v>3.3</v>
      </c>
      <c r="D955" t="s">
        <v>20</v>
      </c>
      <c r="E955">
        <v>7.4</v>
      </c>
      <c r="F955">
        <v>0.9</v>
      </c>
      <c r="G955">
        <v>2.5299999999999998</v>
      </c>
      <c r="H955">
        <v>0.2</v>
      </c>
      <c r="I955" t="s">
        <v>19</v>
      </c>
      <c r="J955">
        <v>4</v>
      </c>
      <c r="K955">
        <v>10</v>
      </c>
      <c r="L955">
        <v>6</v>
      </c>
      <c r="M955">
        <v>0</v>
      </c>
    </row>
    <row r="956" spans="1:13" x14ac:dyDescent="0.35">
      <c r="A956">
        <v>19</v>
      </c>
      <c r="B956" t="s">
        <v>13</v>
      </c>
      <c r="C956">
        <v>5.5</v>
      </c>
      <c r="D956" t="s">
        <v>17</v>
      </c>
      <c r="E956">
        <v>5.0999999999999996</v>
      </c>
      <c r="F956">
        <v>2.7</v>
      </c>
      <c r="G956">
        <v>2.56</v>
      </c>
      <c r="H956">
        <v>1.4</v>
      </c>
      <c r="I956" t="s">
        <v>15</v>
      </c>
      <c r="J956">
        <v>2</v>
      </c>
      <c r="K956">
        <v>3</v>
      </c>
      <c r="L956">
        <v>7</v>
      </c>
      <c r="M956">
        <v>0</v>
      </c>
    </row>
    <row r="957" spans="1:13" x14ac:dyDescent="0.35">
      <c r="A957">
        <v>15</v>
      </c>
      <c r="B957" t="s">
        <v>13</v>
      </c>
      <c r="C957">
        <v>3.8</v>
      </c>
      <c r="D957" t="s">
        <v>20</v>
      </c>
      <c r="E957">
        <v>8.3000000000000007</v>
      </c>
      <c r="F957">
        <v>2.6</v>
      </c>
      <c r="G957">
        <v>3.19</v>
      </c>
      <c r="H957">
        <v>2</v>
      </c>
      <c r="I957" t="s">
        <v>19</v>
      </c>
      <c r="J957">
        <v>1</v>
      </c>
      <c r="K957">
        <v>2</v>
      </c>
      <c r="L957">
        <v>2</v>
      </c>
      <c r="M957">
        <v>0</v>
      </c>
    </row>
    <row r="958" spans="1:13" x14ac:dyDescent="0.35">
      <c r="A958">
        <v>17</v>
      </c>
      <c r="B958" t="s">
        <v>13</v>
      </c>
      <c r="C958">
        <v>5.7</v>
      </c>
      <c r="D958" t="s">
        <v>17</v>
      </c>
      <c r="E958">
        <v>8.6999999999999993</v>
      </c>
      <c r="F958">
        <v>2</v>
      </c>
      <c r="G958">
        <v>3.14</v>
      </c>
      <c r="H958">
        <v>1.7</v>
      </c>
      <c r="I958" t="s">
        <v>15</v>
      </c>
      <c r="J958">
        <v>1</v>
      </c>
      <c r="K958">
        <v>9</v>
      </c>
      <c r="L958">
        <v>8</v>
      </c>
      <c r="M958">
        <v>0</v>
      </c>
    </row>
    <row r="959" spans="1:13" x14ac:dyDescent="0.35">
      <c r="A959">
        <v>13</v>
      </c>
      <c r="B959" t="s">
        <v>16</v>
      </c>
      <c r="C959">
        <v>4.7</v>
      </c>
      <c r="D959" t="s">
        <v>17</v>
      </c>
      <c r="E959">
        <v>8</v>
      </c>
      <c r="F959">
        <v>1.1000000000000001</v>
      </c>
      <c r="G959">
        <v>2.37</v>
      </c>
      <c r="H959">
        <v>0.2</v>
      </c>
      <c r="I959" t="s">
        <v>15</v>
      </c>
      <c r="J959">
        <v>5</v>
      </c>
      <c r="K959">
        <v>10</v>
      </c>
      <c r="L959">
        <v>6</v>
      </c>
      <c r="M959">
        <v>0</v>
      </c>
    </row>
    <row r="960" spans="1:13" x14ac:dyDescent="0.35">
      <c r="A960">
        <v>17</v>
      </c>
      <c r="B960" t="s">
        <v>16</v>
      </c>
      <c r="C960">
        <v>4</v>
      </c>
      <c r="D960" t="s">
        <v>14</v>
      </c>
      <c r="E960">
        <v>6.7</v>
      </c>
      <c r="F960">
        <v>0.6</v>
      </c>
      <c r="G960">
        <v>2.5099999999999998</v>
      </c>
      <c r="H960">
        <v>1.5</v>
      </c>
      <c r="I960" t="s">
        <v>18</v>
      </c>
      <c r="J960">
        <v>9</v>
      </c>
      <c r="K960">
        <v>8</v>
      </c>
      <c r="L960">
        <v>5</v>
      </c>
      <c r="M960">
        <v>0</v>
      </c>
    </row>
    <row r="961" spans="1:13" x14ac:dyDescent="0.35">
      <c r="A961">
        <v>16</v>
      </c>
      <c r="B961" t="s">
        <v>13</v>
      </c>
      <c r="C961">
        <v>5.3</v>
      </c>
      <c r="D961" t="s">
        <v>17</v>
      </c>
      <c r="E961">
        <v>6.8</v>
      </c>
      <c r="F961">
        <v>0.7</v>
      </c>
      <c r="G961">
        <v>3.9</v>
      </c>
      <c r="H961">
        <v>1.5</v>
      </c>
      <c r="I961" t="s">
        <v>15</v>
      </c>
      <c r="J961">
        <v>5</v>
      </c>
      <c r="K961">
        <v>8</v>
      </c>
      <c r="L961">
        <v>3</v>
      </c>
      <c r="M961">
        <v>0</v>
      </c>
    </row>
    <row r="962" spans="1:13" x14ac:dyDescent="0.35">
      <c r="A962">
        <v>17</v>
      </c>
      <c r="B962" t="s">
        <v>13</v>
      </c>
      <c r="C962">
        <v>3.8</v>
      </c>
      <c r="D962" t="s">
        <v>14</v>
      </c>
      <c r="E962">
        <v>4.7</v>
      </c>
      <c r="F962">
        <v>1.2</v>
      </c>
      <c r="G962">
        <v>3.7</v>
      </c>
      <c r="H962">
        <v>1.4</v>
      </c>
      <c r="I962" t="s">
        <v>18</v>
      </c>
      <c r="J962">
        <v>2</v>
      </c>
      <c r="K962">
        <v>2</v>
      </c>
      <c r="L962">
        <v>5</v>
      </c>
      <c r="M962">
        <v>0</v>
      </c>
    </row>
    <row r="963" spans="1:13" x14ac:dyDescent="0.35">
      <c r="A963">
        <v>16</v>
      </c>
      <c r="B963" t="s">
        <v>16</v>
      </c>
      <c r="C963">
        <v>6</v>
      </c>
      <c r="D963" t="s">
        <v>20</v>
      </c>
      <c r="E963">
        <v>4.0999999999999996</v>
      </c>
      <c r="F963">
        <v>2.4</v>
      </c>
      <c r="G963">
        <v>2.61</v>
      </c>
      <c r="H963">
        <v>1.1000000000000001</v>
      </c>
      <c r="I963" t="s">
        <v>18</v>
      </c>
      <c r="J963">
        <v>1</v>
      </c>
      <c r="K963">
        <v>6</v>
      </c>
      <c r="L963">
        <v>3</v>
      </c>
      <c r="M963">
        <v>0</v>
      </c>
    </row>
    <row r="964" spans="1:13" x14ac:dyDescent="0.35">
      <c r="A964">
        <v>15</v>
      </c>
      <c r="B964" t="s">
        <v>13</v>
      </c>
      <c r="C964">
        <v>2.2000000000000002</v>
      </c>
      <c r="D964" t="s">
        <v>20</v>
      </c>
      <c r="E964">
        <v>4.5</v>
      </c>
      <c r="F964">
        <v>1.3</v>
      </c>
      <c r="G964">
        <v>2.63</v>
      </c>
      <c r="H964">
        <v>1.7</v>
      </c>
      <c r="I964" t="s">
        <v>15</v>
      </c>
      <c r="J964">
        <v>10</v>
      </c>
      <c r="K964">
        <v>2</v>
      </c>
      <c r="L964">
        <v>6</v>
      </c>
      <c r="M964">
        <v>0</v>
      </c>
    </row>
    <row r="965" spans="1:13" x14ac:dyDescent="0.35">
      <c r="A965">
        <v>18</v>
      </c>
      <c r="B965" t="s">
        <v>13</v>
      </c>
      <c r="C965">
        <v>4.3</v>
      </c>
      <c r="D965" t="s">
        <v>17</v>
      </c>
      <c r="E965">
        <v>8.4</v>
      </c>
      <c r="F965">
        <v>2.1</v>
      </c>
      <c r="G965">
        <v>2.69</v>
      </c>
      <c r="H965">
        <v>0.2</v>
      </c>
      <c r="I965" t="s">
        <v>15</v>
      </c>
      <c r="J965">
        <v>1</v>
      </c>
      <c r="K965">
        <v>10</v>
      </c>
      <c r="L965">
        <v>8</v>
      </c>
      <c r="M965">
        <v>0</v>
      </c>
    </row>
    <row r="966" spans="1:13" x14ac:dyDescent="0.35">
      <c r="A966">
        <v>19</v>
      </c>
      <c r="B966" t="s">
        <v>16</v>
      </c>
      <c r="C966">
        <v>7.5</v>
      </c>
      <c r="D966" t="s">
        <v>17</v>
      </c>
      <c r="E966">
        <v>4.5</v>
      </c>
      <c r="F966">
        <v>2.7</v>
      </c>
      <c r="G966">
        <v>2.41</v>
      </c>
      <c r="H966">
        <v>1</v>
      </c>
      <c r="I966" t="s">
        <v>18</v>
      </c>
      <c r="J966">
        <v>3</v>
      </c>
      <c r="K966">
        <v>2</v>
      </c>
      <c r="L966">
        <v>6</v>
      </c>
      <c r="M966">
        <v>0</v>
      </c>
    </row>
    <row r="967" spans="1:13" x14ac:dyDescent="0.35">
      <c r="A967">
        <v>14</v>
      </c>
      <c r="B967" t="s">
        <v>13</v>
      </c>
      <c r="C967">
        <v>5.3</v>
      </c>
      <c r="D967" t="s">
        <v>14</v>
      </c>
      <c r="E967">
        <v>6.8</v>
      </c>
      <c r="F967">
        <v>2.9</v>
      </c>
      <c r="G967">
        <v>2.1800000000000002</v>
      </c>
      <c r="H967">
        <v>0.8</v>
      </c>
      <c r="I967" t="s">
        <v>19</v>
      </c>
      <c r="J967">
        <v>10</v>
      </c>
      <c r="K967">
        <v>1</v>
      </c>
      <c r="L967">
        <v>6</v>
      </c>
      <c r="M967">
        <v>0</v>
      </c>
    </row>
    <row r="968" spans="1:13" x14ac:dyDescent="0.35">
      <c r="A968">
        <v>14</v>
      </c>
      <c r="B968" t="s">
        <v>16</v>
      </c>
      <c r="C968">
        <v>7</v>
      </c>
      <c r="D968" t="s">
        <v>14</v>
      </c>
      <c r="E968">
        <v>6.9</v>
      </c>
      <c r="F968">
        <v>2.1</v>
      </c>
      <c r="G968">
        <v>3.42</v>
      </c>
      <c r="H968">
        <v>1.1000000000000001</v>
      </c>
      <c r="I968" t="s">
        <v>18</v>
      </c>
      <c r="J968">
        <v>10</v>
      </c>
      <c r="K968">
        <v>3</v>
      </c>
      <c r="L968">
        <v>6</v>
      </c>
      <c r="M968">
        <v>0</v>
      </c>
    </row>
    <row r="969" spans="1:13" x14ac:dyDescent="0.35">
      <c r="A969">
        <v>16</v>
      </c>
      <c r="B969" t="s">
        <v>16</v>
      </c>
      <c r="C969">
        <v>2.1</v>
      </c>
      <c r="D969" t="s">
        <v>20</v>
      </c>
      <c r="E969">
        <v>4.5999999999999996</v>
      </c>
      <c r="F969">
        <v>2</v>
      </c>
      <c r="G969">
        <v>2.5499999999999998</v>
      </c>
      <c r="H969">
        <v>1.8</v>
      </c>
      <c r="I969" t="s">
        <v>18</v>
      </c>
      <c r="J969">
        <v>5</v>
      </c>
      <c r="K969">
        <v>4</v>
      </c>
      <c r="L969">
        <v>4</v>
      </c>
      <c r="M969">
        <v>0</v>
      </c>
    </row>
    <row r="970" spans="1:13" x14ac:dyDescent="0.35">
      <c r="A970">
        <v>18</v>
      </c>
      <c r="B970" t="s">
        <v>16</v>
      </c>
      <c r="C970">
        <v>7.3</v>
      </c>
      <c r="D970" t="s">
        <v>20</v>
      </c>
      <c r="E970">
        <v>7.3</v>
      </c>
      <c r="F970">
        <v>2.8</v>
      </c>
      <c r="G970">
        <v>3.3</v>
      </c>
      <c r="H970">
        <v>0.4</v>
      </c>
      <c r="I970" t="s">
        <v>15</v>
      </c>
      <c r="J970">
        <v>1</v>
      </c>
      <c r="K970">
        <v>8</v>
      </c>
      <c r="L970">
        <v>1</v>
      </c>
      <c r="M970">
        <v>0</v>
      </c>
    </row>
    <row r="971" spans="1:13" x14ac:dyDescent="0.35">
      <c r="A971">
        <v>17</v>
      </c>
      <c r="B971" t="s">
        <v>16</v>
      </c>
      <c r="C971">
        <v>2.6</v>
      </c>
      <c r="D971" t="s">
        <v>14</v>
      </c>
      <c r="E971">
        <v>6.5</v>
      </c>
      <c r="F971">
        <v>1.5</v>
      </c>
      <c r="G971">
        <v>3.8</v>
      </c>
      <c r="H971">
        <v>0.2</v>
      </c>
      <c r="I971" t="s">
        <v>18</v>
      </c>
      <c r="J971">
        <v>8</v>
      </c>
      <c r="K971">
        <v>6</v>
      </c>
      <c r="L971">
        <v>1</v>
      </c>
      <c r="M971">
        <v>0</v>
      </c>
    </row>
    <row r="972" spans="1:13" x14ac:dyDescent="0.35">
      <c r="A972">
        <v>17</v>
      </c>
      <c r="B972" t="s">
        <v>13</v>
      </c>
      <c r="C972">
        <v>5.4</v>
      </c>
      <c r="D972" t="s">
        <v>20</v>
      </c>
      <c r="E972">
        <v>4.9000000000000004</v>
      </c>
      <c r="F972">
        <v>1.5</v>
      </c>
      <c r="G972">
        <v>3.4</v>
      </c>
      <c r="H972">
        <v>0</v>
      </c>
      <c r="I972" t="s">
        <v>19</v>
      </c>
      <c r="J972">
        <v>2</v>
      </c>
      <c r="K972">
        <v>2</v>
      </c>
      <c r="L972">
        <v>1</v>
      </c>
      <c r="M972">
        <v>0</v>
      </c>
    </row>
    <row r="973" spans="1:13" x14ac:dyDescent="0.35">
      <c r="A973">
        <v>15</v>
      </c>
      <c r="B973" t="s">
        <v>13</v>
      </c>
      <c r="C973">
        <v>6.9</v>
      </c>
      <c r="D973" t="s">
        <v>14</v>
      </c>
      <c r="E973">
        <v>6.2</v>
      </c>
      <c r="F973">
        <v>0.6</v>
      </c>
      <c r="G973">
        <v>2.37</v>
      </c>
      <c r="H973">
        <v>0.2</v>
      </c>
      <c r="I973" t="s">
        <v>15</v>
      </c>
      <c r="J973">
        <v>3</v>
      </c>
      <c r="K973">
        <v>1</v>
      </c>
      <c r="L973">
        <v>4</v>
      </c>
      <c r="M973">
        <v>0</v>
      </c>
    </row>
    <row r="974" spans="1:13" x14ac:dyDescent="0.35">
      <c r="A974">
        <v>19</v>
      </c>
      <c r="B974" t="s">
        <v>16</v>
      </c>
      <c r="C974">
        <v>3</v>
      </c>
      <c r="D974" t="s">
        <v>14</v>
      </c>
      <c r="E974">
        <v>5.5</v>
      </c>
      <c r="F974">
        <v>2.1</v>
      </c>
      <c r="G974">
        <v>3.08</v>
      </c>
      <c r="H974">
        <v>0.7</v>
      </c>
      <c r="I974" t="s">
        <v>15</v>
      </c>
      <c r="J974">
        <v>9</v>
      </c>
      <c r="K974">
        <v>3</v>
      </c>
      <c r="L974">
        <v>5</v>
      </c>
      <c r="M974">
        <v>0</v>
      </c>
    </row>
    <row r="975" spans="1:13" x14ac:dyDescent="0.35">
      <c r="A975">
        <v>18</v>
      </c>
      <c r="B975" t="s">
        <v>13</v>
      </c>
      <c r="C975">
        <v>1.3</v>
      </c>
      <c r="D975" t="s">
        <v>14</v>
      </c>
      <c r="E975">
        <v>4.5</v>
      </c>
      <c r="F975">
        <v>2.2999999999999998</v>
      </c>
      <c r="G975">
        <v>2.2799999999999998</v>
      </c>
      <c r="H975">
        <v>1</v>
      </c>
      <c r="I975" t="s">
        <v>15</v>
      </c>
      <c r="J975">
        <v>2</v>
      </c>
      <c r="K975">
        <v>7</v>
      </c>
      <c r="L975">
        <v>8</v>
      </c>
      <c r="M975">
        <v>0</v>
      </c>
    </row>
    <row r="976" spans="1:13" x14ac:dyDescent="0.35">
      <c r="A976">
        <v>15</v>
      </c>
      <c r="B976" t="s">
        <v>13</v>
      </c>
      <c r="C976">
        <v>6.2</v>
      </c>
      <c r="D976" t="s">
        <v>20</v>
      </c>
      <c r="E976">
        <v>6.4</v>
      </c>
      <c r="F976">
        <v>1.4</v>
      </c>
      <c r="G976">
        <v>3.34</v>
      </c>
      <c r="H976">
        <v>0.9</v>
      </c>
      <c r="I976" t="s">
        <v>18</v>
      </c>
      <c r="J976">
        <v>8</v>
      </c>
      <c r="K976">
        <v>9</v>
      </c>
      <c r="L976">
        <v>9</v>
      </c>
      <c r="M976">
        <v>0</v>
      </c>
    </row>
    <row r="977" spans="1:13" x14ac:dyDescent="0.35">
      <c r="A977">
        <v>15</v>
      </c>
      <c r="B977" t="s">
        <v>13</v>
      </c>
      <c r="C977">
        <v>3.6</v>
      </c>
      <c r="D977" t="s">
        <v>14</v>
      </c>
      <c r="E977">
        <v>5.5</v>
      </c>
      <c r="F977">
        <v>1.2</v>
      </c>
      <c r="G977">
        <v>2.4900000000000002</v>
      </c>
      <c r="H977">
        <v>1.9</v>
      </c>
      <c r="I977" t="s">
        <v>15</v>
      </c>
      <c r="J977">
        <v>1</v>
      </c>
      <c r="K977">
        <v>4</v>
      </c>
      <c r="L977">
        <v>9</v>
      </c>
      <c r="M977">
        <v>0</v>
      </c>
    </row>
    <row r="978" spans="1:13" x14ac:dyDescent="0.35">
      <c r="A978">
        <v>18</v>
      </c>
      <c r="B978" t="s">
        <v>16</v>
      </c>
      <c r="C978">
        <v>6.5</v>
      </c>
      <c r="D978" t="s">
        <v>20</v>
      </c>
      <c r="E978">
        <v>6.7</v>
      </c>
      <c r="F978">
        <v>2.5</v>
      </c>
      <c r="G978">
        <v>2.98</v>
      </c>
      <c r="H978">
        <v>0.1</v>
      </c>
      <c r="I978" t="s">
        <v>18</v>
      </c>
      <c r="J978">
        <v>9</v>
      </c>
      <c r="K978">
        <v>7</v>
      </c>
      <c r="L978">
        <v>7</v>
      </c>
      <c r="M978">
        <v>0</v>
      </c>
    </row>
    <row r="979" spans="1:13" x14ac:dyDescent="0.35">
      <c r="A979">
        <v>17</v>
      </c>
      <c r="B979" t="s">
        <v>16</v>
      </c>
      <c r="C979">
        <v>5.3</v>
      </c>
      <c r="D979" t="s">
        <v>14</v>
      </c>
      <c r="E979">
        <v>6.6</v>
      </c>
      <c r="F979">
        <v>0.6</v>
      </c>
      <c r="G979">
        <v>3.04</v>
      </c>
      <c r="H979">
        <v>0.1</v>
      </c>
      <c r="I979" t="s">
        <v>18</v>
      </c>
      <c r="J979">
        <v>3</v>
      </c>
      <c r="K979">
        <v>7</v>
      </c>
      <c r="L979">
        <v>1</v>
      </c>
      <c r="M979">
        <v>0</v>
      </c>
    </row>
    <row r="980" spans="1:13" x14ac:dyDescent="0.35">
      <c r="A980">
        <v>16</v>
      </c>
      <c r="B980" t="s">
        <v>13</v>
      </c>
      <c r="C980">
        <v>4.5999999999999996</v>
      </c>
      <c r="D980" t="s">
        <v>20</v>
      </c>
      <c r="E980">
        <v>5.3</v>
      </c>
      <c r="F980">
        <v>1.3</v>
      </c>
      <c r="G980">
        <v>3.76</v>
      </c>
      <c r="H980">
        <v>0.5</v>
      </c>
      <c r="I980" t="s">
        <v>19</v>
      </c>
      <c r="J980">
        <v>3</v>
      </c>
      <c r="K980">
        <v>8</v>
      </c>
      <c r="L980">
        <v>8</v>
      </c>
      <c r="M980">
        <v>0</v>
      </c>
    </row>
    <row r="981" spans="1:13" x14ac:dyDescent="0.35">
      <c r="A981">
        <v>18</v>
      </c>
      <c r="B981" t="s">
        <v>13</v>
      </c>
      <c r="C981">
        <v>7.7</v>
      </c>
      <c r="D981" t="s">
        <v>20</v>
      </c>
      <c r="E981">
        <v>6.6</v>
      </c>
      <c r="F981">
        <v>1.6</v>
      </c>
      <c r="G981">
        <v>4</v>
      </c>
      <c r="H981">
        <v>1.9</v>
      </c>
      <c r="I981" t="s">
        <v>18</v>
      </c>
      <c r="J981">
        <v>3</v>
      </c>
      <c r="K981">
        <v>3</v>
      </c>
      <c r="L981">
        <v>9</v>
      </c>
      <c r="M981">
        <v>0</v>
      </c>
    </row>
    <row r="982" spans="1:13" x14ac:dyDescent="0.35">
      <c r="A982">
        <v>19</v>
      </c>
      <c r="B982" t="s">
        <v>13</v>
      </c>
      <c r="C982">
        <v>7.1</v>
      </c>
      <c r="D982" t="s">
        <v>17</v>
      </c>
      <c r="E982">
        <v>8.4</v>
      </c>
      <c r="F982">
        <v>1.8</v>
      </c>
      <c r="G982">
        <v>2.93</v>
      </c>
      <c r="H982">
        <v>1.3</v>
      </c>
      <c r="I982" t="s">
        <v>19</v>
      </c>
      <c r="J982">
        <v>1</v>
      </c>
      <c r="K982">
        <v>6</v>
      </c>
      <c r="L982">
        <v>8</v>
      </c>
      <c r="M982">
        <v>0</v>
      </c>
    </row>
    <row r="983" spans="1:13" x14ac:dyDescent="0.35">
      <c r="A983">
        <v>16</v>
      </c>
      <c r="B983" t="s">
        <v>13</v>
      </c>
      <c r="C983">
        <v>3.9</v>
      </c>
      <c r="D983" t="s">
        <v>17</v>
      </c>
      <c r="E983">
        <v>7.5</v>
      </c>
      <c r="F983">
        <v>2.1</v>
      </c>
      <c r="G983">
        <v>3.24</v>
      </c>
      <c r="H983">
        <v>0.9</v>
      </c>
      <c r="I983" t="s">
        <v>15</v>
      </c>
      <c r="J983">
        <v>4</v>
      </c>
      <c r="K983">
        <v>3</v>
      </c>
      <c r="L983">
        <v>2</v>
      </c>
      <c r="M983">
        <v>0</v>
      </c>
    </row>
    <row r="984" spans="1:13" x14ac:dyDescent="0.35">
      <c r="A984">
        <v>19</v>
      </c>
      <c r="B984" t="s">
        <v>16</v>
      </c>
      <c r="C984">
        <v>7.5</v>
      </c>
      <c r="D984" t="s">
        <v>17</v>
      </c>
      <c r="E984">
        <v>8.6</v>
      </c>
      <c r="F984">
        <v>0.9</v>
      </c>
      <c r="G984">
        <v>2.25</v>
      </c>
      <c r="H984">
        <v>1.6</v>
      </c>
      <c r="I984" t="s">
        <v>18</v>
      </c>
      <c r="J984">
        <v>9</v>
      </c>
      <c r="K984">
        <v>8</v>
      </c>
      <c r="L984">
        <v>4</v>
      </c>
      <c r="M984">
        <v>0</v>
      </c>
    </row>
    <row r="985" spans="1:13" x14ac:dyDescent="0.35">
      <c r="A985">
        <v>18</v>
      </c>
      <c r="B985" t="s">
        <v>13</v>
      </c>
      <c r="C985">
        <v>5.8</v>
      </c>
      <c r="D985" t="s">
        <v>17</v>
      </c>
      <c r="E985">
        <v>7.5</v>
      </c>
      <c r="F985">
        <v>2.2000000000000002</v>
      </c>
      <c r="G985">
        <v>3.65</v>
      </c>
      <c r="H985">
        <v>1.4</v>
      </c>
      <c r="I985" t="s">
        <v>19</v>
      </c>
      <c r="J985">
        <v>4</v>
      </c>
      <c r="K985">
        <v>4</v>
      </c>
      <c r="L985">
        <v>8</v>
      </c>
      <c r="M985">
        <v>0</v>
      </c>
    </row>
    <row r="986" spans="1:13" x14ac:dyDescent="0.35">
      <c r="A986">
        <v>17</v>
      </c>
      <c r="B986" t="s">
        <v>16</v>
      </c>
      <c r="C986">
        <v>7.6</v>
      </c>
      <c r="D986" t="s">
        <v>14</v>
      </c>
      <c r="E986">
        <v>7.3</v>
      </c>
      <c r="F986">
        <v>2.9</v>
      </c>
      <c r="G986">
        <v>2.99</v>
      </c>
      <c r="H986">
        <v>1.2</v>
      </c>
      <c r="I986" t="s">
        <v>18</v>
      </c>
      <c r="J986">
        <v>4</v>
      </c>
      <c r="K986">
        <v>8</v>
      </c>
      <c r="L986">
        <v>10</v>
      </c>
      <c r="M986">
        <v>0</v>
      </c>
    </row>
    <row r="987" spans="1:13" x14ac:dyDescent="0.35">
      <c r="A987">
        <v>19</v>
      </c>
      <c r="B987" t="s">
        <v>16</v>
      </c>
      <c r="C987">
        <v>4.4000000000000004</v>
      </c>
      <c r="D987" t="s">
        <v>14</v>
      </c>
      <c r="E987">
        <v>7.4</v>
      </c>
      <c r="F987">
        <v>2.8</v>
      </c>
      <c r="G987">
        <v>3.28</v>
      </c>
      <c r="H987">
        <v>1.5</v>
      </c>
      <c r="I987" t="s">
        <v>19</v>
      </c>
      <c r="J987">
        <v>7</v>
      </c>
      <c r="K987">
        <v>5</v>
      </c>
      <c r="L987">
        <v>4</v>
      </c>
      <c r="M987">
        <v>0</v>
      </c>
    </row>
    <row r="988" spans="1:13" x14ac:dyDescent="0.35">
      <c r="A988">
        <v>19</v>
      </c>
      <c r="B988" t="s">
        <v>13</v>
      </c>
      <c r="C988">
        <v>4.5999999999999996</v>
      </c>
      <c r="D988" t="s">
        <v>20</v>
      </c>
      <c r="E988">
        <v>4.5999999999999996</v>
      </c>
      <c r="F988">
        <v>2.5</v>
      </c>
      <c r="G988">
        <v>2.4</v>
      </c>
      <c r="H988">
        <v>1</v>
      </c>
      <c r="I988" t="s">
        <v>18</v>
      </c>
      <c r="J988">
        <v>10</v>
      </c>
      <c r="K988">
        <v>10</v>
      </c>
      <c r="L988">
        <v>8</v>
      </c>
      <c r="M988">
        <v>0</v>
      </c>
    </row>
    <row r="989" spans="1:13" x14ac:dyDescent="0.35">
      <c r="A989">
        <v>18</v>
      </c>
      <c r="B989" t="s">
        <v>16</v>
      </c>
      <c r="C989">
        <v>7</v>
      </c>
      <c r="D989" t="s">
        <v>20</v>
      </c>
      <c r="E989">
        <v>8.9</v>
      </c>
      <c r="F989">
        <v>0.7</v>
      </c>
      <c r="G989">
        <v>2.79</v>
      </c>
      <c r="H989">
        <v>0.4</v>
      </c>
      <c r="I989" t="s">
        <v>19</v>
      </c>
      <c r="J989">
        <v>2</v>
      </c>
      <c r="K989">
        <v>10</v>
      </c>
      <c r="L989">
        <v>8</v>
      </c>
      <c r="M989">
        <v>0</v>
      </c>
    </row>
    <row r="990" spans="1:13" x14ac:dyDescent="0.35">
      <c r="A990">
        <v>16</v>
      </c>
      <c r="B990" t="s">
        <v>16</v>
      </c>
      <c r="C990">
        <v>3.6</v>
      </c>
      <c r="D990" t="s">
        <v>17</v>
      </c>
      <c r="E990">
        <v>8.8000000000000007</v>
      </c>
      <c r="F990">
        <v>1.2</v>
      </c>
      <c r="G990">
        <v>2.3199999999999998</v>
      </c>
      <c r="H990">
        <v>0.5</v>
      </c>
      <c r="I990" t="s">
        <v>15</v>
      </c>
      <c r="J990">
        <v>2</v>
      </c>
      <c r="K990">
        <v>4</v>
      </c>
      <c r="L990">
        <v>5</v>
      </c>
      <c r="M990">
        <v>0</v>
      </c>
    </row>
    <row r="991" spans="1:13" x14ac:dyDescent="0.35">
      <c r="A991">
        <v>15</v>
      </c>
      <c r="B991" t="s">
        <v>16</v>
      </c>
      <c r="C991">
        <v>3</v>
      </c>
      <c r="D991" t="s">
        <v>17</v>
      </c>
      <c r="E991">
        <v>6.6</v>
      </c>
      <c r="F991">
        <v>0.9</v>
      </c>
      <c r="G991">
        <v>2.69</v>
      </c>
      <c r="H991">
        <v>1.8</v>
      </c>
      <c r="I991" t="s">
        <v>19</v>
      </c>
      <c r="J991">
        <v>1</v>
      </c>
      <c r="K991">
        <v>2</v>
      </c>
      <c r="L991">
        <v>2</v>
      </c>
      <c r="M991">
        <v>0</v>
      </c>
    </row>
    <row r="992" spans="1:13" x14ac:dyDescent="0.35">
      <c r="A992">
        <v>19</v>
      </c>
      <c r="B992" t="s">
        <v>16</v>
      </c>
      <c r="C992">
        <v>7.2</v>
      </c>
      <c r="D992" t="s">
        <v>14</v>
      </c>
      <c r="E992">
        <v>6.4</v>
      </c>
      <c r="F992">
        <v>2.9</v>
      </c>
      <c r="G992">
        <v>3.82</v>
      </c>
      <c r="H992">
        <v>1</v>
      </c>
      <c r="I992" t="s">
        <v>19</v>
      </c>
      <c r="J992">
        <v>5</v>
      </c>
      <c r="K992">
        <v>4</v>
      </c>
      <c r="L992">
        <v>5</v>
      </c>
      <c r="M992">
        <v>0</v>
      </c>
    </row>
    <row r="993" spans="1:13" x14ac:dyDescent="0.35">
      <c r="A993">
        <v>15</v>
      </c>
      <c r="B993" t="s">
        <v>16</v>
      </c>
      <c r="C993">
        <v>5.6</v>
      </c>
      <c r="D993" t="s">
        <v>20</v>
      </c>
      <c r="E993">
        <v>5.9</v>
      </c>
      <c r="F993">
        <v>2</v>
      </c>
      <c r="G993">
        <v>2.97</v>
      </c>
      <c r="H993">
        <v>0.6</v>
      </c>
      <c r="I993" t="s">
        <v>15</v>
      </c>
      <c r="J993">
        <v>9</v>
      </c>
      <c r="K993">
        <v>3</v>
      </c>
      <c r="L993">
        <v>3</v>
      </c>
      <c r="M993">
        <v>0</v>
      </c>
    </row>
    <row r="994" spans="1:13" x14ac:dyDescent="0.35">
      <c r="A994">
        <v>14</v>
      </c>
      <c r="B994" t="s">
        <v>16</v>
      </c>
      <c r="C994">
        <v>2</v>
      </c>
      <c r="D994" t="s">
        <v>14</v>
      </c>
      <c r="E994">
        <v>4.7</v>
      </c>
      <c r="F994">
        <v>1.1000000000000001</v>
      </c>
      <c r="G994">
        <v>2.5099999999999998</v>
      </c>
      <c r="H994">
        <v>0</v>
      </c>
      <c r="I994" t="s">
        <v>18</v>
      </c>
      <c r="J994">
        <v>2</v>
      </c>
      <c r="K994">
        <v>9</v>
      </c>
      <c r="L994">
        <v>4</v>
      </c>
      <c r="M994">
        <v>0</v>
      </c>
    </row>
    <row r="995" spans="1:13" x14ac:dyDescent="0.35">
      <c r="A995">
        <v>14</v>
      </c>
      <c r="B995" t="s">
        <v>16</v>
      </c>
      <c r="C995">
        <v>4.4000000000000004</v>
      </c>
      <c r="D995" t="s">
        <v>17</v>
      </c>
      <c r="E995">
        <v>5.0999999999999996</v>
      </c>
      <c r="F995">
        <v>2.8</v>
      </c>
      <c r="G995">
        <v>2.2200000000000002</v>
      </c>
      <c r="H995">
        <v>0.5</v>
      </c>
      <c r="I995" t="s">
        <v>18</v>
      </c>
      <c r="J995">
        <v>5</v>
      </c>
      <c r="K995">
        <v>4</v>
      </c>
      <c r="L995">
        <v>1</v>
      </c>
      <c r="M995">
        <v>0</v>
      </c>
    </row>
    <row r="996" spans="1:13" x14ac:dyDescent="0.35">
      <c r="A996">
        <v>13</v>
      </c>
      <c r="B996" t="s">
        <v>13</v>
      </c>
      <c r="C996">
        <v>3.5</v>
      </c>
      <c r="D996" t="s">
        <v>17</v>
      </c>
      <c r="E996">
        <v>5.8</v>
      </c>
      <c r="F996">
        <v>1.2</v>
      </c>
      <c r="G996">
        <v>2.44</v>
      </c>
      <c r="H996">
        <v>1.5</v>
      </c>
      <c r="I996" t="s">
        <v>19</v>
      </c>
      <c r="J996">
        <v>4</v>
      </c>
      <c r="K996">
        <v>1</v>
      </c>
      <c r="L996">
        <v>8</v>
      </c>
      <c r="M996">
        <v>0</v>
      </c>
    </row>
    <row r="997" spans="1:13" x14ac:dyDescent="0.35">
      <c r="A997">
        <v>13</v>
      </c>
      <c r="B997" t="s">
        <v>13</v>
      </c>
      <c r="C997">
        <v>6.5</v>
      </c>
      <c r="D997" t="s">
        <v>14</v>
      </c>
      <c r="E997">
        <v>6.5</v>
      </c>
      <c r="F997">
        <v>1.5</v>
      </c>
      <c r="G997">
        <v>2.0499999999999998</v>
      </c>
      <c r="H997">
        <v>0.5</v>
      </c>
      <c r="I997" t="s">
        <v>15</v>
      </c>
      <c r="J997">
        <v>3</v>
      </c>
      <c r="K997">
        <v>9</v>
      </c>
      <c r="L997">
        <v>4</v>
      </c>
      <c r="M997">
        <v>0</v>
      </c>
    </row>
    <row r="998" spans="1:13" x14ac:dyDescent="0.35">
      <c r="A998">
        <v>14</v>
      </c>
      <c r="B998" t="s">
        <v>13</v>
      </c>
      <c r="C998">
        <v>4.4000000000000004</v>
      </c>
      <c r="D998" t="s">
        <v>14</v>
      </c>
      <c r="E998">
        <v>8.8000000000000007</v>
      </c>
      <c r="F998">
        <v>2.2999999999999998</v>
      </c>
      <c r="G998">
        <v>2.73</v>
      </c>
      <c r="H998">
        <v>0.3</v>
      </c>
      <c r="I998" t="s">
        <v>19</v>
      </c>
      <c r="J998">
        <v>9</v>
      </c>
      <c r="K998">
        <v>2</v>
      </c>
      <c r="L998">
        <v>2</v>
      </c>
      <c r="M998">
        <v>0</v>
      </c>
    </row>
    <row r="999" spans="1:13" x14ac:dyDescent="0.35">
      <c r="A999">
        <v>17</v>
      </c>
      <c r="B999" t="s">
        <v>16</v>
      </c>
      <c r="C999">
        <v>3.1</v>
      </c>
      <c r="D999" t="s">
        <v>17</v>
      </c>
      <c r="E999">
        <v>4.2</v>
      </c>
      <c r="F999">
        <v>0.8</v>
      </c>
      <c r="G999">
        <v>2.2799999999999998</v>
      </c>
      <c r="H999">
        <v>1.6</v>
      </c>
      <c r="I999" t="s">
        <v>19</v>
      </c>
      <c r="J999">
        <v>4</v>
      </c>
      <c r="K999">
        <v>9</v>
      </c>
      <c r="L999">
        <v>6</v>
      </c>
      <c r="M999">
        <v>0</v>
      </c>
    </row>
    <row r="1000" spans="1:13" x14ac:dyDescent="0.35">
      <c r="A1000">
        <v>15</v>
      </c>
      <c r="B1000" t="s">
        <v>13</v>
      </c>
      <c r="C1000">
        <v>7.8</v>
      </c>
      <c r="D1000" t="s">
        <v>20</v>
      </c>
      <c r="E1000">
        <v>4.2</v>
      </c>
      <c r="F1000">
        <v>2.1</v>
      </c>
      <c r="G1000">
        <v>3.42</v>
      </c>
      <c r="H1000">
        <v>0</v>
      </c>
      <c r="I1000" t="s">
        <v>15</v>
      </c>
      <c r="J1000">
        <v>10</v>
      </c>
      <c r="K1000">
        <v>7</v>
      </c>
      <c r="L1000">
        <v>9</v>
      </c>
      <c r="M1000">
        <v>1</v>
      </c>
    </row>
    <row r="1001" spans="1:13" x14ac:dyDescent="0.35">
      <c r="A1001">
        <v>19</v>
      </c>
      <c r="B1001" t="s">
        <v>16</v>
      </c>
      <c r="C1001">
        <v>2.1</v>
      </c>
      <c r="D1001" t="s">
        <v>20</v>
      </c>
      <c r="E1001">
        <v>4.4000000000000004</v>
      </c>
      <c r="F1001">
        <v>2.2000000000000002</v>
      </c>
      <c r="G1001">
        <v>2.4700000000000002</v>
      </c>
      <c r="H1001">
        <v>0.7</v>
      </c>
      <c r="I1001" t="s">
        <v>18</v>
      </c>
      <c r="J1001">
        <v>9</v>
      </c>
      <c r="K1001">
        <v>5</v>
      </c>
      <c r="L1001">
        <v>6</v>
      </c>
      <c r="M1001">
        <v>0</v>
      </c>
    </row>
    <row r="1002" spans="1:13" x14ac:dyDescent="0.35">
      <c r="A1002">
        <v>14</v>
      </c>
      <c r="B1002" t="s">
        <v>16</v>
      </c>
      <c r="C1002">
        <v>5.5</v>
      </c>
      <c r="D1002" t="s">
        <v>20</v>
      </c>
      <c r="E1002">
        <v>5.7</v>
      </c>
      <c r="F1002">
        <v>2.2999999999999998</v>
      </c>
      <c r="G1002">
        <v>3.05</v>
      </c>
      <c r="H1002">
        <v>1.3</v>
      </c>
      <c r="I1002" t="s">
        <v>19</v>
      </c>
      <c r="J1002">
        <v>7</v>
      </c>
      <c r="K1002">
        <v>8</v>
      </c>
      <c r="L1002">
        <v>5</v>
      </c>
      <c r="M1002">
        <v>1</v>
      </c>
    </row>
    <row r="1003" spans="1:13" x14ac:dyDescent="0.35">
      <c r="A1003">
        <v>15</v>
      </c>
      <c r="B1003" t="s">
        <v>16</v>
      </c>
      <c r="C1003">
        <v>5.7</v>
      </c>
      <c r="D1003" t="s">
        <v>14</v>
      </c>
      <c r="E1003">
        <v>7.2</v>
      </c>
      <c r="F1003">
        <v>2.4</v>
      </c>
      <c r="G1003">
        <v>2.1800000000000002</v>
      </c>
      <c r="H1003">
        <v>1.6</v>
      </c>
      <c r="I1003" t="s">
        <v>19</v>
      </c>
      <c r="J1003">
        <v>5</v>
      </c>
      <c r="K1003">
        <v>1</v>
      </c>
      <c r="L1003">
        <v>7</v>
      </c>
      <c r="M1003">
        <v>0</v>
      </c>
    </row>
    <row r="1004" spans="1:13" x14ac:dyDescent="0.35">
      <c r="A1004">
        <v>15</v>
      </c>
      <c r="B1004" t="s">
        <v>16</v>
      </c>
      <c r="C1004">
        <v>5</v>
      </c>
      <c r="D1004" t="s">
        <v>17</v>
      </c>
      <c r="E1004">
        <v>6.3</v>
      </c>
      <c r="F1004">
        <v>1.5</v>
      </c>
      <c r="G1004">
        <v>2.67</v>
      </c>
      <c r="H1004">
        <v>1.1000000000000001</v>
      </c>
      <c r="I1004" t="s">
        <v>18</v>
      </c>
      <c r="J1004">
        <v>6</v>
      </c>
      <c r="K1004">
        <v>2</v>
      </c>
      <c r="L1004">
        <v>5</v>
      </c>
      <c r="M1004">
        <v>0</v>
      </c>
    </row>
    <row r="1005" spans="1:13" x14ac:dyDescent="0.35">
      <c r="A1005">
        <v>16</v>
      </c>
      <c r="B1005" t="s">
        <v>16</v>
      </c>
      <c r="C1005">
        <v>7.5</v>
      </c>
      <c r="D1005" t="s">
        <v>20</v>
      </c>
      <c r="E1005">
        <v>4</v>
      </c>
      <c r="F1005">
        <v>0.5</v>
      </c>
      <c r="G1005">
        <v>3.72</v>
      </c>
      <c r="H1005">
        <v>1.1000000000000001</v>
      </c>
      <c r="I1005" t="s">
        <v>19</v>
      </c>
      <c r="J1005">
        <v>4</v>
      </c>
      <c r="K1005">
        <v>5</v>
      </c>
      <c r="L1005">
        <v>7</v>
      </c>
      <c r="M1005">
        <v>0</v>
      </c>
    </row>
    <row r="1006" spans="1:13" x14ac:dyDescent="0.35">
      <c r="A1006">
        <v>17</v>
      </c>
      <c r="B1006" t="s">
        <v>13</v>
      </c>
      <c r="C1006">
        <v>2.2000000000000002</v>
      </c>
      <c r="D1006" t="s">
        <v>17</v>
      </c>
      <c r="E1006">
        <v>7.1</v>
      </c>
      <c r="F1006">
        <v>1.1000000000000001</v>
      </c>
      <c r="G1006">
        <v>2.5</v>
      </c>
      <c r="H1006">
        <v>1.5</v>
      </c>
      <c r="I1006" t="s">
        <v>15</v>
      </c>
      <c r="J1006">
        <v>2</v>
      </c>
      <c r="K1006">
        <v>1</v>
      </c>
      <c r="L1006">
        <v>2</v>
      </c>
      <c r="M1006">
        <v>0</v>
      </c>
    </row>
    <row r="1007" spans="1:13" x14ac:dyDescent="0.35">
      <c r="A1007">
        <v>15</v>
      </c>
      <c r="B1007" t="s">
        <v>16</v>
      </c>
      <c r="C1007">
        <v>7.3</v>
      </c>
      <c r="D1007" t="s">
        <v>14</v>
      </c>
      <c r="E1007">
        <v>4.0999999999999996</v>
      </c>
      <c r="F1007">
        <v>2.1</v>
      </c>
      <c r="G1007">
        <v>2.87</v>
      </c>
      <c r="H1007">
        <v>0.4</v>
      </c>
      <c r="I1007" t="s">
        <v>15</v>
      </c>
      <c r="J1007">
        <v>10</v>
      </c>
      <c r="K1007">
        <v>10</v>
      </c>
      <c r="L1007">
        <v>1</v>
      </c>
      <c r="M1007">
        <v>1</v>
      </c>
    </row>
    <row r="1008" spans="1:13" x14ac:dyDescent="0.35">
      <c r="A1008">
        <v>17</v>
      </c>
      <c r="B1008" t="s">
        <v>13</v>
      </c>
      <c r="C1008">
        <v>2.7</v>
      </c>
      <c r="D1008" t="s">
        <v>14</v>
      </c>
      <c r="E1008">
        <v>7.5</v>
      </c>
      <c r="F1008">
        <v>1.5</v>
      </c>
      <c r="G1008">
        <v>3.23</v>
      </c>
      <c r="H1008">
        <v>1.4</v>
      </c>
      <c r="I1008" t="s">
        <v>15</v>
      </c>
      <c r="J1008">
        <v>5</v>
      </c>
      <c r="K1008">
        <v>7</v>
      </c>
      <c r="L1008">
        <v>3</v>
      </c>
      <c r="M1008">
        <v>0</v>
      </c>
    </row>
    <row r="1009" spans="1:13" x14ac:dyDescent="0.35">
      <c r="A1009">
        <v>18</v>
      </c>
      <c r="B1009" t="s">
        <v>13</v>
      </c>
      <c r="C1009">
        <v>1.6</v>
      </c>
      <c r="D1009" t="s">
        <v>14</v>
      </c>
      <c r="E1009">
        <v>8.6</v>
      </c>
      <c r="F1009">
        <v>2.6</v>
      </c>
      <c r="G1009">
        <v>3.53</v>
      </c>
      <c r="H1009">
        <v>0.1</v>
      </c>
      <c r="I1009" t="s">
        <v>19</v>
      </c>
      <c r="J1009">
        <v>8</v>
      </c>
      <c r="K1009">
        <v>8</v>
      </c>
      <c r="L1009">
        <v>10</v>
      </c>
      <c r="M1009">
        <v>0</v>
      </c>
    </row>
    <row r="1010" spans="1:13" x14ac:dyDescent="0.35">
      <c r="A1010">
        <v>14</v>
      </c>
      <c r="B1010" t="s">
        <v>13</v>
      </c>
      <c r="C1010">
        <v>4</v>
      </c>
      <c r="D1010" t="s">
        <v>17</v>
      </c>
      <c r="E1010">
        <v>4.9000000000000004</v>
      </c>
      <c r="F1010">
        <v>2.7</v>
      </c>
      <c r="G1010">
        <v>2.2999999999999998</v>
      </c>
      <c r="H1010">
        <v>0.5</v>
      </c>
      <c r="I1010" t="s">
        <v>18</v>
      </c>
      <c r="J1010">
        <v>7</v>
      </c>
      <c r="K1010">
        <v>8</v>
      </c>
      <c r="L1010">
        <v>6</v>
      </c>
      <c r="M1010">
        <v>0</v>
      </c>
    </row>
    <row r="1011" spans="1:13" x14ac:dyDescent="0.35">
      <c r="A1011">
        <v>18</v>
      </c>
      <c r="B1011" t="s">
        <v>16</v>
      </c>
      <c r="C1011">
        <v>6.3</v>
      </c>
      <c r="D1011" t="s">
        <v>20</v>
      </c>
      <c r="E1011">
        <v>4.7</v>
      </c>
      <c r="F1011">
        <v>2.4</v>
      </c>
      <c r="G1011">
        <v>2.2999999999999998</v>
      </c>
      <c r="H1011">
        <v>0.9</v>
      </c>
      <c r="I1011" t="s">
        <v>19</v>
      </c>
      <c r="J1011">
        <v>6</v>
      </c>
      <c r="K1011">
        <v>1</v>
      </c>
      <c r="L1011">
        <v>6</v>
      </c>
      <c r="M1011">
        <v>0</v>
      </c>
    </row>
    <row r="1012" spans="1:13" x14ac:dyDescent="0.35">
      <c r="A1012">
        <v>16</v>
      </c>
      <c r="B1012" t="s">
        <v>16</v>
      </c>
      <c r="C1012">
        <v>6.8</v>
      </c>
      <c r="D1012" t="s">
        <v>17</v>
      </c>
      <c r="E1012">
        <v>7.1</v>
      </c>
      <c r="F1012">
        <v>2.9</v>
      </c>
      <c r="G1012">
        <v>3.26</v>
      </c>
      <c r="H1012">
        <v>0.6</v>
      </c>
      <c r="I1012" t="s">
        <v>15</v>
      </c>
      <c r="J1012">
        <v>6</v>
      </c>
      <c r="K1012">
        <v>10</v>
      </c>
      <c r="L1012">
        <v>4</v>
      </c>
      <c r="M1012">
        <v>0</v>
      </c>
    </row>
    <row r="1013" spans="1:13" x14ac:dyDescent="0.35">
      <c r="A1013">
        <v>18</v>
      </c>
      <c r="B1013" t="s">
        <v>16</v>
      </c>
      <c r="C1013">
        <v>6.6</v>
      </c>
      <c r="D1013" t="s">
        <v>20</v>
      </c>
      <c r="E1013">
        <v>8.1</v>
      </c>
      <c r="F1013">
        <v>2</v>
      </c>
      <c r="G1013">
        <v>3.59</v>
      </c>
      <c r="H1013">
        <v>1.6</v>
      </c>
      <c r="I1013" t="s">
        <v>15</v>
      </c>
      <c r="J1013">
        <v>9</v>
      </c>
      <c r="K1013">
        <v>4</v>
      </c>
      <c r="L1013">
        <v>3</v>
      </c>
      <c r="M1013">
        <v>0</v>
      </c>
    </row>
    <row r="1014" spans="1:13" x14ac:dyDescent="0.35">
      <c r="A1014">
        <v>13</v>
      </c>
      <c r="B1014" t="s">
        <v>13</v>
      </c>
      <c r="C1014">
        <v>4</v>
      </c>
      <c r="D1014" t="s">
        <v>14</v>
      </c>
      <c r="E1014">
        <v>4.2</v>
      </c>
      <c r="F1014">
        <v>0.9</v>
      </c>
      <c r="G1014">
        <v>2.75</v>
      </c>
      <c r="H1014">
        <v>1</v>
      </c>
      <c r="I1014" t="s">
        <v>18</v>
      </c>
      <c r="J1014">
        <v>5</v>
      </c>
      <c r="K1014">
        <v>4</v>
      </c>
      <c r="L1014">
        <v>8</v>
      </c>
      <c r="M1014">
        <v>0</v>
      </c>
    </row>
    <row r="1015" spans="1:13" x14ac:dyDescent="0.35">
      <c r="A1015">
        <v>13</v>
      </c>
      <c r="B1015" t="s">
        <v>13</v>
      </c>
      <c r="C1015">
        <v>1.6</v>
      </c>
      <c r="D1015" t="s">
        <v>17</v>
      </c>
      <c r="E1015">
        <v>5</v>
      </c>
      <c r="F1015">
        <v>2.7</v>
      </c>
      <c r="G1015">
        <v>2.31</v>
      </c>
      <c r="H1015">
        <v>1.9</v>
      </c>
      <c r="I1015" t="s">
        <v>15</v>
      </c>
      <c r="J1015">
        <v>8</v>
      </c>
      <c r="K1015">
        <v>9</v>
      </c>
      <c r="L1015">
        <v>5</v>
      </c>
      <c r="M1015">
        <v>0</v>
      </c>
    </row>
    <row r="1016" spans="1:13" x14ac:dyDescent="0.35">
      <c r="A1016">
        <v>18</v>
      </c>
      <c r="B1016" t="s">
        <v>13</v>
      </c>
      <c r="C1016">
        <v>5.3</v>
      </c>
      <c r="D1016" t="s">
        <v>20</v>
      </c>
      <c r="E1016">
        <v>8.1999999999999993</v>
      </c>
      <c r="F1016">
        <v>1.9</v>
      </c>
      <c r="G1016">
        <v>3.87</v>
      </c>
      <c r="H1016">
        <v>1.9</v>
      </c>
      <c r="I1016" t="s">
        <v>15</v>
      </c>
      <c r="J1016">
        <v>2</v>
      </c>
      <c r="K1016">
        <v>9</v>
      </c>
      <c r="L1016">
        <v>8</v>
      </c>
      <c r="M1016">
        <v>0</v>
      </c>
    </row>
    <row r="1017" spans="1:13" x14ac:dyDescent="0.35">
      <c r="A1017">
        <v>19</v>
      </c>
      <c r="B1017" t="s">
        <v>16</v>
      </c>
      <c r="C1017">
        <v>7.4</v>
      </c>
      <c r="D1017" t="s">
        <v>20</v>
      </c>
      <c r="E1017">
        <v>4.4000000000000004</v>
      </c>
      <c r="F1017">
        <v>1.4</v>
      </c>
      <c r="G1017">
        <v>3.78</v>
      </c>
      <c r="H1017">
        <v>1.1000000000000001</v>
      </c>
      <c r="I1017" t="s">
        <v>15</v>
      </c>
      <c r="J1017">
        <v>9</v>
      </c>
      <c r="K1017">
        <v>7</v>
      </c>
      <c r="L1017">
        <v>5</v>
      </c>
      <c r="M1017">
        <v>1</v>
      </c>
    </row>
    <row r="1018" spans="1:13" x14ac:dyDescent="0.35">
      <c r="A1018">
        <v>18</v>
      </c>
      <c r="B1018" t="s">
        <v>16</v>
      </c>
      <c r="C1018">
        <v>2.2999999999999998</v>
      </c>
      <c r="D1018" t="s">
        <v>14</v>
      </c>
      <c r="E1018">
        <v>8.6999999999999993</v>
      </c>
      <c r="F1018">
        <v>0.6</v>
      </c>
      <c r="G1018">
        <v>2.76</v>
      </c>
      <c r="H1018">
        <v>1.9</v>
      </c>
      <c r="I1018" t="s">
        <v>18</v>
      </c>
      <c r="J1018">
        <v>4</v>
      </c>
      <c r="K1018">
        <v>8</v>
      </c>
      <c r="L1018">
        <v>7</v>
      </c>
      <c r="M1018">
        <v>0</v>
      </c>
    </row>
    <row r="1019" spans="1:13" x14ac:dyDescent="0.35">
      <c r="A1019">
        <v>16</v>
      </c>
      <c r="B1019" t="s">
        <v>13</v>
      </c>
      <c r="C1019">
        <v>7.6</v>
      </c>
      <c r="D1019" t="s">
        <v>20</v>
      </c>
      <c r="E1019">
        <v>6.1</v>
      </c>
      <c r="F1019">
        <v>0.8</v>
      </c>
      <c r="G1019">
        <v>3.09</v>
      </c>
      <c r="H1019">
        <v>1.3</v>
      </c>
      <c r="I1019" t="s">
        <v>15</v>
      </c>
      <c r="J1019">
        <v>8</v>
      </c>
      <c r="K1019">
        <v>4</v>
      </c>
      <c r="L1019">
        <v>4</v>
      </c>
      <c r="M1019">
        <v>0</v>
      </c>
    </row>
    <row r="1020" spans="1:13" x14ac:dyDescent="0.35">
      <c r="A1020">
        <v>16</v>
      </c>
      <c r="B1020" t="s">
        <v>16</v>
      </c>
      <c r="C1020">
        <v>7.6</v>
      </c>
      <c r="D1020" t="s">
        <v>17</v>
      </c>
      <c r="E1020">
        <v>7.6</v>
      </c>
      <c r="F1020">
        <v>2.4</v>
      </c>
      <c r="G1020">
        <v>2.2400000000000002</v>
      </c>
      <c r="H1020">
        <v>1.1000000000000001</v>
      </c>
      <c r="I1020" t="s">
        <v>19</v>
      </c>
      <c r="J1020">
        <v>1</v>
      </c>
      <c r="K1020">
        <v>5</v>
      </c>
      <c r="L1020">
        <v>5</v>
      </c>
      <c r="M1020">
        <v>0</v>
      </c>
    </row>
    <row r="1021" spans="1:13" x14ac:dyDescent="0.35">
      <c r="A1021">
        <v>17</v>
      </c>
      <c r="B1021" t="s">
        <v>16</v>
      </c>
      <c r="C1021">
        <v>3.4</v>
      </c>
      <c r="D1021" t="s">
        <v>20</v>
      </c>
      <c r="E1021">
        <v>4.7</v>
      </c>
      <c r="F1021">
        <v>0.5</v>
      </c>
      <c r="G1021">
        <v>2.91</v>
      </c>
      <c r="H1021">
        <v>2</v>
      </c>
      <c r="I1021" t="s">
        <v>18</v>
      </c>
      <c r="J1021">
        <v>2</v>
      </c>
      <c r="K1021">
        <v>8</v>
      </c>
      <c r="L1021">
        <v>1</v>
      </c>
      <c r="M1021">
        <v>0</v>
      </c>
    </row>
    <row r="1022" spans="1:13" x14ac:dyDescent="0.35">
      <c r="A1022">
        <v>18</v>
      </c>
      <c r="B1022" t="s">
        <v>16</v>
      </c>
      <c r="C1022">
        <v>2.2999999999999998</v>
      </c>
      <c r="D1022" t="s">
        <v>14</v>
      </c>
      <c r="E1022">
        <v>4.2</v>
      </c>
      <c r="F1022">
        <v>0.9</v>
      </c>
      <c r="G1022">
        <v>3.84</v>
      </c>
      <c r="H1022">
        <v>1.3</v>
      </c>
      <c r="I1022" t="s">
        <v>18</v>
      </c>
      <c r="J1022">
        <v>6</v>
      </c>
      <c r="K1022">
        <v>6</v>
      </c>
      <c r="L1022">
        <v>10</v>
      </c>
      <c r="M1022">
        <v>0</v>
      </c>
    </row>
    <row r="1023" spans="1:13" x14ac:dyDescent="0.35">
      <c r="A1023">
        <v>18</v>
      </c>
      <c r="B1023" t="s">
        <v>13</v>
      </c>
      <c r="C1023">
        <v>5</v>
      </c>
      <c r="D1023" t="s">
        <v>14</v>
      </c>
      <c r="E1023">
        <v>4.3</v>
      </c>
      <c r="F1023">
        <v>1.1000000000000001</v>
      </c>
      <c r="G1023">
        <v>2.2200000000000002</v>
      </c>
      <c r="H1023">
        <v>0.1</v>
      </c>
      <c r="I1023" t="s">
        <v>18</v>
      </c>
      <c r="J1023">
        <v>7</v>
      </c>
      <c r="K1023">
        <v>2</v>
      </c>
      <c r="L1023">
        <v>2</v>
      </c>
      <c r="M1023">
        <v>0</v>
      </c>
    </row>
    <row r="1024" spans="1:13" x14ac:dyDescent="0.35">
      <c r="A1024">
        <v>15</v>
      </c>
      <c r="B1024" t="s">
        <v>13</v>
      </c>
      <c r="C1024">
        <v>3.8</v>
      </c>
      <c r="D1024" t="s">
        <v>17</v>
      </c>
      <c r="E1024">
        <v>7.1</v>
      </c>
      <c r="F1024">
        <v>0.5</v>
      </c>
      <c r="G1024">
        <v>3.08</v>
      </c>
      <c r="H1024">
        <v>0.2</v>
      </c>
      <c r="I1024" t="s">
        <v>19</v>
      </c>
      <c r="J1024">
        <v>2</v>
      </c>
      <c r="K1024">
        <v>9</v>
      </c>
      <c r="L1024">
        <v>7</v>
      </c>
      <c r="M1024">
        <v>0</v>
      </c>
    </row>
    <row r="1025" spans="1:13" x14ac:dyDescent="0.35">
      <c r="A1025">
        <v>16</v>
      </c>
      <c r="B1025" t="s">
        <v>13</v>
      </c>
      <c r="C1025">
        <v>3.7</v>
      </c>
      <c r="D1025" t="s">
        <v>14</v>
      </c>
      <c r="E1025">
        <v>7.6</v>
      </c>
      <c r="F1025">
        <v>1.2</v>
      </c>
      <c r="G1025">
        <v>3.2</v>
      </c>
      <c r="H1025">
        <v>1</v>
      </c>
      <c r="I1025" t="s">
        <v>19</v>
      </c>
      <c r="J1025">
        <v>4</v>
      </c>
      <c r="K1025">
        <v>8</v>
      </c>
      <c r="L1025">
        <v>6</v>
      </c>
      <c r="M1025">
        <v>0</v>
      </c>
    </row>
    <row r="1026" spans="1:13" x14ac:dyDescent="0.35">
      <c r="A1026">
        <v>13</v>
      </c>
      <c r="B1026" t="s">
        <v>13</v>
      </c>
      <c r="C1026">
        <v>1.4</v>
      </c>
      <c r="D1026" t="s">
        <v>20</v>
      </c>
      <c r="E1026">
        <v>8.6</v>
      </c>
      <c r="F1026">
        <v>2.4</v>
      </c>
      <c r="G1026">
        <v>3.31</v>
      </c>
      <c r="H1026">
        <v>0.7</v>
      </c>
      <c r="I1026" t="s">
        <v>15</v>
      </c>
      <c r="J1026">
        <v>2</v>
      </c>
      <c r="K1026">
        <v>6</v>
      </c>
      <c r="L1026">
        <v>2</v>
      </c>
      <c r="M1026">
        <v>0</v>
      </c>
    </row>
    <row r="1027" spans="1:13" x14ac:dyDescent="0.35">
      <c r="A1027">
        <v>18</v>
      </c>
      <c r="B1027" t="s">
        <v>13</v>
      </c>
      <c r="C1027">
        <v>1.8</v>
      </c>
      <c r="D1027" t="s">
        <v>20</v>
      </c>
      <c r="E1027">
        <v>4.9000000000000004</v>
      </c>
      <c r="F1027">
        <v>2.7</v>
      </c>
      <c r="G1027">
        <v>2.12</v>
      </c>
      <c r="H1027">
        <v>0.2</v>
      </c>
      <c r="I1027" t="s">
        <v>15</v>
      </c>
      <c r="J1027">
        <v>1</v>
      </c>
      <c r="K1027">
        <v>3</v>
      </c>
      <c r="L1027">
        <v>8</v>
      </c>
      <c r="M1027">
        <v>0</v>
      </c>
    </row>
    <row r="1028" spans="1:13" x14ac:dyDescent="0.35">
      <c r="A1028">
        <v>19</v>
      </c>
      <c r="B1028" t="s">
        <v>13</v>
      </c>
      <c r="C1028">
        <v>1.5</v>
      </c>
      <c r="D1028" t="s">
        <v>17</v>
      </c>
      <c r="E1028">
        <v>5.8</v>
      </c>
      <c r="F1028">
        <v>1.1000000000000001</v>
      </c>
      <c r="G1028">
        <v>3.29</v>
      </c>
      <c r="H1028">
        <v>1.7</v>
      </c>
      <c r="I1028" t="s">
        <v>18</v>
      </c>
      <c r="J1028">
        <v>6</v>
      </c>
      <c r="K1028">
        <v>4</v>
      </c>
      <c r="L1028">
        <v>2</v>
      </c>
      <c r="M1028">
        <v>0</v>
      </c>
    </row>
    <row r="1029" spans="1:13" x14ac:dyDescent="0.35">
      <c r="A1029">
        <v>18</v>
      </c>
      <c r="B1029" t="s">
        <v>16</v>
      </c>
      <c r="C1029">
        <v>5.5</v>
      </c>
      <c r="D1029" t="s">
        <v>20</v>
      </c>
      <c r="E1029">
        <v>5.5</v>
      </c>
      <c r="F1029">
        <v>1.8</v>
      </c>
      <c r="G1029">
        <v>2.2400000000000002</v>
      </c>
      <c r="H1029">
        <v>0</v>
      </c>
      <c r="I1029" t="s">
        <v>18</v>
      </c>
      <c r="J1029">
        <v>3</v>
      </c>
      <c r="K1029">
        <v>4</v>
      </c>
      <c r="L1029">
        <v>10</v>
      </c>
      <c r="M1029">
        <v>0</v>
      </c>
    </row>
    <row r="1030" spans="1:13" x14ac:dyDescent="0.35">
      <c r="A1030">
        <v>15</v>
      </c>
      <c r="B1030" t="s">
        <v>13</v>
      </c>
      <c r="C1030">
        <v>4.9000000000000004</v>
      </c>
      <c r="D1030" t="s">
        <v>20</v>
      </c>
      <c r="E1030">
        <v>5.2</v>
      </c>
      <c r="F1030">
        <v>0.7</v>
      </c>
      <c r="G1030">
        <v>2.5499999999999998</v>
      </c>
      <c r="H1030">
        <v>0.1</v>
      </c>
      <c r="I1030" t="s">
        <v>15</v>
      </c>
      <c r="J1030">
        <v>10</v>
      </c>
      <c r="K1030">
        <v>6</v>
      </c>
      <c r="L1030">
        <v>4</v>
      </c>
      <c r="M1030">
        <v>0</v>
      </c>
    </row>
    <row r="1031" spans="1:13" x14ac:dyDescent="0.35">
      <c r="A1031">
        <v>14</v>
      </c>
      <c r="B1031" t="s">
        <v>16</v>
      </c>
      <c r="C1031">
        <v>7.2</v>
      </c>
      <c r="D1031" t="s">
        <v>20</v>
      </c>
      <c r="E1031">
        <v>7</v>
      </c>
      <c r="F1031">
        <v>2.2999999999999998</v>
      </c>
      <c r="G1031">
        <v>3.74</v>
      </c>
      <c r="H1031">
        <v>0.7</v>
      </c>
      <c r="I1031" t="s">
        <v>15</v>
      </c>
      <c r="J1031">
        <v>8</v>
      </c>
      <c r="K1031">
        <v>4</v>
      </c>
      <c r="L1031">
        <v>7</v>
      </c>
      <c r="M1031">
        <v>0</v>
      </c>
    </row>
    <row r="1032" spans="1:13" x14ac:dyDescent="0.35">
      <c r="A1032">
        <v>16</v>
      </c>
      <c r="B1032" t="s">
        <v>16</v>
      </c>
      <c r="C1032">
        <v>6.8</v>
      </c>
      <c r="D1032" t="s">
        <v>14</v>
      </c>
      <c r="E1032">
        <v>7.2</v>
      </c>
      <c r="F1032">
        <v>1.1000000000000001</v>
      </c>
      <c r="G1032">
        <v>2.29</v>
      </c>
      <c r="H1032">
        <v>1.9</v>
      </c>
      <c r="I1032" t="s">
        <v>15</v>
      </c>
      <c r="J1032">
        <v>8</v>
      </c>
      <c r="K1032">
        <v>5</v>
      </c>
      <c r="L1032">
        <v>9</v>
      </c>
      <c r="M1032">
        <v>0</v>
      </c>
    </row>
    <row r="1033" spans="1:13" x14ac:dyDescent="0.35">
      <c r="A1033">
        <v>13</v>
      </c>
      <c r="B1033" t="s">
        <v>16</v>
      </c>
      <c r="C1033">
        <v>2.2000000000000002</v>
      </c>
      <c r="D1033" t="s">
        <v>20</v>
      </c>
      <c r="E1033">
        <v>7.7</v>
      </c>
      <c r="F1033">
        <v>2.1</v>
      </c>
      <c r="G1033">
        <v>2.33</v>
      </c>
      <c r="H1033">
        <v>1.7</v>
      </c>
      <c r="I1033" t="s">
        <v>15</v>
      </c>
      <c r="J1033">
        <v>2</v>
      </c>
      <c r="K1033">
        <v>8</v>
      </c>
      <c r="L1033">
        <v>7</v>
      </c>
      <c r="M1033">
        <v>0</v>
      </c>
    </row>
    <row r="1034" spans="1:13" x14ac:dyDescent="0.35">
      <c r="A1034">
        <v>16</v>
      </c>
      <c r="B1034" t="s">
        <v>16</v>
      </c>
      <c r="C1034">
        <v>5.9</v>
      </c>
      <c r="D1034" t="s">
        <v>17</v>
      </c>
      <c r="E1034">
        <v>7</v>
      </c>
      <c r="F1034">
        <v>0.8</v>
      </c>
      <c r="G1034">
        <v>2.29</v>
      </c>
      <c r="H1034">
        <v>1.6</v>
      </c>
      <c r="I1034" t="s">
        <v>15</v>
      </c>
      <c r="J1034">
        <v>6</v>
      </c>
      <c r="K1034">
        <v>8</v>
      </c>
      <c r="L1034">
        <v>1</v>
      </c>
      <c r="M1034">
        <v>0</v>
      </c>
    </row>
    <row r="1035" spans="1:13" x14ac:dyDescent="0.35">
      <c r="A1035">
        <v>15</v>
      </c>
      <c r="B1035" t="s">
        <v>16</v>
      </c>
      <c r="C1035">
        <v>2.2000000000000002</v>
      </c>
      <c r="D1035" t="s">
        <v>14</v>
      </c>
      <c r="E1035">
        <v>7.5</v>
      </c>
      <c r="F1035">
        <v>1.4</v>
      </c>
      <c r="G1035">
        <v>3.19</v>
      </c>
      <c r="H1035">
        <v>1.8</v>
      </c>
      <c r="I1035" t="s">
        <v>15</v>
      </c>
      <c r="J1035">
        <v>6</v>
      </c>
      <c r="K1035">
        <v>1</v>
      </c>
      <c r="L1035">
        <v>7</v>
      </c>
      <c r="M1035">
        <v>0</v>
      </c>
    </row>
    <row r="1036" spans="1:13" x14ac:dyDescent="0.35">
      <c r="A1036">
        <v>19</v>
      </c>
      <c r="B1036" t="s">
        <v>16</v>
      </c>
      <c r="C1036">
        <v>2.4</v>
      </c>
      <c r="D1036" t="s">
        <v>14</v>
      </c>
      <c r="E1036">
        <v>4.2</v>
      </c>
      <c r="F1036">
        <v>1.2</v>
      </c>
      <c r="G1036">
        <v>3.87</v>
      </c>
      <c r="H1036">
        <v>1.3</v>
      </c>
      <c r="I1036" t="s">
        <v>15</v>
      </c>
      <c r="J1036">
        <v>1</v>
      </c>
      <c r="K1036">
        <v>9</v>
      </c>
      <c r="L1036">
        <v>5</v>
      </c>
      <c r="M1036">
        <v>0</v>
      </c>
    </row>
    <row r="1037" spans="1:13" x14ac:dyDescent="0.35">
      <c r="A1037">
        <v>15</v>
      </c>
      <c r="B1037" t="s">
        <v>13</v>
      </c>
      <c r="C1037">
        <v>4.0999999999999996</v>
      </c>
      <c r="D1037" t="s">
        <v>14</v>
      </c>
      <c r="E1037">
        <v>7.6</v>
      </c>
      <c r="F1037">
        <v>1</v>
      </c>
      <c r="G1037">
        <v>2.17</v>
      </c>
      <c r="H1037">
        <v>1.1000000000000001</v>
      </c>
      <c r="I1037" t="s">
        <v>15</v>
      </c>
      <c r="J1037">
        <v>4</v>
      </c>
      <c r="K1037">
        <v>5</v>
      </c>
      <c r="L1037">
        <v>1</v>
      </c>
      <c r="M1037">
        <v>0</v>
      </c>
    </row>
    <row r="1038" spans="1:13" x14ac:dyDescent="0.35">
      <c r="A1038">
        <v>18</v>
      </c>
      <c r="B1038" t="s">
        <v>16</v>
      </c>
      <c r="C1038">
        <v>4.5</v>
      </c>
      <c r="D1038" t="s">
        <v>14</v>
      </c>
      <c r="E1038">
        <v>7</v>
      </c>
      <c r="F1038">
        <v>2.7</v>
      </c>
      <c r="G1038">
        <v>2.89</v>
      </c>
      <c r="H1038">
        <v>1.8</v>
      </c>
      <c r="I1038" t="s">
        <v>18</v>
      </c>
      <c r="J1038">
        <v>1</v>
      </c>
      <c r="K1038">
        <v>1</v>
      </c>
      <c r="L1038">
        <v>2</v>
      </c>
      <c r="M1038">
        <v>0</v>
      </c>
    </row>
    <row r="1039" spans="1:13" x14ac:dyDescent="0.35">
      <c r="A1039">
        <v>14</v>
      </c>
      <c r="B1039" t="s">
        <v>16</v>
      </c>
      <c r="C1039">
        <v>4.5999999999999996</v>
      </c>
      <c r="D1039" t="s">
        <v>14</v>
      </c>
      <c r="E1039">
        <v>5.9</v>
      </c>
      <c r="F1039">
        <v>1.4</v>
      </c>
      <c r="G1039">
        <v>2.15</v>
      </c>
      <c r="H1039">
        <v>0.3</v>
      </c>
      <c r="I1039" t="s">
        <v>18</v>
      </c>
      <c r="J1039">
        <v>3</v>
      </c>
      <c r="K1039">
        <v>10</v>
      </c>
      <c r="L1039">
        <v>2</v>
      </c>
      <c r="M1039">
        <v>0</v>
      </c>
    </row>
    <row r="1040" spans="1:13" x14ac:dyDescent="0.35">
      <c r="A1040">
        <v>17</v>
      </c>
      <c r="B1040" t="s">
        <v>16</v>
      </c>
      <c r="C1040">
        <v>4.5</v>
      </c>
      <c r="D1040" t="s">
        <v>20</v>
      </c>
      <c r="E1040">
        <v>6.1</v>
      </c>
      <c r="F1040">
        <v>2.8</v>
      </c>
      <c r="G1040">
        <v>3.38</v>
      </c>
      <c r="H1040">
        <v>1.2</v>
      </c>
      <c r="I1040" t="s">
        <v>15</v>
      </c>
      <c r="J1040">
        <v>10</v>
      </c>
      <c r="K1040">
        <v>4</v>
      </c>
      <c r="L1040">
        <v>2</v>
      </c>
      <c r="M1040">
        <v>0</v>
      </c>
    </row>
    <row r="1041" spans="1:13" x14ac:dyDescent="0.35">
      <c r="A1041">
        <v>13</v>
      </c>
      <c r="B1041" t="s">
        <v>13</v>
      </c>
      <c r="C1041">
        <v>5</v>
      </c>
      <c r="D1041" t="s">
        <v>14</v>
      </c>
      <c r="E1041">
        <v>5.2</v>
      </c>
      <c r="F1041">
        <v>2.6</v>
      </c>
      <c r="G1041">
        <v>2.04</v>
      </c>
      <c r="H1041">
        <v>1.7</v>
      </c>
      <c r="I1041" t="s">
        <v>19</v>
      </c>
      <c r="J1041">
        <v>4</v>
      </c>
      <c r="K1041">
        <v>4</v>
      </c>
      <c r="L1041">
        <v>5</v>
      </c>
      <c r="M1041">
        <v>0</v>
      </c>
    </row>
    <row r="1042" spans="1:13" x14ac:dyDescent="0.35">
      <c r="A1042">
        <v>19</v>
      </c>
      <c r="B1042" t="s">
        <v>16</v>
      </c>
      <c r="C1042">
        <v>4.0999999999999996</v>
      </c>
      <c r="D1042" t="s">
        <v>20</v>
      </c>
      <c r="E1042">
        <v>6.4</v>
      </c>
      <c r="F1042">
        <v>1.4</v>
      </c>
      <c r="G1042">
        <v>2.2599999999999998</v>
      </c>
      <c r="H1042">
        <v>1.6</v>
      </c>
      <c r="I1042" t="s">
        <v>18</v>
      </c>
      <c r="J1042">
        <v>2</v>
      </c>
      <c r="K1042">
        <v>3</v>
      </c>
      <c r="L1042">
        <v>6</v>
      </c>
      <c r="M1042">
        <v>0</v>
      </c>
    </row>
    <row r="1043" spans="1:13" x14ac:dyDescent="0.35">
      <c r="A1043">
        <v>18</v>
      </c>
      <c r="B1043" t="s">
        <v>13</v>
      </c>
      <c r="C1043">
        <v>7.5</v>
      </c>
      <c r="D1043" t="s">
        <v>17</v>
      </c>
      <c r="E1043">
        <v>7.6</v>
      </c>
      <c r="F1043">
        <v>1.8</v>
      </c>
      <c r="G1043">
        <v>3.19</v>
      </c>
      <c r="H1043">
        <v>1.7</v>
      </c>
      <c r="I1043" t="s">
        <v>18</v>
      </c>
      <c r="J1043">
        <v>2</v>
      </c>
      <c r="K1043">
        <v>6</v>
      </c>
      <c r="L1043">
        <v>6</v>
      </c>
      <c r="M1043">
        <v>0</v>
      </c>
    </row>
    <row r="1044" spans="1:13" x14ac:dyDescent="0.35">
      <c r="A1044">
        <v>18</v>
      </c>
      <c r="B1044" t="s">
        <v>13</v>
      </c>
      <c r="C1044">
        <v>4.2</v>
      </c>
      <c r="D1044" t="s">
        <v>14</v>
      </c>
      <c r="E1044">
        <v>5.5</v>
      </c>
      <c r="F1044">
        <v>1.8</v>
      </c>
      <c r="G1044">
        <v>3.83</v>
      </c>
      <c r="H1044">
        <v>1.9</v>
      </c>
      <c r="I1044" t="s">
        <v>15</v>
      </c>
      <c r="J1044">
        <v>3</v>
      </c>
      <c r="K1044">
        <v>8</v>
      </c>
      <c r="L1044">
        <v>8</v>
      </c>
      <c r="M1044">
        <v>0</v>
      </c>
    </row>
    <row r="1045" spans="1:13" x14ac:dyDescent="0.35">
      <c r="A1045">
        <v>14</v>
      </c>
      <c r="B1045" t="s">
        <v>16</v>
      </c>
      <c r="C1045">
        <v>7.2</v>
      </c>
      <c r="D1045" t="s">
        <v>20</v>
      </c>
      <c r="E1045">
        <v>5</v>
      </c>
      <c r="F1045">
        <v>2.9</v>
      </c>
      <c r="G1045">
        <v>3.76</v>
      </c>
      <c r="H1045">
        <v>0.4</v>
      </c>
      <c r="I1045" t="s">
        <v>19</v>
      </c>
      <c r="J1045">
        <v>7</v>
      </c>
      <c r="K1045">
        <v>4</v>
      </c>
      <c r="L1045">
        <v>2</v>
      </c>
      <c r="M1045">
        <v>0</v>
      </c>
    </row>
    <row r="1046" spans="1:13" x14ac:dyDescent="0.35">
      <c r="A1046">
        <v>13</v>
      </c>
      <c r="B1046" t="s">
        <v>13</v>
      </c>
      <c r="C1046">
        <v>4.8</v>
      </c>
      <c r="D1046" t="s">
        <v>14</v>
      </c>
      <c r="E1046">
        <v>6</v>
      </c>
      <c r="F1046">
        <v>0.6</v>
      </c>
      <c r="G1046">
        <v>2.41</v>
      </c>
      <c r="H1046">
        <v>0</v>
      </c>
      <c r="I1046" t="s">
        <v>18</v>
      </c>
      <c r="J1046">
        <v>3</v>
      </c>
      <c r="K1046">
        <v>6</v>
      </c>
      <c r="L1046">
        <v>9</v>
      </c>
      <c r="M1046">
        <v>0</v>
      </c>
    </row>
    <row r="1047" spans="1:13" x14ac:dyDescent="0.35">
      <c r="A1047">
        <v>17</v>
      </c>
      <c r="B1047" t="s">
        <v>16</v>
      </c>
      <c r="C1047">
        <v>7.3</v>
      </c>
      <c r="D1047" t="s">
        <v>14</v>
      </c>
      <c r="E1047">
        <v>6.7</v>
      </c>
      <c r="F1047">
        <v>1</v>
      </c>
      <c r="G1047">
        <v>3.41</v>
      </c>
      <c r="H1047">
        <v>1.7</v>
      </c>
      <c r="I1047" t="s">
        <v>19</v>
      </c>
      <c r="J1047">
        <v>6</v>
      </c>
      <c r="K1047">
        <v>5</v>
      </c>
      <c r="L1047">
        <v>2</v>
      </c>
      <c r="M1047">
        <v>0</v>
      </c>
    </row>
    <row r="1048" spans="1:13" x14ac:dyDescent="0.35">
      <c r="A1048">
        <v>13</v>
      </c>
      <c r="B1048" t="s">
        <v>13</v>
      </c>
      <c r="C1048">
        <v>3.9</v>
      </c>
      <c r="D1048" t="s">
        <v>20</v>
      </c>
      <c r="E1048">
        <v>4.5</v>
      </c>
      <c r="F1048">
        <v>1.6</v>
      </c>
      <c r="G1048">
        <v>2.02</v>
      </c>
      <c r="H1048">
        <v>0.6</v>
      </c>
      <c r="I1048" t="s">
        <v>18</v>
      </c>
      <c r="J1048">
        <v>6</v>
      </c>
      <c r="K1048">
        <v>6</v>
      </c>
      <c r="L1048">
        <v>5</v>
      </c>
      <c r="M1048">
        <v>0</v>
      </c>
    </row>
    <row r="1049" spans="1:13" x14ac:dyDescent="0.35">
      <c r="A1049">
        <v>15</v>
      </c>
      <c r="B1049" t="s">
        <v>16</v>
      </c>
      <c r="C1049">
        <v>5.5</v>
      </c>
      <c r="D1049" t="s">
        <v>20</v>
      </c>
      <c r="E1049">
        <v>4</v>
      </c>
      <c r="F1049">
        <v>2.4</v>
      </c>
      <c r="G1049">
        <v>3.01</v>
      </c>
      <c r="H1049">
        <v>0.9</v>
      </c>
      <c r="I1049" t="s">
        <v>15</v>
      </c>
      <c r="J1049">
        <v>10</v>
      </c>
      <c r="K1049">
        <v>3</v>
      </c>
      <c r="L1049">
        <v>2</v>
      </c>
      <c r="M1049">
        <v>0</v>
      </c>
    </row>
    <row r="1050" spans="1:13" x14ac:dyDescent="0.35">
      <c r="A1050">
        <v>15</v>
      </c>
      <c r="B1050" t="s">
        <v>13</v>
      </c>
      <c r="C1050">
        <v>7.5</v>
      </c>
      <c r="D1050" t="s">
        <v>20</v>
      </c>
      <c r="E1050">
        <v>6.3</v>
      </c>
      <c r="F1050">
        <v>2.8</v>
      </c>
      <c r="G1050">
        <v>3.04</v>
      </c>
      <c r="H1050">
        <v>1.8</v>
      </c>
      <c r="I1050" t="s">
        <v>15</v>
      </c>
      <c r="J1050">
        <v>1</v>
      </c>
      <c r="K1050">
        <v>5</v>
      </c>
      <c r="L1050">
        <v>8</v>
      </c>
      <c r="M1050">
        <v>0</v>
      </c>
    </row>
    <row r="1051" spans="1:13" x14ac:dyDescent="0.35">
      <c r="A1051">
        <v>17</v>
      </c>
      <c r="B1051" t="s">
        <v>13</v>
      </c>
      <c r="C1051">
        <v>1.8</v>
      </c>
      <c r="D1051" t="s">
        <v>14</v>
      </c>
      <c r="E1051">
        <v>6.9</v>
      </c>
      <c r="F1051">
        <v>2.7</v>
      </c>
      <c r="G1051">
        <v>2.5299999999999998</v>
      </c>
      <c r="H1051">
        <v>1.7</v>
      </c>
      <c r="I1051" t="s">
        <v>18</v>
      </c>
      <c r="J1051">
        <v>2</v>
      </c>
      <c r="K1051">
        <v>2</v>
      </c>
      <c r="L1051">
        <v>7</v>
      </c>
      <c r="M1051">
        <v>0</v>
      </c>
    </row>
    <row r="1052" spans="1:13" x14ac:dyDescent="0.35">
      <c r="A1052">
        <v>16</v>
      </c>
      <c r="B1052" t="s">
        <v>13</v>
      </c>
      <c r="C1052">
        <v>2.6</v>
      </c>
      <c r="D1052" t="s">
        <v>14</v>
      </c>
      <c r="E1052">
        <v>5.0999999999999996</v>
      </c>
      <c r="F1052">
        <v>0.9</v>
      </c>
      <c r="G1052">
        <v>2.57</v>
      </c>
      <c r="H1052">
        <v>1.4</v>
      </c>
      <c r="I1052" t="s">
        <v>19</v>
      </c>
      <c r="J1052">
        <v>8</v>
      </c>
      <c r="K1052">
        <v>5</v>
      </c>
      <c r="L1052">
        <v>8</v>
      </c>
      <c r="M1052">
        <v>0</v>
      </c>
    </row>
    <row r="1053" spans="1:13" x14ac:dyDescent="0.35">
      <c r="A1053">
        <v>17</v>
      </c>
      <c r="B1053" t="s">
        <v>16</v>
      </c>
      <c r="C1053">
        <v>5.5</v>
      </c>
      <c r="D1053" t="s">
        <v>20</v>
      </c>
      <c r="E1053">
        <v>6</v>
      </c>
      <c r="F1053">
        <v>2.8</v>
      </c>
      <c r="G1053">
        <v>3.4</v>
      </c>
      <c r="H1053">
        <v>0</v>
      </c>
      <c r="I1053" t="s">
        <v>19</v>
      </c>
      <c r="J1053">
        <v>2</v>
      </c>
      <c r="K1053">
        <v>3</v>
      </c>
      <c r="L1053">
        <v>8</v>
      </c>
      <c r="M1053">
        <v>0</v>
      </c>
    </row>
    <row r="1054" spans="1:13" x14ac:dyDescent="0.35">
      <c r="A1054">
        <v>15</v>
      </c>
      <c r="B1054" t="s">
        <v>16</v>
      </c>
      <c r="C1054">
        <v>3.6</v>
      </c>
      <c r="D1054" t="s">
        <v>17</v>
      </c>
      <c r="E1054">
        <v>7.1</v>
      </c>
      <c r="F1054">
        <v>0.9</v>
      </c>
      <c r="G1054">
        <v>2.84</v>
      </c>
      <c r="H1054">
        <v>0.3</v>
      </c>
      <c r="I1054" t="s">
        <v>15</v>
      </c>
      <c r="J1054">
        <v>1</v>
      </c>
      <c r="K1054">
        <v>9</v>
      </c>
      <c r="L1054">
        <v>4</v>
      </c>
      <c r="M1054">
        <v>0</v>
      </c>
    </row>
    <row r="1055" spans="1:13" x14ac:dyDescent="0.35">
      <c r="A1055">
        <v>19</v>
      </c>
      <c r="B1055" t="s">
        <v>16</v>
      </c>
      <c r="C1055">
        <v>7.6</v>
      </c>
      <c r="D1055" t="s">
        <v>20</v>
      </c>
      <c r="E1055">
        <v>5.4</v>
      </c>
      <c r="F1055">
        <v>1.9</v>
      </c>
      <c r="G1055">
        <v>2.56</v>
      </c>
      <c r="H1055">
        <v>1.4</v>
      </c>
      <c r="I1055" t="s">
        <v>15</v>
      </c>
      <c r="J1055">
        <v>2</v>
      </c>
      <c r="K1055">
        <v>7</v>
      </c>
      <c r="L1055">
        <v>9</v>
      </c>
      <c r="M1055">
        <v>0</v>
      </c>
    </row>
    <row r="1056" spans="1:13" x14ac:dyDescent="0.35">
      <c r="A1056">
        <v>13</v>
      </c>
      <c r="B1056" t="s">
        <v>13</v>
      </c>
      <c r="C1056">
        <v>7.9</v>
      </c>
      <c r="D1056" t="s">
        <v>14</v>
      </c>
      <c r="E1056">
        <v>7.1</v>
      </c>
      <c r="F1056">
        <v>0.7</v>
      </c>
      <c r="G1056">
        <v>2.8</v>
      </c>
      <c r="H1056">
        <v>0.3</v>
      </c>
      <c r="I1056" t="s">
        <v>19</v>
      </c>
      <c r="J1056">
        <v>6</v>
      </c>
      <c r="K1056">
        <v>8</v>
      </c>
      <c r="L1056">
        <v>8</v>
      </c>
      <c r="M1056">
        <v>0</v>
      </c>
    </row>
    <row r="1057" spans="1:13" x14ac:dyDescent="0.35">
      <c r="A1057">
        <v>15</v>
      </c>
      <c r="B1057" t="s">
        <v>13</v>
      </c>
      <c r="C1057">
        <v>2.6</v>
      </c>
      <c r="D1057" t="s">
        <v>20</v>
      </c>
      <c r="E1057">
        <v>6.8</v>
      </c>
      <c r="F1057">
        <v>1.7</v>
      </c>
      <c r="G1057">
        <v>2.06</v>
      </c>
      <c r="H1057">
        <v>0.4</v>
      </c>
      <c r="I1057" t="s">
        <v>19</v>
      </c>
      <c r="J1057">
        <v>8</v>
      </c>
      <c r="K1057">
        <v>6</v>
      </c>
      <c r="L1057">
        <v>6</v>
      </c>
      <c r="M1057">
        <v>0</v>
      </c>
    </row>
    <row r="1058" spans="1:13" x14ac:dyDescent="0.35">
      <c r="A1058">
        <v>19</v>
      </c>
      <c r="B1058" t="s">
        <v>13</v>
      </c>
      <c r="C1058">
        <v>5.7</v>
      </c>
      <c r="D1058" t="s">
        <v>17</v>
      </c>
      <c r="E1058">
        <v>6.4</v>
      </c>
      <c r="F1058">
        <v>0.9</v>
      </c>
      <c r="G1058">
        <v>3.57</v>
      </c>
      <c r="H1058">
        <v>1.5</v>
      </c>
      <c r="I1058" t="s">
        <v>18</v>
      </c>
      <c r="J1058">
        <v>3</v>
      </c>
      <c r="K1058">
        <v>7</v>
      </c>
      <c r="L1058">
        <v>2</v>
      </c>
      <c r="M1058">
        <v>0</v>
      </c>
    </row>
    <row r="1059" spans="1:13" x14ac:dyDescent="0.35">
      <c r="A1059">
        <v>13</v>
      </c>
      <c r="B1059" t="s">
        <v>16</v>
      </c>
      <c r="C1059">
        <v>7.1</v>
      </c>
      <c r="D1059" t="s">
        <v>14</v>
      </c>
      <c r="E1059">
        <v>5.7</v>
      </c>
      <c r="F1059">
        <v>1.2</v>
      </c>
      <c r="G1059">
        <v>3.83</v>
      </c>
      <c r="H1059">
        <v>2</v>
      </c>
      <c r="I1059" t="s">
        <v>19</v>
      </c>
      <c r="J1059">
        <v>2</v>
      </c>
      <c r="K1059">
        <v>8</v>
      </c>
      <c r="L1059">
        <v>7</v>
      </c>
      <c r="M1059">
        <v>0</v>
      </c>
    </row>
    <row r="1060" spans="1:13" x14ac:dyDescent="0.35">
      <c r="A1060">
        <v>13</v>
      </c>
      <c r="B1060" t="s">
        <v>16</v>
      </c>
      <c r="C1060">
        <v>1.3</v>
      </c>
      <c r="D1060" t="s">
        <v>17</v>
      </c>
      <c r="E1060">
        <v>8.6999999999999993</v>
      </c>
      <c r="F1060">
        <v>0.9</v>
      </c>
      <c r="G1060">
        <v>4</v>
      </c>
      <c r="H1060">
        <v>0.1</v>
      </c>
      <c r="I1060" t="s">
        <v>15</v>
      </c>
      <c r="J1060">
        <v>10</v>
      </c>
      <c r="K1060">
        <v>9</v>
      </c>
      <c r="L1060">
        <v>9</v>
      </c>
      <c r="M1060">
        <v>0</v>
      </c>
    </row>
    <row r="1061" spans="1:13" x14ac:dyDescent="0.35">
      <c r="A1061">
        <v>13</v>
      </c>
      <c r="B1061" t="s">
        <v>16</v>
      </c>
      <c r="C1061">
        <v>1.1000000000000001</v>
      </c>
      <c r="D1061" t="s">
        <v>20</v>
      </c>
      <c r="E1061">
        <v>6.7</v>
      </c>
      <c r="F1061">
        <v>2</v>
      </c>
      <c r="G1061">
        <v>3.63</v>
      </c>
      <c r="H1061">
        <v>0.2</v>
      </c>
      <c r="I1061" t="s">
        <v>19</v>
      </c>
      <c r="J1061">
        <v>3</v>
      </c>
      <c r="K1061">
        <v>10</v>
      </c>
      <c r="L1061">
        <v>5</v>
      </c>
      <c r="M1061">
        <v>0</v>
      </c>
    </row>
    <row r="1062" spans="1:13" x14ac:dyDescent="0.35">
      <c r="A1062">
        <v>13</v>
      </c>
      <c r="B1062" t="s">
        <v>16</v>
      </c>
      <c r="C1062">
        <v>3.3</v>
      </c>
      <c r="D1062" t="s">
        <v>17</v>
      </c>
      <c r="E1062">
        <v>9</v>
      </c>
      <c r="F1062">
        <v>0.7</v>
      </c>
      <c r="G1062">
        <v>2.4900000000000002</v>
      </c>
      <c r="H1062">
        <v>0.6</v>
      </c>
      <c r="I1062" t="s">
        <v>19</v>
      </c>
      <c r="J1062">
        <v>3</v>
      </c>
      <c r="K1062">
        <v>6</v>
      </c>
      <c r="L1062">
        <v>4</v>
      </c>
      <c r="M1062">
        <v>0</v>
      </c>
    </row>
    <row r="1063" spans="1:13" x14ac:dyDescent="0.35">
      <c r="A1063">
        <v>16</v>
      </c>
      <c r="B1063" t="s">
        <v>13</v>
      </c>
      <c r="C1063">
        <v>7.4</v>
      </c>
      <c r="D1063" t="s">
        <v>20</v>
      </c>
      <c r="E1063">
        <v>7.2</v>
      </c>
      <c r="F1063">
        <v>1.8</v>
      </c>
      <c r="G1063">
        <v>2.11</v>
      </c>
      <c r="H1063">
        <v>1.4</v>
      </c>
      <c r="I1063" t="s">
        <v>19</v>
      </c>
      <c r="J1063">
        <v>3</v>
      </c>
      <c r="K1063">
        <v>7</v>
      </c>
      <c r="L1063">
        <v>3</v>
      </c>
      <c r="M1063">
        <v>0</v>
      </c>
    </row>
    <row r="1064" spans="1:13" x14ac:dyDescent="0.35">
      <c r="A1064">
        <v>13</v>
      </c>
      <c r="B1064" t="s">
        <v>13</v>
      </c>
      <c r="C1064">
        <v>5.8</v>
      </c>
      <c r="D1064" t="s">
        <v>17</v>
      </c>
      <c r="E1064">
        <v>8.3000000000000007</v>
      </c>
      <c r="F1064">
        <v>2.8</v>
      </c>
      <c r="G1064">
        <v>2.63</v>
      </c>
      <c r="H1064">
        <v>0.6</v>
      </c>
      <c r="I1064" t="s">
        <v>18</v>
      </c>
      <c r="J1064">
        <v>5</v>
      </c>
      <c r="K1064">
        <v>3</v>
      </c>
      <c r="L1064">
        <v>7</v>
      </c>
      <c r="M1064">
        <v>0</v>
      </c>
    </row>
    <row r="1065" spans="1:13" x14ac:dyDescent="0.35">
      <c r="A1065">
        <v>18</v>
      </c>
      <c r="B1065" t="s">
        <v>16</v>
      </c>
      <c r="C1065">
        <v>4.5999999999999996</v>
      </c>
      <c r="D1065" t="s">
        <v>17</v>
      </c>
      <c r="E1065">
        <v>6.8</v>
      </c>
      <c r="F1065">
        <v>1.5</v>
      </c>
      <c r="G1065">
        <v>2.4</v>
      </c>
      <c r="H1065">
        <v>1.4</v>
      </c>
      <c r="I1065" t="s">
        <v>19</v>
      </c>
      <c r="J1065">
        <v>5</v>
      </c>
      <c r="K1065">
        <v>10</v>
      </c>
      <c r="L1065">
        <v>2</v>
      </c>
      <c r="M1065">
        <v>0</v>
      </c>
    </row>
    <row r="1066" spans="1:13" x14ac:dyDescent="0.35">
      <c r="A1066">
        <v>18</v>
      </c>
      <c r="B1066" t="s">
        <v>16</v>
      </c>
      <c r="C1066">
        <v>2.5</v>
      </c>
      <c r="D1066" t="s">
        <v>17</v>
      </c>
      <c r="E1066">
        <v>7.1</v>
      </c>
      <c r="F1066">
        <v>1.6</v>
      </c>
      <c r="G1066">
        <v>3.97</v>
      </c>
      <c r="H1066">
        <v>0.7</v>
      </c>
      <c r="I1066" t="s">
        <v>19</v>
      </c>
      <c r="J1066">
        <v>10</v>
      </c>
      <c r="K1066">
        <v>7</v>
      </c>
      <c r="L1066">
        <v>3</v>
      </c>
      <c r="M1066">
        <v>0</v>
      </c>
    </row>
    <row r="1067" spans="1:13" x14ac:dyDescent="0.35">
      <c r="A1067">
        <v>18</v>
      </c>
      <c r="B1067" t="s">
        <v>13</v>
      </c>
      <c r="C1067">
        <v>4</v>
      </c>
      <c r="D1067" t="s">
        <v>20</v>
      </c>
      <c r="E1067">
        <v>8</v>
      </c>
      <c r="F1067">
        <v>2</v>
      </c>
      <c r="G1067">
        <v>3.04</v>
      </c>
      <c r="H1067">
        <v>1.4</v>
      </c>
      <c r="I1067" t="s">
        <v>18</v>
      </c>
      <c r="J1067">
        <v>3</v>
      </c>
      <c r="K1067">
        <v>1</v>
      </c>
      <c r="L1067">
        <v>8</v>
      </c>
      <c r="M1067">
        <v>0</v>
      </c>
    </row>
    <row r="1068" spans="1:13" x14ac:dyDescent="0.35">
      <c r="A1068">
        <v>17</v>
      </c>
      <c r="B1068" t="s">
        <v>16</v>
      </c>
      <c r="C1068">
        <v>6.6</v>
      </c>
      <c r="D1068" t="s">
        <v>20</v>
      </c>
      <c r="E1068">
        <v>8</v>
      </c>
      <c r="F1068">
        <v>1.9</v>
      </c>
      <c r="G1068">
        <v>2.86</v>
      </c>
      <c r="H1068">
        <v>0.4</v>
      </c>
      <c r="I1068" t="s">
        <v>19</v>
      </c>
      <c r="J1068">
        <v>4</v>
      </c>
      <c r="K1068">
        <v>8</v>
      </c>
      <c r="L1068">
        <v>5</v>
      </c>
      <c r="M1068">
        <v>0</v>
      </c>
    </row>
    <row r="1069" spans="1:13" x14ac:dyDescent="0.35">
      <c r="A1069">
        <v>14</v>
      </c>
      <c r="B1069" t="s">
        <v>16</v>
      </c>
      <c r="C1069">
        <v>2.9</v>
      </c>
      <c r="D1069" t="s">
        <v>17</v>
      </c>
      <c r="E1069">
        <v>5.8</v>
      </c>
      <c r="F1069">
        <v>1.6</v>
      </c>
      <c r="G1069">
        <v>3.34</v>
      </c>
      <c r="H1069">
        <v>1.1000000000000001</v>
      </c>
      <c r="I1069" t="s">
        <v>19</v>
      </c>
      <c r="J1069">
        <v>6</v>
      </c>
      <c r="K1069">
        <v>10</v>
      </c>
      <c r="L1069">
        <v>3</v>
      </c>
      <c r="M1069">
        <v>0</v>
      </c>
    </row>
    <row r="1070" spans="1:13" x14ac:dyDescent="0.35">
      <c r="A1070">
        <v>14</v>
      </c>
      <c r="B1070" t="s">
        <v>13</v>
      </c>
      <c r="C1070">
        <v>7.2</v>
      </c>
      <c r="D1070" t="s">
        <v>17</v>
      </c>
      <c r="E1070">
        <v>5.7</v>
      </c>
      <c r="F1070">
        <v>2.7</v>
      </c>
      <c r="G1070">
        <v>2.76</v>
      </c>
      <c r="H1070">
        <v>0.4</v>
      </c>
      <c r="I1070" t="s">
        <v>15</v>
      </c>
      <c r="J1070">
        <v>7</v>
      </c>
      <c r="K1070">
        <v>3</v>
      </c>
      <c r="L1070">
        <v>7</v>
      </c>
      <c r="M1070">
        <v>0</v>
      </c>
    </row>
    <row r="1071" spans="1:13" x14ac:dyDescent="0.35">
      <c r="A1071">
        <v>13</v>
      </c>
      <c r="B1071" t="s">
        <v>16</v>
      </c>
      <c r="C1071">
        <v>2.9</v>
      </c>
      <c r="D1071" t="s">
        <v>14</v>
      </c>
      <c r="E1071">
        <v>5.3</v>
      </c>
      <c r="F1071">
        <v>1</v>
      </c>
      <c r="G1071">
        <v>3.89</v>
      </c>
      <c r="H1071">
        <v>1.7</v>
      </c>
      <c r="I1071" t="s">
        <v>18</v>
      </c>
      <c r="J1071">
        <v>9</v>
      </c>
      <c r="K1071">
        <v>2</v>
      </c>
      <c r="L1071">
        <v>4</v>
      </c>
      <c r="M1071">
        <v>0</v>
      </c>
    </row>
    <row r="1072" spans="1:13" x14ac:dyDescent="0.35">
      <c r="A1072">
        <v>15</v>
      </c>
      <c r="B1072" t="s">
        <v>16</v>
      </c>
      <c r="C1072">
        <v>7.3</v>
      </c>
      <c r="D1072" t="s">
        <v>20</v>
      </c>
      <c r="E1072">
        <v>5.7</v>
      </c>
      <c r="F1072">
        <v>2.9</v>
      </c>
      <c r="G1072">
        <v>3.48</v>
      </c>
      <c r="H1072">
        <v>1.8</v>
      </c>
      <c r="I1072" t="s">
        <v>19</v>
      </c>
      <c r="J1072">
        <v>2</v>
      </c>
      <c r="K1072">
        <v>7</v>
      </c>
      <c r="L1072">
        <v>8</v>
      </c>
      <c r="M1072">
        <v>0</v>
      </c>
    </row>
    <row r="1073" spans="1:13" x14ac:dyDescent="0.35">
      <c r="A1073">
        <v>16</v>
      </c>
      <c r="B1073" t="s">
        <v>16</v>
      </c>
      <c r="C1073">
        <v>3.7</v>
      </c>
      <c r="D1073" t="s">
        <v>17</v>
      </c>
      <c r="E1073">
        <v>9</v>
      </c>
      <c r="F1073">
        <v>1.5</v>
      </c>
      <c r="G1073">
        <v>3.37</v>
      </c>
      <c r="H1073">
        <v>1.9</v>
      </c>
      <c r="I1073" t="s">
        <v>15</v>
      </c>
      <c r="J1073">
        <v>4</v>
      </c>
      <c r="K1073">
        <v>3</v>
      </c>
      <c r="L1073">
        <v>1</v>
      </c>
      <c r="M1073">
        <v>0</v>
      </c>
    </row>
    <row r="1074" spans="1:13" x14ac:dyDescent="0.35">
      <c r="A1074">
        <v>16</v>
      </c>
      <c r="B1074" t="s">
        <v>13</v>
      </c>
      <c r="C1074">
        <v>7</v>
      </c>
      <c r="D1074" t="s">
        <v>14</v>
      </c>
      <c r="E1074">
        <v>4.8</v>
      </c>
      <c r="F1074">
        <v>1.7</v>
      </c>
      <c r="G1074">
        <v>2.9</v>
      </c>
      <c r="H1074">
        <v>0.3</v>
      </c>
      <c r="I1074" t="s">
        <v>15</v>
      </c>
      <c r="J1074">
        <v>4</v>
      </c>
      <c r="K1074">
        <v>1</v>
      </c>
      <c r="L1074">
        <v>8</v>
      </c>
      <c r="M1074">
        <v>0</v>
      </c>
    </row>
    <row r="1075" spans="1:13" x14ac:dyDescent="0.35">
      <c r="A1075">
        <v>15</v>
      </c>
      <c r="B1075" t="s">
        <v>13</v>
      </c>
      <c r="C1075">
        <v>4</v>
      </c>
      <c r="D1075" t="s">
        <v>17</v>
      </c>
      <c r="E1075">
        <v>8.4</v>
      </c>
      <c r="F1075">
        <v>2.2999999999999998</v>
      </c>
      <c r="G1075">
        <v>2.52</v>
      </c>
      <c r="H1075">
        <v>0.9</v>
      </c>
      <c r="I1075" t="s">
        <v>15</v>
      </c>
      <c r="J1075">
        <v>4</v>
      </c>
      <c r="K1075">
        <v>5</v>
      </c>
      <c r="L1075">
        <v>3</v>
      </c>
      <c r="M1075">
        <v>0</v>
      </c>
    </row>
    <row r="1076" spans="1:13" x14ac:dyDescent="0.35">
      <c r="A1076">
        <v>16</v>
      </c>
      <c r="B1076" t="s">
        <v>13</v>
      </c>
      <c r="C1076">
        <v>2.7</v>
      </c>
      <c r="D1076" t="s">
        <v>20</v>
      </c>
      <c r="E1076">
        <v>7.5</v>
      </c>
      <c r="F1076">
        <v>2.8</v>
      </c>
      <c r="G1076">
        <v>3.53</v>
      </c>
      <c r="H1076">
        <v>0.9</v>
      </c>
      <c r="I1076" t="s">
        <v>19</v>
      </c>
      <c r="J1076">
        <v>3</v>
      </c>
      <c r="K1076">
        <v>1</v>
      </c>
      <c r="L1076">
        <v>5</v>
      </c>
      <c r="M1076">
        <v>0</v>
      </c>
    </row>
    <row r="1077" spans="1:13" x14ac:dyDescent="0.35">
      <c r="A1077">
        <v>15</v>
      </c>
      <c r="B1077" t="s">
        <v>13</v>
      </c>
      <c r="C1077">
        <v>7.2</v>
      </c>
      <c r="D1077" t="s">
        <v>20</v>
      </c>
      <c r="E1077">
        <v>5.7</v>
      </c>
      <c r="F1077">
        <v>0.7</v>
      </c>
      <c r="G1077">
        <v>3.89</v>
      </c>
      <c r="H1077">
        <v>1</v>
      </c>
      <c r="I1077" t="s">
        <v>19</v>
      </c>
      <c r="J1077">
        <v>1</v>
      </c>
      <c r="K1077">
        <v>3</v>
      </c>
      <c r="L1077">
        <v>6</v>
      </c>
      <c r="M1077">
        <v>0</v>
      </c>
    </row>
    <row r="1078" spans="1:13" x14ac:dyDescent="0.35">
      <c r="A1078">
        <v>18</v>
      </c>
      <c r="B1078" t="s">
        <v>13</v>
      </c>
      <c r="C1078">
        <v>7.9</v>
      </c>
      <c r="D1078" t="s">
        <v>20</v>
      </c>
      <c r="E1078">
        <v>7</v>
      </c>
      <c r="F1078">
        <v>2.7</v>
      </c>
      <c r="G1078">
        <v>3.9</v>
      </c>
      <c r="H1078">
        <v>1</v>
      </c>
      <c r="I1078" t="s">
        <v>19</v>
      </c>
      <c r="J1078">
        <v>1</v>
      </c>
      <c r="K1078">
        <v>2</v>
      </c>
      <c r="L1078">
        <v>10</v>
      </c>
      <c r="M1078">
        <v>0</v>
      </c>
    </row>
    <row r="1079" spans="1:13" x14ac:dyDescent="0.35">
      <c r="A1079">
        <v>14</v>
      </c>
      <c r="B1079" t="s">
        <v>16</v>
      </c>
      <c r="C1079">
        <v>5.0999999999999996</v>
      </c>
      <c r="D1079" t="s">
        <v>14</v>
      </c>
      <c r="E1079">
        <v>5.3</v>
      </c>
      <c r="F1079">
        <v>2.2999999999999998</v>
      </c>
      <c r="G1079">
        <v>2.31</v>
      </c>
      <c r="H1079">
        <v>0.2</v>
      </c>
      <c r="I1079" t="s">
        <v>18</v>
      </c>
      <c r="J1079">
        <v>3</v>
      </c>
      <c r="K1079">
        <v>3</v>
      </c>
      <c r="L1079">
        <v>6</v>
      </c>
      <c r="M1079">
        <v>0</v>
      </c>
    </row>
    <row r="1080" spans="1:13" x14ac:dyDescent="0.35">
      <c r="A1080">
        <v>15</v>
      </c>
      <c r="B1080" t="s">
        <v>16</v>
      </c>
      <c r="C1080">
        <v>6.4</v>
      </c>
      <c r="D1080" t="s">
        <v>20</v>
      </c>
      <c r="E1080">
        <v>7.7</v>
      </c>
      <c r="F1080">
        <v>0.7</v>
      </c>
      <c r="G1080">
        <v>3.86</v>
      </c>
      <c r="H1080">
        <v>1.5</v>
      </c>
      <c r="I1080" t="s">
        <v>18</v>
      </c>
      <c r="J1080">
        <v>10</v>
      </c>
      <c r="K1080">
        <v>2</v>
      </c>
      <c r="L1080">
        <v>7</v>
      </c>
      <c r="M1080">
        <v>0</v>
      </c>
    </row>
    <row r="1081" spans="1:13" x14ac:dyDescent="0.35">
      <c r="A1081">
        <v>16</v>
      </c>
      <c r="B1081" t="s">
        <v>16</v>
      </c>
      <c r="C1081">
        <v>4.4000000000000004</v>
      </c>
      <c r="D1081" t="s">
        <v>20</v>
      </c>
      <c r="E1081">
        <v>4.2</v>
      </c>
      <c r="F1081">
        <v>2</v>
      </c>
      <c r="G1081">
        <v>3.89</v>
      </c>
      <c r="H1081">
        <v>1.1000000000000001</v>
      </c>
      <c r="I1081" t="s">
        <v>19</v>
      </c>
      <c r="J1081">
        <v>2</v>
      </c>
      <c r="K1081">
        <v>9</v>
      </c>
      <c r="L1081">
        <v>8</v>
      </c>
      <c r="M1081">
        <v>0</v>
      </c>
    </row>
    <row r="1082" spans="1:13" x14ac:dyDescent="0.35">
      <c r="A1082">
        <v>16</v>
      </c>
      <c r="B1082" t="s">
        <v>13</v>
      </c>
      <c r="C1082">
        <v>7</v>
      </c>
      <c r="D1082" t="s">
        <v>17</v>
      </c>
      <c r="E1082">
        <v>7.4</v>
      </c>
      <c r="F1082">
        <v>2.6</v>
      </c>
      <c r="G1082">
        <v>2.92</v>
      </c>
      <c r="H1082">
        <v>1</v>
      </c>
      <c r="I1082" t="s">
        <v>19</v>
      </c>
      <c r="J1082">
        <v>10</v>
      </c>
      <c r="K1082">
        <v>6</v>
      </c>
      <c r="L1082">
        <v>3</v>
      </c>
      <c r="M1082">
        <v>0</v>
      </c>
    </row>
    <row r="1083" spans="1:13" x14ac:dyDescent="0.35">
      <c r="A1083">
        <v>17</v>
      </c>
      <c r="B1083" t="s">
        <v>16</v>
      </c>
      <c r="C1083">
        <v>7.8</v>
      </c>
      <c r="D1083" t="s">
        <v>17</v>
      </c>
      <c r="E1083">
        <v>5.7</v>
      </c>
      <c r="F1083">
        <v>1.2</v>
      </c>
      <c r="G1083">
        <v>3.72</v>
      </c>
      <c r="H1083">
        <v>1.2</v>
      </c>
      <c r="I1083" t="s">
        <v>18</v>
      </c>
      <c r="J1083">
        <v>10</v>
      </c>
      <c r="K1083">
        <v>2</v>
      </c>
      <c r="L1083">
        <v>6</v>
      </c>
      <c r="M1083">
        <v>0</v>
      </c>
    </row>
    <row r="1084" spans="1:13" x14ac:dyDescent="0.35">
      <c r="A1084">
        <v>14</v>
      </c>
      <c r="B1084" t="s">
        <v>16</v>
      </c>
      <c r="C1084">
        <v>5</v>
      </c>
      <c r="D1084" t="s">
        <v>14</v>
      </c>
      <c r="E1084">
        <v>6.2</v>
      </c>
      <c r="F1084">
        <v>1</v>
      </c>
      <c r="G1084">
        <v>2</v>
      </c>
      <c r="H1084">
        <v>1.5</v>
      </c>
      <c r="I1084" t="s">
        <v>15</v>
      </c>
      <c r="J1084">
        <v>5</v>
      </c>
      <c r="K1084">
        <v>6</v>
      </c>
      <c r="L1084">
        <v>1</v>
      </c>
      <c r="M1084">
        <v>0</v>
      </c>
    </row>
    <row r="1085" spans="1:13" x14ac:dyDescent="0.35">
      <c r="A1085">
        <v>17</v>
      </c>
      <c r="B1085" t="s">
        <v>13</v>
      </c>
      <c r="C1085">
        <v>6.6</v>
      </c>
      <c r="D1085" t="s">
        <v>17</v>
      </c>
      <c r="E1085">
        <v>5.3</v>
      </c>
      <c r="F1085">
        <v>1.1000000000000001</v>
      </c>
      <c r="G1085">
        <v>3.5</v>
      </c>
      <c r="H1085">
        <v>1.7</v>
      </c>
      <c r="I1085" t="s">
        <v>19</v>
      </c>
      <c r="J1085">
        <v>1</v>
      </c>
      <c r="K1085">
        <v>10</v>
      </c>
      <c r="L1085">
        <v>7</v>
      </c>
      <c r="M1085">
        <v>0</v>
      </c>
    </row>
    <row r="1086" spans="1:13" x14ac:dyDescent="0.35">
      <c r="A1086">
        <v>18</v>
      </c>
      <c r="B1086" t="s">
        <v>13</v>
      </c>
      <c r="C1086">
        <v>2.6</v>
      </c>
      <c r="D1086" t="s">
        <v>20</v>
      </c>
      <c r="E1086">
        <v>8.6</v>
      </c>
      <c r="F1086">
        <v>2.7</v>
      </c>
      <c r="G1086">
        <v>3.28</v>
      </c>
      <c r="H1086">
        <v>0.8</v>
      </c>
      <c r="I1086" t="s">
        <v>18</v>
      </c>
      <c r="J1086">
        <v>5</v>
      </c>
      <c r="K1086">
        <v>4</v>
      </c>
      <c r="L1086">
        <v>6</v>
      </c>
      <c r="M1086">
        <v>0</v>
      </c>
    </row>
    <row r="1087" spans="1:13" x14ac:dyDescent="0.35">
      <c r="A1087">
        <v>13</v>
      </c>
      <c r="B1087" t="s">
        <v>16</v>
      </c>
      <c r="C1087">
        <v>5.8</v>
      </c>
      <c r="D1087" t="s">
        <v>14</v>
      </c>
      <c r="E1087">
        <v>4.4000000000000004</v>
      </c>
      <c r="F1087">
        <v>1.8</v>
      </c>
      <c r="G1087">
        <v>3.8</v>
      </c>
      <c r="H1087">
        <v>1</v>
      </c>
      <c r="I1087" t="s">
        <v>18</v>
      </c>
      <c r="J1087">
        <v>2</v>
      </c>
      <c r="K1087">
        <v>2</v>
      </c>
      <c r="L1087">
        <v>1</v>
      </c>
      <c r="M1087">
        <v>0</v>
      </c>
    </row>
    <row r="1088" spans="1:13" x14ac:dyDescent="0.35">
      <c r="A1088">
        <v>14</v>
      </c>
      <c r="B1088" t="s">
        <v>16</v>
      </c>
      <c r="C1088">
        <v>5.6</v>
      </c>
      <c r="D1088" t="s">
        <v>17</v>
      </c>
      <c r="E1088">
        <v>6.8</v>
      </c>
      <c r="F1088">
        <v>2.2999999999999998</v>
      </c>
      <c r="G1088">
        <v>2.66</v>
      </c>
      <c r="H1088">
        <v>1.1000000000000001</v>
      </c>
      <c r="I1088" t="s">
        <v>18</v>
      </c>
      <c r="J1088">
        <v>7</v>
      </c>
      <c r="K1088">
        <v>6</v>
      </c>
      <c r="L1088">
        <v>2</v>
      </c>
      <c r="M1088">
        <v>0</v>
      </c>
    </row>
    <row r="1089" spans="1:13" x14ac:dyDescent="0.35">
      <c r="A1089">
        <v>18</v>
      </c>
      <c r="B1089" t="s">
        <v>13</v>
      </c>
      <c r="C1089">
        <v>4.5999999999999996</v>
      </c>
      <c r="D1089" t="s">
        <v>20</v>
      </c>
      <c r="E1089">
        <v>4.3</v>
      </c>
      <c r="F1089">
        <v>2.9</v>
      </c>
      <c r="G1089">
        <v>2.95</v>
      </c>
      <c r="H1089">
        <v>0.6</v>
      </c>
      <c r="I1089" t="s">
        <v>19</v>
      </c>
      <c r="J1089">
        <v>7</v>
      </c>
      <c r="K1089">
        <v>9</v>
      </c>
      <c r="L1089">
        <v>8</v>
      </c>
      <c r="M1089">
        <v>0</v>
      </c>
    </row>
    <row r="1090" spans="1:13" x14ac:dyDescent="0.35">
      <c r="A1090">
        <v>19</v>
      </c>
      <c r="B1090" t="s">
        <v>13</v>
      </c>
      <c r="C1090">
        <v>1.4</v>
      </c>
      <c r="D1090" t="s">
        <v>20</v>
      </c>
      <c r="E1090">
        <v>4.7</v>
      </c>
      <c r="F1090">
        <v>0.5</v>
      </c>
      <c r="G1090">
        <v>3.57</v>
      </c>
      <c r="H1090">
        <v>1.7</v>
      </c>
      <c r="I1090" t="s">
        <v>18</v>
      </c>
      <c r="J1090">
        <v>1</v>
      </c>
      <c r="K1090">
        <v>5</v>
      </c>
      <c r="L1090">
        <v>6</v>
      </c>
      <c r="M1090">
        <v>0</v>
      </c>
    </row>
    <row r="1091" spans="1:13" x14ac:dyDescent="0.35">
      <c r="A1091">
        <v>13</v>
      </c>
      <c r="B1091" t="s">
        <v>16</v>
      </c>
      <c r="C1091">
        <v>2.9</v>
      </c>
      <c r="D1091" t="s">
        <v>20</v>
      </c>
      <c r="E1091">
        <v>8.1999999999999993</v>
      </c>
      <c r="F1091">
        <v>2.2999999999999998</v>
      </c>
      <c r="G1091">
        <v>2.48</v>
      </c>
      <c r="H1091">
        <v>0.9</v>
      </c>
      <c r="I1091" t="s">
        <v>15</v>
      </c>
      <c r="J1091">
        <v>5</v>
      </c>
      <c r="K1091">
        <v>8</v>
      </c>
      <c r="L1091">
        <v>9</v>
      </c>
      <c r="M1091">
        <v>0</v>
      </c>
    </row>
    <row r="1092" spans="1:13" x14ac:dyDescent="0.35">
      <c r="A1092">
        <v>16</v>
      </c>
      <c r="B1092" t="s">
        <v>16</v>
      </c>
      <c r="C1092">
        <v>7.9</v>
      </c>
      <c r="D1092" t="s">
        <v>14</v>
      </c>
      <c r="E1092">
        <v>6.3</v>
      </c>
      <c r="F1092">
        <v>2.7</v>
      </c>
      <c r="G1092">
        <v>2.88</v>
      </c>
      <c r="H1092">
        <v>0.2</v>
      </c>
      <c r="I1092" t="s">
        <v>18</v>
      </c>
      <c r="J1092">
        <v>2</v>
      </c>
      <c r="K1092">
        <v>7</v>
      </c>
      <c r="L1092">
        <v>5</v>
      </c>
      <c r="M1092">
        <v>0</v>
      </c>
    </row>
    <row r="1093" spans="1:13" x14ac:dyDescent="0.35">
      <c r="A1093">
        <v>13</v>
      </c>
      <c r="B1093" t="s">
        <v>13</v>
      </c>
      <c r="C1093">
        <v>3.5</v>
      </c>
      <c r="D1093" t="s">
        <v>20</v>
      </c>
      <c r="E1093">
        <v>6.8</v>
      </c>
      <c r="F1093">
        <v>2.2999999999999998</v>
      </c>
      <c r="G1093">
        <v>2.2799999999999998</v>
      </c>
      <c r="H1093">
        <v>1</v>
      </c>
      <c r="I1093" t="s">
        <v>15</v>
      </c>
      <c r="J1093">
        <v>7</v>
      </c>
      <c r="K1093">
        <v>2</v>
      </c>
      <c r="L1093">
        <v>6</v>
      </c>
      <c r="M1093">
        <v>0</v>
      </c>
    </row>
    <row r="1094" spans="1:13" x14ac:dyDescent="0.35">
      <c r="A1094">
        <v>14</v>
      </c>
      <c r="B1094" t="s">
        <v>16</v>
      </c>
      <c r="C1094">
        <v>3.8</v>
      </c>
      <c r="D1094" t="s">
        <v>14</v>
      </c>
      <c r="E1094">
        <v>7.9</v>
      </c>
      <c r="F1094">
        <v>1.2</v>
      </c>
      <c r="G1094">
        <v>3.24</v>
      </c>
      <c r="H1094">
        <v>1.6</v>
      </c>
      <c r="I1094" t="s">
        <v>18</v>
      </c>
      <c r="J1094">
        <v>6</v>
      </c>
      <c r="K1094">
        <v>10</v>
      </c>
      <c r="L1094">
        <v>5</v>
      </c>
      <c r="M1094">
        <v>0</v>
      </c>
    </row>
    <row r="1095" spans="1:13" x14ac:dyDescent="0.35">
      <c r="A1095">
        <v>19</v>
      </c>
      <c r="B1095" t="s">
        <v>13</v>
      </c>
      <c r="C1095">
        <v>2.9</v>
      </c>
      <c r="D1095" t="s">
        <v>14</v>
      </c>
      <c r="E1095">
        <v>8.6999999999999993</v>
      </c>
      <c r="F1095">
        <v>0.9</v>
      </c>
      <c r="G1095">
        <v>2.99</v>
      </c>
      <c r="H1095">
        <v>0.8</v>
      </c>
      <c r="I1095" t="s">
        <v>19</v>
      </c>
      <c r="J1095">
        <v>7</v>
      </c>
      <c r="K1095">
        <v>8</v>
      </c>
      <c r="L1095">
        <v>2</v>
      </c>
      <c r="M1095">
        <v>0</v>
      </c>
    </row>
    <row r="1096" spans="1:13" x14ac:dyDescent="0.35">
      <c r="A1096">
        <v>17</v>
      </c>
      <c r="B1096" t="s">
        <v>13</v>
      </c>
      <c r="C1096">
        <v>3.5</v>
      </c>
      <c r="D1096" t="s">
        <v>20</v>
      </c>
      <c r="E1096">
        <v>4.5999999999999996</v>
      </c>
      <c r="F1096">
        <v>0.7</v>
      </c>
      <c r="G1096">
        <v>3.9</v>
      </c>
      <c r="H1096">
        <v>0.6</v>
      </c>
      <c r="I1096" t="s">
        <v>18</v>
      </c>
      <c r="J1096">
        <v>7</v>
      </c>
      <c r="K1096">
        <v>3</v>
      </c>
      <c r="L1096">
        <v>1</v>
      </c>
      <c r="M1096">
        <v>0</v>
      </c>
    </row>
    <row r="1097" spans="1:13" x14ac:dyDescent="0.35">
      <c r="A1097">
        <v>16</v>
      </c>
      <c r="B1097" t="s">
        <v>13</v>
      </c>
      <c r="C1097">
        <v>4.8</v>
      </c>
      <c r="D1097" t="s">
        <v>14</v>
      </c>
      <c r="E1097">
        <v>8.6</v>
      </c>
      <c r="F1097">
        <v>1.8</v>
      </c>
      <c r="G1097">
        <v>2.44</v>
      </c>
      <c r="H1097">
        <v>1.7</v>
      </c>
      <c r="I1097" t="s">
        <v>18</v>
      </c>
      <c r="J1097">
        <v>8</v>
      </c>
      <c r="K1097">
        <v>7</v>
      </c>
      <c r="L1097">
        <v>3</v>
      </c>
      <c r="M1097">
        <v>0</v>
      </c>
    </row>
    <row r="1098" spans="1:13" x14ac:dyDescent="0.35">
      <c r="A1098">
        <v>13</v>
      </c>
      <c r="B1098" t="s">
        <v>13</v>
      </c>
      <c r="C1098">
        <v>5.8</v>
      </c>
      <c r="D1098" t="s">
        <v>17</v>
      </c>
      <c r="E1098">
        <v>7.2</v>
      </c>
      <c r="F1098">
        <v>1.1000000000000001</v>
      </c>
      <c r="G1098">
        <v>2.69</v>
      </c>
      <c r="H1098">
        <v>0.4</v>
      </c>
      <c r="I1098" t="s">
        <v>15</v>
      </c>
      <c r="J1098">
        <v>7</v>
      </c>
      <c r="K1098">
        <v>3</v>
      </c>
      <c r="L1098">
        <v>7</v>
      </c>
      <c r="M1098">
        <v>0</v>
      </c>
    </row>
    <row r="1099" spans="1:13" x14ac:dyDescent="0.35">
      <c r="A1099">
        <v>16</v>
      </c>
      <c r="B1099" t="s">
        <v>16</v>
      </c>
      <c r="C1099">
        <v>6.1</v>
      </c>
      <c r="D1099" t="s">
        <v>20</v>
      </c>
      <c r="E1099">
        <v>7.5</v>
      </c>
      <c r="F1099">
        <v>2.5</v>
      </c>
      <c r="G1099">
        <v>3.14</v>
      </c>
      <c r="H1099">
        <v>0.5</v>
      </c>
      <c r="I1099" t="s">
        <v>15</v>
      </c>
      <c r="J1099">
        <v>9</v>
      </c>
      <c r="K1099">
        <v>6</v>
      </c>
      <c r="L1099">
        <v>10</v>
      </c>
      <c r="M1099">
        <v>0</v>
      </c>
    </row>
    <row r="1100" spans="1:13" x14ac:dyDescent="0.35">
      <c r="A1100">
        <v>14</v>
      </c>
      <c r="B1100" t="s">
        <v>16</v>
      </c>
      <c r="C1100">
        <v>4.3</v>
      </c>
      <c r="D1100" t="s">
        <v>20</v>
      </c>
      <c r="E1100">
        <v>7.8</v>
      </c>
      <c r="F1100">
        <v>0.5</v>
      </c>
      <c r="G1100">
        <v>3.92</v>
      </c>
      <c r="H1100">
        <v>0.7</v>
      </c>
      <c r="I1100" t="s">
        <v>18</v>
      </c>
      <c r="J1100">
        <v>3</v>
      </c>
      <c r="K1100">
        <v>4</v>
      </c>
      <c r="L1100">
        <v>8</v>
      </c>
      <c r="M1100">
        <v>0</v>
      </c>
    </row>
    <row r="1101" spans="1:13" x14ac:dyDescent="0.35">
      <c r="A1101">
        <v>15</v>
      </c>
      <c r="B1101" t="s">
        <v>16</v>
      </c>
      <c r="C1101">
        <v>7.8</v>
      </c>
      <c r="D1101" t="s">
        <v>14</v>
      </c>
      <c r="E1101">
        <v>4.5999999999999996</v>
      </c>
      <c r="F1101">
        <v>3</v>
      </c>
      <c r="G1101">
        <v>2.44</v>
      </c>
      <c r="H1101">
        <v>1.4</v>
      </c>
      <c r="I1101" t="s">
        <v>19</v>
      </c>
      <c r="J1101">
        <v>8</v>
      </c>
      <c r="K1101">
        <v>10</v>
      </c>
      <c r="L1101">
        <v>6</v>
      </c>
      <c r="M1101">
        <v>1</v>
      </c>
    </row>
    <row r="1102" spans="1:13" x14ac:dyDescent="0.35">
      <c r="A1102">
        <v>15</v>
      </c>
      <c r="B1102" t="s">
        <v>16</v>
      </c>
      <c r="C1102">
        <v>5.2</v>
      </c>
      <c r="D1102" t="s">
        <v>17</v>
      </c>
      <c r="E1102">
        <v>7.5</v>
      </c>
      <c r="F1102">
        <v>1.1000000000000001</v>
      </c>
      <c r="G1102">
        <v>3.61</v>
      </c>
      <c r="H1102">
        <v>0.1</v>
      </c>
      <c r="I1102" t="s">
        <v>15</v>
      </c>
      <c r="J1102">
        <v>4</v>
      </c>
      <c r="K1102">
        <v>6</v>
      </c>
      <c r="L1102">
        <v>7</v>
      </c>
      <c r="M1102">
        <v>0</v>
      </c>
    </row>
    <row r="1103" spans="1:13" x14ac:dyDescent="0.35">
      <c r="A1103">
        <v>17</v>
      </c>
      <c r="B1103" t="s">
        <v>13</v>
      </c>
      <c r="C1103">
        <v>3.5</v>
      </c>
      <c r="D1103" t="s">
        <v>14</v>
      </c>
      <c r="E1103">
        <v>4.3</v>
      </c>
      <c r="F1103">
        <v>2.2000000000000002</v>
      </c>
      <c r="G1103">
        <v>3.19</v>
      </c>
      <c r="H1103">
        <v>1</v>
      </c>
      <c r="I1103" t="s">
        <v>18</v>
      </c>
      <c r="J1103">
        <v>4</v>
      </c>
      <c r="K1103">
        <v>5</v>
      </c>
      <c r="L1103">
        <v>9</v>
      </c>
      <c r="M1103">
        <v>0</v>
      </c>
    </row>
    <row r="1104" spans="1:13" x14ac:dyDescent="0.35">
      <c r="A1104">
        <v>16</v>
      </c>
      <c r="B1104" t="s">
        <v>16</v>
      </c>
      <c r="C1104">
        <v>6.5</v>
      </c>
      <c r="D1104" t="s">
        <v>17</v>
      </c>
      <c r="E1104">
        <v>4.5999999999999996</v>
      </c>
      <c r="F1104">
        <v>1.8</v>
      </c>
      <c r="G1104">
        <v>2.2000000000000002</v>
      </c>
      <c r="H1104">
        <v>1.2</v>
      </c>
      <c r="I1104" t="s">
        <v>15</v>
      </c>
      <c r="J1104">
        <v>7</v>
      </c>
      <c r="K1104">
        <v>4</v>
      </c>
      <c r="L1104">
        <v>4</v>
      </c>
      <c r="M1104">
        <v>0</v>
      </c>
    </row>
    <row r="1105" spans="1:13" x14ac:dyDescent="0.35">
      <c r="A1105">
        <v>17</v>
      </c>
      <c r="B1105" t="s">
        <v>13</v>
      </c>
      <c r="C1105">
        <v>4.7</v>
      </c>
      <c r="D1105" t="s">
        <v>17</v>
      </c>
      <c r="E1105">
        <v>7.2</v>
      </c>
      <c r="F1105">
        <v>2.7</v>
      </c>
      <c r="G1105">
        <v>2.06</v>
      </c>
      <c r="H1105">
        <v>1.4</v>
      </c>
      <c r="I1105" t="s">
        <v>15</v>
      </c>
      <c r="J1105">
        <v>3</v>
      </c>
      <c r="K1105">
        <v>1</v>
      </c>
      <c r="L1105">
        <v>4</v>
      </c>
      <c r="M1105">
        <v>0</v>
      </c>
    </row>
    <row r="1106" spans="1:13" x14ac:dyDescent="0.35">
      <c r="A1106">
        <v>13</v>
      </c>
      <c r="B1106" t="s">
        <v>13</v>
      </c>
      <c r="C1106">
        <v>2.5</v>
      </c>
      <c r="D1106" t="s">
        <v>14</v>
      </c>
      <c r="E1106">
        <v>6.3</v>
      </c>
      <c r="F1106">
        <v>1.8</v>
      </c>
      <c r="G1106">
        <v>2.2000000000000002</v>
      </c>
      <c r="H1106">
        <v>0.1</v>
      </c>
      <c r="I1106" t="s">
        <v>18</v>
      </c>
      <c r="J1106">
        <v>9</v>
      </c>
      <c r="K1106">
        <v>3</v>
      </c>
      <c r="L1106">
        <v>9</v>
      </c>
      <c r="M1106">
        <v>0</v>
      </c>
    </row>
    <row r="1107" spans="1:13" x14ac:dyDescent="0.35">
      <c r="A1107">
        <v>19</v>
      </c>
      <c r="B1107" t="s">
        <v>16</v>
      </c>
      <c r="C1107">
        <v>5.5</v>
      </c>
      <c r="D1107" t="s">
        <v>17</v>
      </c>
      <c r="E1107">
        <v>7.4</v>
      </c>
      <c r="F1107">
        <v>2</v>
      </c>
      <c r="G1107">
        <v>2.8</v>
      </c>
      <c r="H1107">
        <v>1.8</v>
      </c>
      <c r="I1107" t="s">
        <v>18</v>
      </c>
      <c r="J1107">
        <v>9</v>
      </c>
      <c r="K1107">
        <v>8</v>
      </c>
      <c r="L1107">
        <v>10</v>
      </c>
      <c r="M1107">
        <v>0</v>
      </c>
    </row>
    <row r="1108" spans="1:13" x14ac:dyDescent="0.35">
      <c r="A1108">
        <v>15</v>
      </c>
      <c r="B1108" t="s">
        <v>16</v>
      </c>
      <c r="C1108">
        <v>3.5</v>
      </c>
      <c r="D1108" t="s">
        <v>14</v>
      </c>
      <c r="E1108">
        <v>8</v>
      </c>
      <c r="F1108">
        <v>1.9</v>
      </c>
      <c r="G1108">
        <v>3.45</v>
      </c>
      <c r="H1108">
        <v>1.5</v>
      </c>
      <c r="I1108" t="s">
        <v>18</v>
      </c>
      <c r="J1108">
        <v>10</v>
      </c>
      <c r="K1108">
        <v>4</v>
      </c>
      <c r="L1108">
        <v>1</v>
      </c>
      <c r="M1108">
        <v>0</v>
      </c>
    </row>
    <row r="1109" spans="1:13" x14ac:dyDescent="0.35">
      <c r="A1109">
        <v>14</v>
      </c>
      <c r="B1109" t="s">
        <v>16</v>
      </c>
      <c r="C1109">
        <v>4.5999999999999996</v>
      </c>
      <c r="D1109" t="s">
        <v>17</v>
      </c>
      <c r="E1109">
        <v>7</v>
      </c>
      <c r="F1109">
        <v>1.6</v>
      </c>
      <c r="G1109">
        <v>2.74</v>
      </c>
      <c r="H1109">
        <v>0.9</v>
      </c>
      <c r="I1109" t="s">
        <v>15</v>
      </c>
      <c r="J1109">
        <v>3</v>
      </c>
      <c r="K1109">
        <v>2</v>
      </c>
      <c r="L1109">
        <v>9</v>
      </c>
      <c r="M1109">
        <v>0</v>
      </c>
    </row>
    <row r="1110" spans="1:13" x14ac:dyDescent="0.35">
      <c r="A1110">
        <v>13</v>
      </c>
      <c r="B1110" t="s">
        <v>16</v>
      </c>
      <c r="C1110">
        <v>3.5</v>
      </c>
      <c r="D1110" t="s">
        <v>14</v>
      </c>
      <c r="E1110">
        <v>6.9</v>
      </c>
      <c r="F1110">
        <v>1.6</v>
      </c>
      <c r="G1110">
        <v>2.08</v>
      </c>
      <c r="H1110">
        <v>0.7</v>
      </c>
      <c r="I1110" t="s">
        <v>15</v>
      </c>
      <c r="J1110">
        <v>9</v>
      </c>
      <c r="K1110">
        <v>9</v>
      </c>
      <c r="L1110">
        <v>9</v>
      </c>
      <c r="M1110">
        <v>0</v>
      </c>
    </row>
    <row r="1111" spans="1:13" x14ac:dyDescent="0.35">
      <c r="A1111">
        <v>19</v>
      </c>
      <c r="B1111" t="s">
        <v>13</v>
      </c>
      <c r="C1111">
        <v>1.6</v>
      </c>
      <c r="D1111" t="s">
        <v>17</v>
      </c>
      <c r="E1111">
        <v>8.6</v>
      </c>
      <c r="F1111">
        <v>1.4</v>
      </c>
      <c r="G1111">
        <v>2.69</v>
      </c>
      <c r="H1111">
        <v>1.6</v>
      </c>
      <c r="I1111" t="s">
        <v>19</v>
      </c>
      <c r="J1111">
        <v>4</v>
      </c>
      <c r="K1111">
        <v>3</v>
      </c>
      <c r="L1111">
        <v>4</v>
      </c>
      <c r="M1111">
        <v>0</v>
      </c>
    </row>
    <row r="1112" spans="1:13" x14ac:dyDescent="0.35">
      <c r="A1112">
        <v>13</v>
      </c>
      <c r="B1112" t="s">
        <v>16</v>
      </c>
      <c r="C1112">
        <v>3.2</v>
      </c>
      <c r="D1112" t="s">
        <v>20</v>
      </c>
      <c r="E1112">
        <v>5.9</v>
      </c>
      <c r="F1112">
        <v>0.7</v>
      </c>
      <c r="G1112">
        <v>3.98</v>
      </c>
      <c r="H1112">
        <v>0.8</v>
      </c>
      <c r="I1112" t="s">
        <v>15</v>
      </c>
      <c r="J1112">
        <v>6</v>
      </c>
      <c r="K1112">
        <v>8</v>
      </c>
      <c r="L1112">
        <v>1</v>
      </c>
      <c r="M1112">
        <v>0</v>
      </c>
    </row>
    <row r="1113" spans="1:13" x14ac:dyDescent="0.35">
      <c r="A1113">
        <v>19</v>
      </c>
      <c r="B1113" t="s">
        <v>16</v>
      </c>
      <c r="C1113">
        <v>1.7</v>
      </c>
      <c r="D1113" t="s">
        <v>20</v>
      </c>
      <c r="E1113">
        <v>7</v>
      </c>
      <c r="F1113">
        <v>2.7</v>
      </c>
      <c r="G1113">
        <v>2.0699999999999998</v>
      </c>
      <c r="H1113">
        <v>0.5</v>
      </c>
      <c r="I1113" t="s">
        <v>18</v>
      </c>
      <c r="J1113">
        <v>6</v>
      </c>
      <c r="K1113">
        <v>4</v>
      </c>
      <c r="L1113">
        <v>10</v>
      </c>
      <c r="M1113">
        <v>0</v>
      </c>
    </row>
    <row r="1114" spans="1:13" x14ac:dyDescent="0.35">
      <c r="A1114">
        <v>14</v>
      </c>
      <c r="B1114" t="s">
        <v>13</v>
      </c>
      <c r="C1114">
        <v>6.4</v>
      </c>
      <c r="D1114" t="s">
        <v>14</v>
      </c>
      <c r="E1114">
        <v>4.3</v>
      </c>
      <c r="F1114">
        <v>2.2999999999999998</v>
      </c>
      <c r="G1114">
        <v>3.99</v>
      </c>
      <c r="H1114">
        <v>1.1000000000000001</v>
      </c>
      <c r="I1114" t="s">
        <v>15</v>
      </c>
      <c r="J1114">
        <v>7</v>
      </c>
      <c r="K1114">
        <v>4</v>
      </c>
      <c r="L1114">
        <v>3</v>
      </c>
      <c r="M1114">
        <v>0</v>
      </c>
    </row>
    <row r="1115" spans="1:13" x14ac:dyDescent="0.35">
      <c r="A1115">
        <v>13</v>
      </c>
      <c r="B1115" t="s">
        <v>16</v>
      </c>
      <c r="C1115">
        <v>3.3</v>
      </c>
      <c r="D1115" t="s">
        <v>17</v>
      </c>
      <c r="E1115">
        <v>6.4</v>
      </c>
      <c r="F1115">
        <v>1</v>
      </c>
      <c r="G1115">
        <v>2.4900000000000002</v>
      </c>
      <c r="H1115">
        <v>1</v>
      </c>
      <c r="I1115" t="s">
        <v>15</v>
      </c>
      <c r="J1115">
        <v>9</v>
      </c>
      <c r="K1115">
        <v>2</v>
      </c>
      <c r="L1115">
        <v>4</v>
      </c>
      <c r="M1115">
        <v>0</v>
      </c>
    </row>
    <row r="1116" spans="1:13" x14ac:dyDescent="0.35">
      <c r="A1116">
        <v>18</v>
      </c>
      <c r="B1116" t="s">
        <v>13</v>
      </c>
      <c r="C1116">
        <v>1.2</v>
      </c>
      <c r="D1116" t="s">
        <v>20</v>
      </c>
      <c r="E1116">
        <v>6.8</v>
      </c>
      <c r="F1116">
        <v>2.6</v>
      </c>
      <c r="G1116">
        <v>2.85</v>
      </c>
      <c r="H1116">
        <v>1.8</v>
      </c>
      <c r="I1116" t="s">
        <v>19</v>
      </c>
      <c r="J1116">
        <v>4</v>
      </c>
      <c r="K1116">
        <v>3</v>
      </c>
      <c r="L1116">
        <v>9</v>
      </c>
      <c r="M1116">
        <v>0</v>
      </c>
    </row>
    <row r="1117" spans="1:13" x14ac:dyDescent="0.35">
      <c r="A1117">
        <v>13</v>
      </c>
      <c r="B1117" t="s">
        <v>16</v>
      </c>
      <c r="C1117">
        <v>2.5</v>
      </c>
      <c r="D1117" t="s">
        <v>20</v>
      </c>
      <c r="E1117">
        <v>7.8</v>
      </c>
      <c r="F1117">
        <v>1.4</v>
      </c>
      <c r="G1117">
        <v>3.43</v>
      </c>
      <c r="H1117">
        <v>0.9</v>
      </c>
      <c r="I1117" t="s">
        <v>19</v>
      </c>
      <c r="J1117">
        <v>1</v>
      </c>
      <c r="K1117">
        <v>4</v>
      </c>
      <c r="L1117">
        <v>6</v>
      </c>
      <c r="M1117">
        <v>0</v>
      </c>
    </row>
    <row r="1118" spans="1:13" x14ac:dyDescent="0.35">
      <c r="A1118">
        <v>16</v>
      </c>
      <c r="B1118" t="s">
        <v>13</v>
      </c>
      <c r="C1118">
        <v>2.2000000000000002</v>
      </c>
      <c r="D1118" t="s">
        <v>17</v>
      </c>
      <c r="E1118">
        <v>5.0999999999999996</v>
      </c>
      <c r="F1118">
        <v>2.2999999999999998</v>
      </c>
      <c r="G1118">
        <v>3.6</v>
      </c>
      <c r="H1118">
        <v>1</v>
      </c>
      <c r="I1118" t="s">
        <v>18</v>
      </c>
      <c r="J1118">
        <v>4</v>
      </c>
      <c r="K1118">
        <v>7</v>
      </c>
      <c r="L1118">
        <v>6</v>
      </c>
      <c r="M1118">
        <v>0</v>
      </c>
    </row>
    <row r="1119" spans="1:13" x14ac:dyDescent="0.35">
      <c r="A1119">
        <v>18</v>
      </c>
      <c r="B1119" t="s">
        <v>16</v>
      </c>
      <c r="C1119">
        <v>5.2</v>
      </c>
      <c r="D1119" t="s">
        <v>20</v>
      </c>
      <c r="E1119">
        <v>7.1</v>
      </c>
      <c r="F1119">
        <v>1.9</v>
      </c>
      <c r="G1119">
        <v>2.87</v>
      </c>
      <c r="H1119">
        <v>1.7</v>
      </c>
      <c r="I1119" t="s">
        <v>19</v>
      </c>
      <c r="J1119">
        <v>5</v>
      </c>
      <c r="K1119">
        <v>8</v>
      </c>
      <c r="L1119">
        <v>6</v>
      </c>
      <c r="M1119">
        <v>0</v>
      </c>
    </row>
    <row r="1120" spans="1:13" x14ac:dyDescent="0.35">
      <c r="A1120">
        <v>16</v>
      </c>
      <c r="B1120" t="s">
        <v>13</v>
      </c>
      <c r="C1120">
        <v>7.9</v>
      </c>
      <c r="D1120" t="s">
        <v>14</v>
      </c>
      <c r="E1120">
        <v>8.6999999999999993</v>
      </c>
      <c r="F1120">
        <v>2.5</v>
      </c>
      <c r="G1120">
        <v>2.29</v>
      </c>
      <c r="H1120">
        <v>0.7</v>
      </c>
      <c r="I1120" t="s">
        <v>18</v>
      </c>
      <c r="J1120">
        <v>7</v>
      </c>
      <c r="K1120">
        <v>7</v>
      </c>
      <c r="L1120">
        <v>4</v>
      </c>
      <c r="M1120">
        <v>0</v>
      </c>
    </row>
    <row r="1121" spans="1:13" x14ac:dyDescent="0.35">
      <c r="A1121">
        <v>18</v>
      </c>
      <c r="B1121" t="s">
        <v>13</v>
      </c>
      <c r="C1121">
        <v>5.6</v>
      </c>
      <c r="D1121" t="s">
        <v>20</v>
      </c>
      <c r="E1121">
        <v>8</v>
      </c>
      <c r="F1121">
        <v>2.4</v>
      </c>
      <c r="G1121">
        <v>2.95</v>
      </c>
      <c r="H1121">
        <v>0</v>
      </c>
      <c r="I1121" t="s">
        <v>15</v>
      </c>
      <c r="J1121">
        <v>2</v>
      </c>
      <c r="K1121">
        <v>10</v>
      </c>
      <c r="L1121">
        <v>3</v>
      </c>
      <c r="M1121">
        <v>0</v>
      </c>
    </row>
    <row r="1122" spans="1:13" x14ac:dyDescent="0.35">
      <c r="A1122">
        <v>16</v>
      </c>
      <c r="B1122" t="s">
        <v>13</v>
      </c>
      <c r="C1122">
        <v>3.9</v>
      </c>
      <c r="D1122" t="s">
        <v>17</v>
      </c>
      <c r="E1122">
        <v>4.2</v>
      </c>
      <c r="F1122">
        <v>2.1</v>
      </c>
      <c r="G1122">
        <v>2.2799999999999998</v>
      </c>
      <c r="H1122">
        <v>1.1000000000000001</v>
      </c>
      <c r="I1122" t="s">
        <v>19</v>
      </c>
      <c r="J1122">
        <v>6</v>
      </c>
      <c r="K1122">
        <v>5</v>
      </c>
      <c r="L1122">
        <v>7</v>
      </c>
      <c r="M1122">
        <v>0</v>
      </c>
    </row>
    <row r="1123" spans="1:13" x14ac:dyDescent="0.35">
      <c r="A1123">
        <v>18</v>
      </c>
      <c r="B1123" t="s">
        <v>16</v>
      </c>
      <c r="C1123">
        <v>1.8</v>
      </c>
      <c r="D1123" t="s">
        <v>17</v>
      </c>
      <c r="E1123">
        <v>6.1</v>
      </c>
      <c r="F1123">
        <v>2.7</v>
      </c>
      <c r="G1123">
        <v>2.86</v>
      </c>
      <c r="H1123">
        <v>1.1000000000000001</v>
      </c>
      <c r="I1123" t="s">
        <v>15</v>
      </c>
      <c r="J1123">
        <v>4</v>
      </c>
      <c r="K1123">
        <v>2</v>
      </c>
      <c r="L1123">
        <v>4</v>
      </c>
      <c r="M1123">
        <v>0</v>
      </c>
    </row>
    <row r="1124" spans="1:13" x14ac:dyDescent="0.35">
      <c r="A1124">
        <v>18</v>
      </c>
      <c r="B1124" t="s">
        <v>16</v>
      </c>
      <c r="C1124">
        <v>5.8</v>
      </c>
      <c r="D1124" t="s">
        <v>20</v>
      </c>
      <c r="E1124">
        <v>5.0999999999999996</v>
      </c>
      <c r="F1124">
        <v>1.2</v>
      </c>
      <c r="G1124">
        <v>3.24</v>
      </c>
      <c r="H1124">
        <v>0.4</v>
      </c>
      <c r="I1124" t="s">
        <v>18</v>
      </c>
      <c r="J1124">
        <v>5</v>
      </c>
      <c r="K1124">
        <v>9</v>
      </c>
      <c r="L1124">
        <v>2</v>
      </c>
      <c r="M1124">
        <v>0</v>
      </c>
    </row>
    <row r="1125" spans="1:13" x14ac:dyDescent="0.35">
      <c r="A1125">
        <v>18</v>
      </c>
      <c r="B1125" t="s">
        <v>16</v>
      </c>
      <c r="C1125">
        <v>2.2000000000000002</v>
      </c>
      <c r="D1125" t="s">
        <v>14</v>
      </c>
      <c r="E1125">
        <v>4.4000000000000004</v>
      </c>
      <c r="F1125">
        <v>1.7</v>
      </c>
      <c r="G1125">
        <v>2.86</v>
      </c>
      <c r="H1125">
        <v>1.1000000000000001</v>
      </c>
      <c r="I1125" t="s">
        <v>18</v>
      </c>
      <c r="J1125">
        <v>8</v>
      </c>
      <c r="K1125">
        <v>9</v>
      </c>
      <c r="L1125">
        <v>7</v>
      </c>
      <c r="M1125">
        <v>0</v>
      </c>
    </row>
    <row r="1126" spans="1:13" x14ac:dyDescent="0.35">
      <c r="A1126">
        <v>17</v>
      </c>
      <c r="B1126" t="s">
        <v>13</v>
      </c>
      <c r="C1126">
        <v>6.9</v>
      </c>
      <c r="D1126" t="s">
        <v>20</v>
      </c>
      <c r="E1126">
        <v>4.5999999999999996</v>
      </c>
      <c r="F1126">
        <v>2.5</v>
      </c>
      <c r="G1126">
        <v>2.04</v>
      </c>
      <c r="H1126">
        <v>0.8</v>
      </c>
      <c r="I1126" t="s">
        <v>18</v>
      </c>
      <c r="J1126">
        <v>10</v>
      </c>
      <c r="K1126">
        <v>9</v>
      </c>
      <c r="L1126">
        <v>2</v>
      </c>
      <c r="M1126">
        <v>1</v>
      </c>
    </row>
    <row r="1127" spans="1:13" x14ac:dyDescent="0.35">
      <c r="A1127">
        <v>14</v>
      </c>
      <c r="B1127" t="s">
        <v>16</v>
      </c>
      <c r="C1127">
        <v>5.7</v>
      </c>
      <c r="D1127" t="s">
        <v>14</v>
      </c>
      <c r="E1127">
        <v>6.7</v>
      </c>
      <c r="F1127">
        <v>2.6</v>
      </c>
      <c r="G1127">
        <v>2.35</v>
      </c>
      <c r="H1127">
        <v>1.8</v>
      </c>
      <c r="I1127" t="s">
        <v>18</v>
      </c>
      <c r="J1127">
        <v>10</v>
      </c>
      <c r="K1127">
        <v>10</v>
      </c>
      <c r="L1127">
        <v>7</v>
      </c>
      <c r="M1127">
        <v>0</v>
      </c>
    </row>
    <row r="1128" spans="1:13" x14ac:dyDescent="0.35">
      <c r="A1128">
        <v>17</v>
      </c>
      <c r="B1128" t="s">
        <v>13</v>
      </c>
      <c r="C1128">
        <v>7.5</v>
      </c>
      <c r="D1128" t="s">
        <v>17</v>
      </c>
      <c r="E1128">
        <v>5.6</v>
      </c>
      <c r="F1128">
        <v>2.2999999999999998</v>
      </c>
      <c r="G1128">
        <v>2.37</v>
      </c>
      <c r="H1128">
        <v>0</v>
      </c>
      <c r="I1128" t="s">
        <v>18</v>
      </c>
      <c r="J1128">
        <v>3</v>
      </c>
      <c r="K1128">
        <v>10</v>
      </c>
      <c r="L1128">
        <v>8</v>
      </c>
      <c r="M1128">
        <v>0</v>
      </c>
    </row>
    <row r="1129" spans="1:13" x14ac:dyDescent="0.35">
      <c r="A1129">
        <v>13</v>
      </c>
      <c r="B1129" t="s">
        <v>13</v>
      </c>
      <c r="C1129">
        <v>5.2</v>
      </c>
      <c r="D1129" t="s">
        <v>20</v>
      </c>
      <c r="E1129">
        <v>6.4</v>
      </c>
      <c r="F1129">
        <v>2.5</v>
      </c>
      <c r="G1129">
        <v>3.13</v>
      </c>
      <c r="H1129">
        <v>0.3</v>
      </c>
      <c r="I1129" t="s">
        <v>19</v>
      </c>
      <c r="J1129">
        <v>8</v>
      </c>
      <c r="K1129">
        <v>6</v>
      </c>
      <c r="L1129">
        <v>7</v>
      </c>
      <c r="M1129">
        <v>0</v>
      </c>
    </row>
    <row r="1130" spans="1:13" x14ac:dyDescent="0.35">
      <c r="A1130">
        <v>16</v>
      </c>
      <c r="B1130" t="s">
        <v>13</v>
      </c>
      <c r="C1130">
        <v>7.2</v>
      </c>
      <c r="D1130" t="s">
        <v>20</v>
      </c>
      <c r="E1130">
        <v>6.9</v>
      </c>
      <c r="F1130">
        <v>2.1</v>
      </c>
      <c r="G1130">
        <v>2.3199999999999998</v>
      </c>
      <c r="H1130">
        <v>1.1000000000000001</v>
      </c>
      <c r="I1130" t="s">
        <v>15</v>
      </c>
      <c r="J1130">
        <v>3</v>
      </c>
      <c r="K1130">
        <v>4</v>
      </c>
      <c r="L1130">
        <v>10</v>
      </c>
      <c r="M1130">
        <v>0</v>
      </c>
    </row>
    <row r="1131" spans="1:13" x14ac:dyDescent="0.35">
      <c r="A1131">
        <v>19</v>
      </c>
      <c r="B1131" t="s">
        <v>13</v>
      </c>
      <c r="C1131">
        <v>2</v>
      </c>
      <c r="D1131" t="s">
        <v>17</v>
      </c>
      <c r="E1131">
        <v>4.3</v>
      </c>
      <c r="F1131">
        <v>0.8</v>
      </c>
      <c r="G1131">
        <v>3.4</v>
      </c>
      <c r="H1131">
        <v>0.7</v>
      </c>
      <c r="I1131" t="s">
        <v>15</v>
      </c>
      <c r="J1131">
        <v>8</v>
      </c>
      <c r="K1131">
        <v>1</v>
      </c>
      <c r="L1131">
        <v>1</v>
      </c>
      <c r="M1131">
        <v>0</v>
      </c>
    </row>
    <row r="1132" spans="1:13" x14ac:dyDescent="0.35">
      <c r="A1132">
        <v>13</v>
      </c>
      <c r="B1132" t="s">
        <v>16</v>
      </c>
      <c r="C1132">
        <v>4.7</v>
      </c>
      <c r="D1132" t="s">
        <v>20</v>
      </c>
      <c r="E1132">
        <v>6.8</v>
      </c>
      <c r="F1132">
        <v>1.4</v>
      </c>
      <c r="G1132">
        <v>3.91</v>
      </c>
      <c r="H1132">
        <v>0.8</v>
      </c>
      <c r="I1132" t="s">
        <v>18</v>
      </c>
      <c r="J1132">
        <v>10</v>
      </c>
      <c r="K1132">
        <v>6</v>
      </c>
      <c r="L1132">
        <v>9</v>
      </c>
      <c r="M1132">
        <v>0</v>
      </c>
    </row>
    <row r="1133" spans="1:13" x14ac:dyDescent="0.35">
      <c r="A1133">
        <v>14</v>
      </c>
      <c r="B1133" t="s">
        <v>13</v>
      </c>
      <c r="C1133">
        <v>5.6</v>
      </c>
      <c r="D1133" t="s">
        <v>20</v>
      </c>
      <c r="E1133">
        <v>4.5</v>
      </c>
      <c r="F1133">
        <v>1.4</v>
      </c>
      <c r="G1133">
        <v>2.44</v>
      </c>
      <c r="H1133">
        <v>1.2</v>
      </c>
      <c r="I1133" t="s">
        <v>15</v>
      </c>
      <c r="J1133">
        <v>5</v>
      </c>
      <c r="K1133">
        <v>10</v>
      </c>
      <c r="L1133">
        <v>9</v>
      </c>
      <c r="M1133">
        <v>0</v>
      </c>
    </row>
    <row r="1134" spans="1:13" x14ac:dyDescent="0.35">
      <c r="A1134">
        <v>18</v>
      </c>
      <c r="B1134" t="s">
        <v>16</v>
      </c>
      <c r="C1134">
        <v>4.5</v>
      </c>
      <c r="D1134" t="s">
        <v>14</v>
      </c>
      <c r="E1134">
        <v>4</v>
      </c>
      <c r="F1134">
        <v>2.9</v>
      </c>
      <c r="G1134">
        <v>3.15</v>
      </c>
      <c r="H1134">
        <v>1.9</v>
      </c>
      <c r="I1134" t="s">
        <v>19</v>
      </c>
      <c r="J1134">
        <v>8</v>
      </c>
      <c r="K1134">
        <v>6</v>
      </c>
      <c r="L1134">
        <v>5</v>
      </c>
      <c r="M1134">
        <v>0</v>
      </c>
    </row>
    <row r="1135" spans="1:13" x14ac:dyDescent="0.35">
      <c r="A1135">
        <v>15</v>
      </c>
      <c r="B1135" t="s">
        <v>16</v>
      </c>
      <c r="C1135">
        <v>1.1000000000000001</v>
      </c>
      <c r="D1135" t="s">
        <v>14</v>
      </c>
      <c r="E1135">
        <v>9</v>
      </c>
      <c r="F1135">
        <v>1.2</v>
      </c>
      <c r="G1135">
        <v>2.9</v>
      </c>
      <c r="H1135">
        <v>1.8</v>
      </c>
      <c r="I1135" t="s">
        <v>19</v>
      </c>
      <c r="J1135">
        <v>5</v>
      </c>
      <c r="K1135">
        <v>10</v>
      </c>
      <c r="L1135">
        <v>2</v>
      </c>
      <c r="M1135">
        <v>0</v>
      </c>
    </row>
    <row r="1136" spans="1:13" x14ac:dyDescent="0.35">
      <c r="A1136">
        <v>18</v>
      </c>
      <c r="B1136" t="s">
        <v>16</v>
      </c>
      <c r="C1136">
        <v>5.3</v>
      </c>
      <c r="D1136" t="s">
        <v>20</v>
      </c>
      <c r="E1136">
        <v>4.5999999999999996</v>
      </c>
      <c r="F1136">
        <v>1.5</v>
      </c>
      <c r="G1136">
        <v>2.54</v>
      </c>
      <c r="H1136">
        <v>0.6</v>
      </c>
      <c r="I1136" t="s">
        <v>19</v>
      </c>
      <c r="J1136">
        <v>4</v>
      </c>
      <c r="K1136">
        <v>3</v>
      </c>
      <c r="L1136">
        <v>4</v>
      </c>
      <c r="M1136">
        <v>0</v>
      </c>
    </row>
    <row r="1137" spans="1:13" x14ac:dyDescent="0.35">
      <c r="A1137">
        <v>14</v>
      </c>
      <c r="B1137" t="s">
        <v>16</v>
      </c>
      <c r="C1137">
        <v>3.5</v>
      </c>
      <c r="D1137" t="s">
        <v>20</v>
      </c>
      <c r="E1137">
        <v>5.3</v>
      </c>
      <c r="F1137">
        <v>2.5</v>
      </c>
      <c r="G1137">
        <v>2.29</v>
      </c>
      <c r="H1137">
        <v>0.7</v>
      </c>
      <c r="I1137" t="s">
        <v>15</v>
      </c>
      <c r="J1137">
        <v>1</v>
      </c>
      <c r="K1137">
        <v>10</v>
      </c>
      <c r="L1137">
        <v>3</v>
      </c>
      <c r="M1137">
        <v>0</v>
      </c>
    </row>
    <row r="1138" spans="1:13" x14ac:dyDescent="0.35">
      <c r="A1138">
        <v>15</v>
      </c>
      <c r="B1138" t="s">
        <v>13</v>
      </c>
      <c r="C1138">
        <v>6.5</v>
      </c>
      <c r="D1138" t="s">
        <v>20</v>
      </c>
      <c r="E1138">
        <v>6.2</v>
      </c>
      <c r="F1138">
        <v>1.2</v>
      </c>
      <c r="G1138">
        <v>3.19</v>
      </c>
      <c r="H1138">
        <v>0</v>
      </c>
      <c r="I1138" t="s">
        <v>19</v>
      </c>
      <c r="J1138">
        <v>6</v>
      </c>
      <c r="K1138">
        <v>5</v>
      </c>
      <c r="L1138">
        <v>2</v>
      </c>
      <c r="M1138">
        <v>0</v>
      </c>
    </row>
    <row r="1139" spans="1:13" x14ac:dyDescent="0.35">
      <c r="A1139">
        <v>14</v>
      </c>
      <c r="B1139" t="s">
        <v>13</v>
      </c>
      <c r="C1139">
        <v>7</v>
      </c>
      <c r="D1139" t="s">
        <v>20</v>
      </c>
      <c r="E1139">
        <v>6.7</v>
      </c>
      <c r="F1139">
        <v>1.9</v>
      </c>
      <c r="G1139">
        <v>2.48</v>
      </c>
      <c r="H1139">
        <v>1.3</v>
      </c>
      <c r="I1139" t="s">
        <v>15</v>
      </c>
      <c r="J1139">
        <v>7</v>
      </c>
      <c r="K1139">
        <v>1</v>
      </c>
      <c r="L1139">
        <v>5</v>
      </c>
      <c r="M1139">
        <v>0</v>
      </c>
    </row>
    <row r="1140" spans="1:13" x14ac:dyDescent="0.35">
      <c r="A1140">
        <v>14</v>
      </c>
      <c r="B1140" t="s">
        <v>16</v>
      </c>
      <c r="C1140">
        <v>4</v>
      </c>
      <c r="D1140" t="s">
        <v>17</v>
      </c>
      <c r="E1140">
        <v>4.0999999999999996</v>
      </c>
      <c r="F1140">
        <v>0.9</v>
      </c>
      <c r="G1140">
        <v>2.99</v>
      </c>
      <c r="H1140">
        <v>1.9</v>
      </c>
      <c r="I1140" t="s">
        <v>15</v>
      </c>
      <c r="J1140">
        <v>2</v>
      </c>
      <c r="K1140">
        <v>9</v>
      </c>
      <c r="L1140">
        <v>10</v>
      </c>
      <c r="M1140">
        <v>0</v>
      </c>
    </row>
    <row r="1141" spans="1:13" x14ac:dyDescent="0.35">
      <c r="A1141">
        <v>15</v>
      </c>
      <c r="B1141" t="s">
        <v>16</v>
      </c>
      <c r="C1141">
        <v>1.7</v>
      </c>
      <c r="D1141" t="s">
        <v>14</v>
      </c>
      <c r="E1141">
        <v>5.3</v>
      </c>
      <c r="F1141">
        <v>1.5</v>
      </c>
      <c r="G1141">
        <v>3.6</v>
      </c>
      <c r="H1141">
        <v>1.5</v>
      </c>
      <c r="I1141" t="s">
        <v>18</v>
      </c>
      <c r="J1141">
        <v>6</v>
      </c>
      <c r="K1141">
        <v>4</v>
      </c>
      <c r="L1141">
        <v>3</v>
      </c>
      <c r="M1141">
        <v>0</v>
      </c>
    </row>
    <row r="1142" spans="1:13" x14ac:dyDescent="0.35">
      <c r="A1142">
        <v>14</v>
      </c>
      <c r="B1142" t="s">
        <v>16</v>
      </c>
      <c r="C1142">
        <v>7.8</v>
      </c>
      <c r="D1142" t="s">
        <v>17</v>
      </c>
      <c r="E1142">
        <v>4.7</v>
      </c>
      <c r="F1142">
        <v>2.2000000000000002</v>
      </c>
      <c r="G1142">
        <v>3.53</v>
      </c>
      <c r="H1142">
        <v>0.6</v>
      </c>
      <c r="I1142" t="s">
        <v>15</v>
      </c>
      <c r="J1142">
        <v>5</v>
      </c>
      <c r="K1142">
        <v>8</v>
      </c>
      <c r="L1142">
        <v>2</v>
      </c>
      <c r="M1142">
        <v>0</v>
      </c>
    </row>
    <row r="1143" spans="1:13" x14ac:dyDescent="0.35">
      <c r="A1143">
        <v>15</v>
      </c>
      <c r="B1143" t="s">
        <v>16</v>
      </c>
      <c r="C1143">
        <v>5.2</v>
      </c>
      <c r="D1143" t="s">
        <v>14</v>
      </c>
      <c r="E1143">
        <v>6.7</v>
      </c>
      <c r="F1143">
        <v>3</v>
      </c>
      <c r="G1143">
        <v>3.18</v>
      </c>
      <c r="H1143">
        <v>0.6</v>
      </c>
      <c r="I1143" t="s">
        <v>15</v>
      </c>
      <c r="J1143">
        <v>9</v>
      </c>
      <c r="K1143">
        <v>7</v>
      </c>
      <c r="L1143">
        <v>9</v>
      </c>
      <c r="M1143">
        <v>0</v>
      </c>
    </row>
    <row r="1144" spans="1:13" x14ac:dyDescent="0.35">
      <c r="A1144">
        <v>19</v>
      </c>
      <c r="B1144" t="s">
        <v>16</v>
      </c>
      <c r="C1144">
        <v>7.9</v>
      </c>
      <c r="D1144" t="s">
        <v>17</v>
      </c>
      <c r="E1144">
        <v>5.8</v>
      </c>
      <c r="F1144">
        <v>2.1</v>
      </c>
      <c r="G1144">
        <v>3.91</v>
      </c>
      <c r="H1144">
        <v>1.4</v>
      </c>
      <c r="I1144" t="s">
        <v>18</v>
      </c>
      <c r="J1144">
        <v>7</v>
      </c>
      <c r="K1144">
        <v>1</v>
      </c>
      <c r="L1144">
        <v>10</v>
      </c>
      <c r="M1144">
        <v>0</v>
      </c>
    </row>
    <row r="1145" spans="1:13" x14ac:dyDescent="0.35">
      <c r="A1145">
        <v>17</v>
      </c>
      <c r="B1145" t="s">
        <v>13</v>
      </c>
      <c r="C1145">
        <v>5.9</v>
      </c>
      <c r="D1145" t="s">
        <v>20</v>
      </c>
      <c r="E1145">
        <v>6.6</v>
      </c>
      <c r="F1145">
        <v>1.3</v>
      </c>
      <c r="G1145">
        <v>2.11</v>
      </c>
      <c r="H1145">
        <v>1.4</v>
      </c>
      <c r="I1145" t="s">
        <v>15</v>
      </c>
      <c r="J1145">
        <v>10</v>
      </c>
      <c r="K1145">
        <v>4</v>
      </c>
      <c r="L1145">
        <v>9</v>
      </c>
      <c r="M1145">
        <v>0</v>
      </c>
    </row>
    <row r="1146" spans="1:13" x14ac:dyDescent="0.35">
      <c r="A1146">
        <v>13</v>
      </c>
      <c r="B1146" t="s">
        <v>16</v>
      </c>
      <c r="C1146">
        <v>2.6</v>
      </c>
      <c r="D1146" t="s">
        <v>17</v>
      </c>
      <c r="E1146">
        <v>8.5</v>
      </c>
      <c r="F1146">
        <v>1.9</v>
      </c>
      <c r="G1146">
        <v>3.06</v>
      </c>
      <c r="H1146">
        <v>1.9</v>
      </c>
      <c r="I1146" t="s">
        <v>18</v>
      </c>
      <c r="J1146">
        <v>5</v>
      </c>
      <c r="K1146">
        <v>7</v>
      </c>
      <c r="L1146">
        <v>6</v>
      </c>
      <c r="M1146">
        <v>0</v>
      </c>
    </row>
    <row r="1147" spans="1:13" x14ac:dyDescent="0.35">
      <c r="A1147">
        <v>18</v>
      </c>
      <c r="B1147" t="s">
        <v>16</v>
      </c>
      <c r="C1147">
        <v>6.3</v>
      </c>
      <c r="D1147" t="s">
        <v>17</v>
      </c>
      <c r="E1147">
        <v>4.8</v>
      </c>
      <c r="F1147">
        <v>1.2</v>
      </c>
      <c r="G1147">
        <v>2.91</v>
      </c>
      <c r="H1147">
        <v>1.3</v>
      </c>
      <c r="I1147" t="s">
        <v>19</v>
      </c>
      <c r="J1147">
        <v>9</v>
      </c>
      <c r="K1147">
        <v>10</v>
      </c>
      <c r="L1147">
        <v>3</v>
      </c>
      <c r="M1147">
        <v>1</v>
      </c>
    </row>
    <row r="1148" spans="1:13" x14ac:dyDescent="0.35">
      <c r="A1148">
        <v>19</v>
      </c>
      <c r="B1148" t="s">
        <v>16</v>
      </c>
      <c r="C1148">
        <v>4.5</v>
      </c>
      <c r="D1148" t="s">
        <v>17</v>
      </c>
      <c r="E1148">
        <v>8.4</v>
      </c>
      <c r="F1148">
        <v>2.1</v>
      </c>
      <c r="G1148">
        <v>2.62</v>
      </c>
      <c r="H1148">
        <v>2</v>
      </c>
      <c r="I1148" t="s">
        <v>15</v>
      </c>
      <c r="J1148">
        <v>5</v>
      </c>
      <c r="K1148">
        <v>10</v>
      </c>
      <c r="L1148">
        <v>5</v>
      </c>
      <c r="M1148">
        <v>0</v>
      </c>
    </row>
    <row r="1149" spans="1:13" x14ac:dyDescent="0.35">
      <c r="A1149">
        <v>19</v>
      </c>
      <c r="B1149" t="s">
        <v>13</v>
      </c>
      <c r="C1149">
        <v>5.3</v>
      </c>
      <c r="D1149" t="s">
        <v>14</v>
      </c>
      <c r="E1149">
        <v>4.7</v>
      </c>
      <c r="F1149">
        <v>2.8</v>
      </c>
      <c r="G1149">
        <v>2.82</v>
      </c>
      <c r="H1149">
        <v>0.3</v>
      </c>
      <c r="I1149" t="s">
        <v>18</v>
      </c>
      <c r="J1149">
        <v>1</v>
      </c>
      <c r="K1149">
        <v>9</v>
      </c>
      <c r="L1149">
        <v>6</v>
      </c>
      <c r="M1149">
        <v>0</v>
      </c>
    </row>
    <row r="1150" spans="1:13" x14ac:dyDescent="0.35">
      <c r="A1150">
        <v>13</v>
      </c>
      <c r="B1150" t="s">
        <v>16</v>
      </c>
      <c r="C1150">
        <v>5.2</v>
      </c>
      <c r="D1150" t="s">
        <v>20</v>
      </c>
      <c r="E1150">
        <v>7.4</v>
      </c>
      <c r="F1150">
        <v>2.5</v>
      </c>
      <c r="G1150">
        <v>3.93</v>
      </c>
      <c r="H1150">
        <v>0.8</v>
      </c>
      <c r="I1150" t="s">
        <v>15</v>
      </c>
      <c r="J1150">
        <v>4</v>
      </c>
      <c r="K1150">
        <v>4</v>
      </c>
      <c r="L1150">
        <v>8</v>
      </c>
      <c r="M1150">
        <v>0</v>
      </c>
    </row>
    <row r="1151" spans="1:13" x14ac:dyDescent="0.35">
      <c r="A1151">
        <v>15</v>
      </c>
      <c r="B1151" t="s">
        <v>13</v>
      </c>
      <c r="C1151">
        <v>3.3</v>
      </c>
      <c r="D1151" t="s">
        <v>20</v>
      </c>
      <c r="E1151">
        <v>6.1</v>
      </c>
      <c r="F1151">
        <v>1.2</v>
      </c>
      <c r="G1151">
        <v>2.56</v>
      </c>
      <c r="H1151">
        <v>1.4</v>
      </c>
      <c r="I1151" t="s">
        <v>15</v>
      </c>
      <c r="J1151">
        <v>8</v>
      </c>
      <c r="K1151">
        <v>6</v>
      </c>
      <c r="L1151">
        <v>3</v>
      </c>
      <c r="M1151">
        <v>0</v>
      </c>
    </row>
    <row r="1152" spans="1:13" x14ac:dyDescent="0.35">
      <c r="A1152">
        <v>14</v>
      </c>
      <c r="B1152" t="s">
        <v>16</v>
      </c>
      <c r="C1152">
        <v>1.1000000000000001</v>
      </c>
      <c r="D1152" t="s">
        <v>20</v>
      </c>
      <c r="E1152">
        <v>5.4</v>
      </c>
      <c r="F1152">
        <v>1.6</v>
      </c>
      <c r="G1152">
        <v>3.34</v>
      </c>
      <c r="H1152">
        <v>1.5</v>
      </c>
      <c r="I1152" t="s">
        <v>19</v>
      </c>
      <c r="J1152">
        <v>4</v>
      </c>
      <c r="K1152">
        <v>5</v>
      </c>
      <c r="L1152">
        <v>8</v>
      </c>
      <c r="M1152">
        <v>0</v>
      </c>
    </row>
    <row r="1153" spans="1:13" x14ac:dyDescent="0.35">
      <c r="A1153">
        <v>17</v>
      </c>
      <c r="B1153" t="s">
        <v>16</v>
      </c>
      <c r="C1153">
        <v>5</v>
      </c>
      <c r="D1153" t="s">
        <v>14</v>
      </c>
      <c r="E1153">
        <v>7.3</v>
      </c>
      <c r="F1153">
        <v>1.2</v>
      </c>
      <c r="G1153">
        <v>3.39</v>
      </c>
      <c r="H1153">
        <v>0.7</v>
      </c>
      <c r="I1153" t="s">
        <v>19</v>
      </c>
      <c r="J1153">
        <v>9</v>
      </c>
      <c r="K1153">
        <v>10</v>
      </c>
      <c r="L1153">
        <v>8</v>
      </c>
      <c r="M1153">
        <v>0</v>
      </c>
    </row>
    <row r="1154" spans="1:13" x14ac:dyDescent="0.35">
      <c r="A1154">
        <v>15</v>
      </c>
      <c r="B1154" t="s">
        <v>16</v>
      </c>
      <c r="C1154">
        <v>7.4</v>
      </c>
      <c r="D1154" t="s">
        <v>17</v>
      </c>
      <c r="E1154">
        <v>8.6</v>
      </c>
      <c r="F1154">
        <v>1.4</v>
      </c>
      <c r="G1154">
        <v>2.19</v>
      </c>
      <c r="H1154">
        <v>1.8</v>
      </c>
      <c r="I1154" t="s">
        <v>15</v>
      </c>
      <c r="J1154">
        <v>10</v>
      </c>
      <c r="K1154">
        <v>10</v>
      </c>
      <c r="L1154">
        <v>1</v>
      </c>
      <c r="M1154">
        <v>0</v>
      </c>
    </row>
    <row r="1155" spans="1:13" x14ac:dyDescent="0.35">
      <c r="A1155">
        <v>15</v>
      </c>
      <c r="B1155" t="s">
        <v>16</v>
      </c>
      <c r="C1155">
        <v>7.4</v>
      </c>
      <c r="D1155" t="s">
        <v>17</v>
      </c>
      <c r="E1155">
        <v>8.9</v>
      </c>
      <c r="F1155">
        <v>2.9</v>
      </c>
      <c r="G1155">
        <v>3.39</v>
      </c>
      <c r="H1155">
        <v>1.1000000000000001</v>
      </c>
      <c r="I1155" t="s">
        <v>18</v>
      </c>
      <c r="J1155">
        <v>4</v>
      </c>
      <c r="K1155">
        <v>9</v>
      </c>
      <c r="L1155">
        <v>1</v>
      </c>
      <c r="M1155">
        <v>0</v>
      </c>
    </row>
    <row r="1156" spans="1:13" x14ac:dyDescent="0.35">
      <c r="A1156">
        <v>17</v>
      </c>
      <c r="B1156" t="s">
        <v>13</v>
      </c>
      <c r="C1156">
        <v>6.6</v>
      </c>
      <c r="D1156" t="s">
        <v>17</v>
      </c>
      <c r="E1156">
        <v>5.2</v>
      </c>
      <c r="F1156">
        <v>2.2000000000000002</v>
      </c>
      <c r="G1156">
        <v>2.98</v>
      </c>
      <c r="H1156">
        <v>0.8</v>
      </c>
      <c r="I1156" t="s">
        <v>18</v>
      </c>
      <c r="J1156">
        <v>6</v>
      </c>
      <c r="K1156">
        <v>8</v>
      </c>
      <c r="L1156">
        <v>7</v>
      </c>
      <c r="M1156">
        <v>0</v>
      </c>
    </row>
    <row r="1157" spans="1:13" x14ac:dyDescent="0.35">
      <c r="A1157">
        <v>13</v>
      </c>
      <c r="B1157" t="s">
        <v>16</v>
      </c>
      <c r="C1157">
        <v>7.1</v>
      </c>
      <c r="D1157" t="s">
        <v>20</v>
      </c>
      <c r="E1157">
        <v>7.2</v>
      </c>
      <c r="F1157">
        <v>1.1000000000000001</v>
      </c>
      <c r="G1157">
        <v>3.69</v>
      </c>
      <c r="H1157">
        <v>1</v>
      </c>
      <c r="I1157" t="s">
        <v>15</v>
      </c>
      <c r="J1157">
        <v>4</v>
      </c>
      <c r="K1157">
        <v>6</v>
      </c>
      <c r="L1157">
        <v>3</v>
      </c>
      <c r="M1157">
        <v>0</v>
      </c>
    </row>
    <row r="1158" spans="1:13" x14ac:dyDescent="0.35">
      <c r="A1158">
        <v>15</v>
      </c>
      <c r="B1158" t="s">
        <v>16</v>
      </c>
      <c r="C1158">
        <v>1.1000000000000001</v>
      </c>
      <c r="D1158" t="s">
        <v>17</v>
      </c>
      <c r="E1158">
        <v>8.6</v>
      </c>
      <c r="F1158">
        <v>2.2999999999999998</v>
      </c>
      <c r="G1158">
        <v>3.68</v>
      </c>
      <c r="H1158">
        <v>0.5</v>
      </c>
      <c r="I1158" t="s">
        <v>15</v>
      </c>
      <c r="J1158">
        <v>1</v>
      </c>
      <c r="K1158">
        <v>2</v>
      </c>
      <c r="L1158">
        <v>7</v>
      </c>
      <c r="M1158">
        <v>0</v>
      </c>
    </row>
    <row r="1159" spans="1:13" x14ac:dyDescent="0.35">
      <c r="A1159">
        <v>13</v>
      </c>
      <c r="B1159" t="s">
        <v>16</v>
      </c>
      <c r="C1159">
        <v>3.6</v>
      </c>
      <c r="D1159" t="s">
        <v>17</v>
      </c>
      <c r="E1159">
        <v>8.6999999999999993</v>
      </c>
      <c r="F1159">
        <v>0.8</v>
      </c>
      <c r="G1159">
        <v>2.41</v>
      </c>
      <c r="H1159">
        <v>1.3</v>
      </c>
      <c r="I1159" t="s">
        <v>15</v>
      </c>
      <c r="J1159">
        <v>4</v>
      </c>
      <c r="K1159">
        <v>6</v>
      </c>
      <c r="L1159">
        <v>8</v>
      </c>
      <c r="M1159">
        <v>0</v>
      </c>
    </row>
    <row r="1160" spans="1:13" x14ac:dyDescent="0.35">
      <c r="A1160">
        <v>16</v>
      </c>
      <c r="B1160" t="s">
        <v>13</v>
      </c>
      <c r="C1160">
        <v>5.0999999999999996</v>
      </c>
      <c r="D1160" t="s">
        <v>17</v>
      </c>
      <c r="E1160">
        <v>4.5999999999999996</v>
      </c>
      <c r="F1160">
        <v>1.1000000000000001</v>
      </c>
      <c r="G1160">
        <v>2.75</v>
      </c>
      <c r="H1160">
        <v>1.5</v>
      </c>
      <c r="I1160" t="s">
        <v>19</v>
      </c>
      <c r="J1160">
        <v>6</v>
      </c>
      <c r="K1160">
        <v>3</v>
      </c>
      <c r="L1160">
        <v>6</v>
      </c>
      <c r="M1160">
        <v>0</v>
      </c>
    </row>
    <row r="1161" spans="1:13" x14ac:dyDescent="0.35">
      <c r="A1161">
        <v>19</v>
      </c>
      <c r="B1161" t="s">
        <v>16</v>
      </c>
      <c r="C1161">
        <v>7.3</v>
      </c>
      <c r="D1161" t="s">
        <v>14</v>
      </c>
      <c r="E1161">
        <v>7.8</v>
      </c>
      <c r="F1161">
        <v>1</v>
      </c>
      <c r="G1161">
        <v>2.91</v>
      </c>
      <c r="H1161">
        <v>0.8</v>
      </c>
      <c r="I1161" t="s">
        <v>19</v>
      </c>
      <c r="J1161">
        <v>9</v>
      </c>
      <c r="K1161">
        <v>7</v>
      </c>
      <c r="L1161">
        <v>5</v>
      </c>
      <c r="M1161">
        <v>0</v>
      </c>
    </row>
    <row r="1162" spans="1:13" x14ac:dyDescent="0.35">
      <c r="A1162">
        <v>13</v>
      </c>
      <c r="B1162" t="s">
        <v>16</v>
      </c>
      <c r="C1162">
        <v>7.7</v>
      </c>
      <c r="D1162" t="s">
        <v>20</v>
      </c>
      <c r="E1162">
        <v>7.5</v>
      </c>
      <c r="F1162">
        <v>1.4</v>
      </c>
      <c r="G1162">
        <v>2.2400000000000002</v>
      </c>
      <c r="H1162">
        <v>0.1</v>
      </c>
      <c r="I1162" t="s">
        <v>15</v>
      </c>
      <c r="J1162">
        <v>5</v>
      </c>
      <c r="K1162">
        <v>3</v>
      </c>
      <c r="L1162">
        <v>3</v>
      </c>
      <c r="M1162">
        <v>0</v>
      </c>
    </row>
    <row r="1163" spans="1:13" x14ac:dyDescent="0.35">
      <c r="A1163">
        <v>13</v>
      </c>
      <c r="B1163" t="s">
        <v>16</v>
      </c>
      <c r="C1163">
        <v>7.9</v>
      </c>
      <c r="D1163" t="s">
        <v>17</v>
      </c>
      <c r="E1163">
        <v>4.0999999999999996</v>
      </c>
      <c r="F1163">
        <v>1.6</v>
      </c>
      <c r="G1163">
        <v>2.74</v>
      </c>
      <c r="H1163">
        <v>0.9</v>
      </c>
      <c r="I1163" t="s">
        <v>19</v>
      </c>
      <c r="J1163">
        <v>9</v>
      </c>
      <c r="K1163">
        <v>3</v>
      </c>
      <c r="L1163">
        <v>5</v>
      </c>
      <c r="M1163">
        <v>0</v>
      </c>
    </row>
    <row r="1164" spans="1:13" x14ac:dyDescent="0.35">
      <c r="A1164">
        <v>16</v>
      </c>
      <c r="B1164" t="s">
        <v>16</v>
      </c>
      <c r="C1164">
        <v>5.5</v>
      </c>
      <c r="D1164" t="s">
        <v>20</v>
      </c>
      <c r="E1164">
        <v>5.8</v>
      </c>
      <c r="F1164">
        <v>2.5</v>
      </c>
      <c r="G1164">
        <v>2.34</v>
      </c>
      <c r="H1164">
        <v>1</v>
      </c>
      <c r="I1164" t="s">
        <v>15</v>
      </c>
      <c r="J1164">
        <v>5</v>
      </c>
      <c r="K1164">
        <v>2</v>
      </c>
      <c r="L1164">
        <v>8</v>
      </c>
      <c r="M1164">
        <v>0</v>
      </c>
    </row>
    <row r="1165" spans="1:13" x14ac:dyDescent="0.35">
      <c r="A1165">
        <v>19</v>
      </c>
      <c r="B1165" t="s">
        <v>13</v>
      </c>
      <c r="C1165">
        <v>4</v>
      </c>
      <c r="D1165" t="s">
        <v>14</v>
      </c>
      <c r="E1165">
        <v>7.8</v>
      </c>
      <c r="F1165">
        <v>0.6</v>
      </c>
      <c r="G1165">
        <v>3.61</v>
      </c>
      <c r="H1165">
        <v>1.7</v>
      </c>
      <c r="I1165" t="s">
        <v>18</v>
      </c>
      <c r="J1165">
        <v>2</v>
      </c>
      <c r="K1165">
        <v>7</v>
      </c>
      <c r="L1165">
        <v>9</v>
      </c>
      <c r="M1165">
        <v>0</v>
      </c>
    </row>
    <row r="1166" spans="1:13" x14ac:dyDescent="0.35">
      <c r="A1166">
        <v>15</v>
      </c>
      <c r="B1166" t="s">
        <v>16</v>
      </c>
      <c r="C1166">
        <v>7.9</v>
      </c>
      <c r="D1166" t="s">
        <v>17</v>
      </c>
      <c r="E1166">
        <v>4.7</v>
      </c>
      <c r="F1166">
        <v>1.5</v>
      </c>
      <c r="G1166">
        <v>3.3</v>
      </c>
      <c r="H1166">
        <v>0</v>
      </c>
      <c r="I1166" t="s">
        <v>15</v>
      </c>
      <c r="J1166">
        <v>5</v>
      </c>
      <c r="K1166">
        <v>8</v>
      </c>
      <c r="L1166">
        <v>5</v>
      </c>
      <c r="M1166">
        <v>0</v>
      </c>
    </row>
    <row r="1167" spans="1:13" x14ac:dyDescent="0.35">
      <c r="A1167">
        <v>18</v>
      </c>
      <c r="B1167" t="s">
        <v>16</v>
      </c>
      <c r="C1167">
        <v>5.5</v>
      </c>
      <c r="D1167" t="s">
        <v>20</v>
      </c>
      <c r="E1167">
        <v>8.1999999999999993</v>
      </c>
      <c r="F1167">
        <v>0.5</v>
      </c>
      <c r="G1167">
        <v>3.15</v>
      </c>
      <c r="H1167">
        <v>1.2</v>
      </c>
      <c r="I1167" t="s">
        <v>19</v>
      </c>
      <c r="J1167">
        <v>8</v>
      </c>
      <c r="K1167">
        <v>7</v>
      </c>
      <c r="L1167">
        <v>7</v>
      </c>
      <c r="M1167">
        <v>0</v>
      </c>
    </row>
    <row r="1168" spans="1:13" x14ac:dyDescent="0.35">
      <c r="A1168">
        <v>17</v>
      </c>
      <c r="B1168" t="s">
        <v>16</v>
      </c>
      <c r="C1168">
        <v>7.6</v>
      </c>
      <c r="D1168" t="s">
        <v>20</v>
      </c>
      <c r="E1168">
        <v>7.1</v>
      </c>
      <c r="F1168">
        <v>1.1000000000000001</v>
      </c>
      <c r="G1168">
        <v>2.0699999999999998</v>
      </c>
      <c r="H1168">
        <v>1.9</v>
      </c>
      <c r="I1168" t="s">
        <v>18</v>
      </c>
      <c r="J1168">
        <v>3</v>
      </c>
      <c r="K1168">
        <v>2</v>
      </c>
      <c r="L1168">
        <v>6</v>
      </c>
      <c r="M1168">
        <v>0</v>
      </c>
    </row>
    <row r="1169" spans="1:13" x14ac:dyDescent="0.35">
      <c r="A1169">
        <v>13</v>
      </c>
      <c r="B1169" t="s">
        <v>13</v>
      </c>
      <c r="C1169">
        <v>1.3</v>
      </c>
      <c r="D1169" t="s">
        <v>17</v>
      </c>
      <c r="E1169">
        <v>4.4000000000000004</v>
      </c>
      <c r="F1169">
        <v>0.9</v>
      </c>
      <c r="G1169">
        <v>2.99</v>
      </c>
      <c r="H1169">
        <v>0</v>
      </c>
      <c r="I1169" t="s">
        <v>18</v>
      </c>
      <c r="J1169">
        <v>8</v>
      </c>
      <c r="K1169">
        <v>2</v>
      </c>
      <c r="L1169">
        <v>5</v>
      </c>
      <c r="M1169">
        <v>0</v>
      </c>
    </row>
    <row r="1170" spans="1:13" x14ac:dyDescent="0.35">
      <c r="A1170">
        <v>16</v>
      </c>
      <c r="B1170" t="s">
        <v>13</v>
      </c>
      <c r="C1170">
        <v>7.3</v>
      </c>
      <c r="D1170" t="s">
        <v>17</v>
      </c>
      <c r="E1170">
        <v>7</v>
      </c>
      <c r="F1170">
        <v>2.2000000000000002</v>
      </c>
      <c r="G1170">
        <v>2.0699999999999998</v>
      </c>
      <c r="H1170">
        <v>1</v>
      </c>
      <c r="I1170" t="s">
        <v>19</v>
      </c>
      <c r="J1170">
        <v>3</v>
      </c>
      <c r="K1170">
        <v>7</v>
      </c>
      <c r="L1170">
        <v>1</v>
      </c>
      <c r="M1170">
        <v>0</v>
      </c>
    </row>
    <row r="1171" spans="1:13" x14ac:dyDescent="0.35">
      <c r="A1171">
        <v>18</v>
      </c>
      <c r="B1171" t="s">
        <v>13</v>
      </c>
      <c r="C1171">
        <v>4.3</v>
      </c>
      <c r="D1171" t="s">
        <v>14</v>
      </c>
      <c r="E1171">
        <v>6.7</v>
      </c>
      <c r="F1171">
        <v>2.5</v>
      </c>
      <c r="G1171">
        <v>3.19</v>
      </c>
      <c r="H1171">
        <v>1</v>
      </c>
      <c r="I1171" t="s">
        <v>18</v>
      </c>
      <c r="J1171">
        <v>5</v>
      </c>
      <c r="K1171">
        <v>5</v>
      </c>
      <c r="L1171">
        <v>5</v>
      </c>
      <c r="M1171">
        <v>0</v>
      </c>
    </row>
    <row r="1172" spans="1:13" x14ac:dyDescent="0.35">
      <c r="A1172">
        <v>16</v>
      </c>
      <c r="B1172" t="s">
        <v>13</v>
      </c>
      <c r="C1172">
        <v>7.1</v>
      </c>
      <c r="D1172" t="s">
        <v>17</v>
      </c>
      <c r="E1172">
        <v>7.7</v>
      </c>
      <c r="F1172">
        <v>1.9</v>
      </c>
      <c r="G1172">
        <v>2.2400000000000002</v>
      </c>
      <c r="H1172">
        <v>0.6</v>
      </c>
      <c r="I1172" t="s">
        <v>18</v>
      </c>
      <c r="J1172">
        <v>8</v>
      </c>
      <c r="K1172">
        <v>10</v>
      </c>
      <c r="L1172">
        <v>5</v>
      </c>
      <c r="M1172">
        <v>0</v>
      </c>
    </row>
    <row r="1173" spans="1:13" x14ac:dyDescent="0.35">
      <c r="A1173">
        <v>14</v>
      </c>
      <c r="B1173" t="s">
        <v>16</v>
      </c>
      <c r="C1173">
        <v>5.7</v>
      </c>
      <c r="D1173" t="s">
        <v>17</v>
      </c>
      <c r="E1173">
        <v>6.4</v>
      </c>
      <c r="F1173">
        <v>1.9</v>
      </c>
      <c r="G1173">
        <v>3.3</v>
      </c>
      <c r="H1173">
        <v>1.3</v>
      </c>
      <c r="I1173" t="s">
        <v>18</v>
      </c>
      <c r="J1173">
        <v>6</v>
      </c>
      <c r="K1173">
        <v>8</v>
      </c>
      <c r="L1173">
        <v>5</v>
      </c>
      <c r="M1173">
        <v>0</v>
      </c>
    </row>
    <row r="1174" spans="1:13" x14ac:dyDescent="0.35">
      <c r="A1174">
        <v>18</v>
      </c>
      <c r="B1174" t="s">
        <v>16</v>
      </c>
      <c r="C1174">
        <v>5.2</v>
      </c>
      <c r="D1174" t="s">
        <v>20</v>
      </c>
      <c r="E1174">
        <v>7.3</v>
      </c>
      <c r="F1174">
        <v>1.7</v>
      </c>
      <c r="G1174">
        <v>3.33</v>
      </c>
      <c r="H1174">
        <v>0.9</v>
      </c>
      <c r="I1174" t="s">
        <v>15</v>
      </c>
      <c r="J1174">
        <v>7</v>
      </c>
      <c r="K1174">
        <v>4</v>
      </c>
      <c r="L1174">
        <v>9</v>
      </c>
      <c r="M1174">
        <v>0</v>
      </c>
    </row>
    <row r="1175" spans="1:13" x14ac:dyDescent="0.35">
      <c r="A1175">
        <v>17</v>
      </c>
      <c r="B1175" t="s">
        <v>13</v>
      </c>
      <c r="C1175">
        <v>3.1</v>
      </c>
      <c r="D1175" t="s">
        <v>17</v>
      </c>
      <c r="E1175">
        <v>7.7</v>
      </c>
      <c r="F1175">
        <v>2.2000000000000002</v>
      </c>
      <c r="G1175">
        <v>3.72</v>
      </c>
      <c r="H1175">
        <v>1.4</v>
      </c>
      <c r="I1175" t="s">
        <v>19</v>
      </c>
      <c r="J1175">
        <v>1</v>
      </c>
      <c r="K1175">
        <v>5</v>
      </c>
      <c r="L1175">
        <v>8</v>
      </c>
      <c r="M1175">
        <v>0</v>
      </c>
    </row>
    <row r="1176" spans="1:13" x14ac:dyDescent="0.35">
      <c r="A1176">
        <v>13</v>
      </c>
      <c r="B1176" t="s">
        <v>13</v>
      </c>
      <c r="C1176">
        <v>3</v>
      </c>
      <c r="D1176" t="s">
        <v>20</v>
      </c>
      <c r="E1176">
        <v>6.2</v>
      </c>
      <c r="F1176">
        <v>0.8</v>
      </c>
      <c r="G1176">
        <v>3.96</v>
      </c>
      <c r="H1176">
        <v>1.1000000000000001</v>
      </c>
      <c r="I1176" t="s">
        <v>15</v>
      </c>
      <c r="J1176">
        <v>9</v>
      </c>
      <c r="K1176">
        <v>10</v>
      </c>
      <c r="L1176">
        <v>3</v>
      </c>
      <c r="M1176">
        <v>0</v>
      </c>
    </row>
    <row r="1177" spans="1:13" x14ac:dyDescent="0.35">
      <c r="A1177">
        <v>17</v>
      </c>
      <c r="B1177" t="s">
        <v>16</v>
      </c>
      <c r="C1177">
        <v>6</v>
      </c>
      <c r="D1177" t="s">
        <v>20</v>
      </c>
      <c r="E1177">
        <v>4.2</v>
      </c>
      <c r="F1177">
        <v>2.2000000000000002</v>
      </c>
      <c r="G1177">
        <v>2.27</v>
      </c>
      <c r="H1177">
        <v>0.5</v>
      </c>
      <c r="I1177" t="s">
        <v>19</v>
      </c>
      <c r="J1177">
        <v>1</v>
      </c>
      <c r="K1177">
        <v>4</v>
      </c>
      <c r="L1177">
        <v>5</v>
      </c>
      <c r="M1177">
        <v>0</v>
      </c>
    </row>
    <row r="1178" spans="1:13" x14ac:dyDescent="0.35">
      <c r="A1178">
        <v>13</v>
      </c>
      <c r="B1178" t="s">
        <v>13</v>
      </c>
      <c r="C1178">
        <v>5.9</v>
      </c>
      <c r="D1178" t="s">
        <v>14</v>
      </c>
      <c r="E1178">
        <v>8.6</v>
      </c>
      <c r="F1178">
        <v>1.9</v>
      </c>
      <c r="G1178">
        <v>3.88</v>
      </c>
      <c r="H1178">
        <v>0.2</v>
      </c>
      <c r="I1178" t="s">
        <v>19</v>
      </c>
      <c r="J1178">
        <v>1</v>
      </c>
      <c r="K1178">
        <v>6</v>
      </c>
      <c r="L1178">
        <v>9</v>
      </c>
      <c r="M1178">
        <v>0</v>
      </c>
    </row>
    <row r="1179" spans="1:13" x14ac:dyDescent="0.35">
      <c r="A1179">
        <v>15</v>
      </c>
      <c r="B1179" t="s">
        <v>13</v>
      </c>
      <c r="C1179">
        <v>5.0999999999999996</v>
      </c>
      <c r="D1179" t="s">
        <v>17</v>
      </c>
      <c r="E1179">
        <v>5.5</v>
      </c>
      <c r="F1179">
        <v>0.7</v>
      </c>
      <c r="G1179">
        <v>2.13</v>
      </c>
      <c r="H1179">
        <v>0.5</v>
      </c>
      <c r="I1179" t="s">
        <v>19</v>
      </c>
      <c r="J1179">
        <v>6</v>
      </c>
      <c r="K1179">
        <v>10</v>
      </c>
      <c r="L1179">
        <v>8</v>
      </c>
      <c r="M1179">
        <v>0</v>
      </c>
    </row>
    <row r="1180" spans="1:13" x14ac:dyDescent="0.35">
      <c r="A1180">
        <v>19</v>
      </c>
      <c r="B1180" t="s">
        <v>16</v>
      </c>
      <c r="C1180">
        <v>3.5</v>
      </c>
      <c r="D1180" t="s">
        <v>14</v>
      </c>
      <c r="E1180">
        <v>4.9000000000000004</v>
      </c>
      <c r="F1180">
        <v>0.5</v>
      </c>
      <c r="G1180">
        <v>3.68</v>
      </c>
      <c r="H1180">
        <v>1.7</v>
      </c>
      <c r="I1180" t="s">
        <v>18</v>
      </c>
      <c r="J1180">
        <v>8</v>
      </c>
      <c r="K1180">
        <v>4</v>
      </c>
      <c r="L1180">
        <v>3</v>
      </c>
      <c r="M1180">
        <v>0</v>
      </c>
    </row>
    <row r="1181" spans="1:13" x14ac:dyDescent="0.35">
      <c r="A1181">
        <v>16</v>
      </c>
      <c r="B1181" t="s">
        <v>13</v>
      </c>
      <c r="C1181">
        <v>5.3</v>
      </c>
      <c r="D1181" t="s">
        <v>17</v>
      </c>
      <c r="E1181">
        <v>5.3</v>
      </c>
      <c r="F1181">
        <v>2.4</v>
      </c>
      <c r="G1181">
        <v>3.01</v>
      </c>
      <c r="H1181">
        <v>1.6</v>
      </c>
      <c r="I1181" t="s">
        <v>19</v>
      </c>
      <c r="J1181">
        <v>2</v>
      </c>
      <c r="K1181">
        <v>9</v>
      </c>
      <c r="L1181">
        <v>1</v>
      </c>
      <c r="M1181">
        <v>0</v>
      </c>
    </row>
    <row r="1182" spans="1:13" x14ac:dyDescent="0.35">
      <c r="A1182">
        <v>13</v>
      </c>
      <c r="B1182" t="s">
        <v>16</v>
      </c>
      <c r="C1182">
        <v>4.0999999999999996</v>
      </c>
      <c r="D1182" t="s">
        <v>14</v>
      </c>
      <c r="E1182">
        <v>7.5</v>
      </c>
      <c r="F1182">
        <v>1.7</v>
      </c>
      <c r="G1182">
        <v>3.12</v>
      </c>
      <c r="H1182">
        <v>2</v>
      </c>
      <c r="I1182" t="s">
        <v>19</v>
      </c>
      <c r="J1182">
        <v>1</v>
      </c>
      <c r="K1182">
        <v>4</v>
      </c>
      <c r="L1182">
        <v>9</v>
      </c>
      <c r="M1182">
        <v>0</v>
      </c>
    </row>
    <row r="1183" spans="1:13" x14ac:dyDescent="0.35">
      <c r="A1183">
        <v>18</v>
      </c>
      <c r="B1183" t="s">
        <v>13</v>
      </c>
      <c r="C1183">
        <v>4.0999999999999996</v>
      </c>
      <c r="D1183" t="s">
        <v>14</v>
      </c>
      <c r="E1183">
        <v>6.7</v>
      </c>
      <c r="F1183">
        <v>2.1</v>
      </c>
      <c r="G1183">
        <v>2.5</v>
      </c>
      <c r="H1183">
        <v>0.1</v>
      </c>
      <c r="I1183" t="s">
        <v>19</v>
      </c>
      <c r="J1183">
        <v>8</v>
      </c>
      <c r="K1183">
        <v>1</v>
      </c>
      <c r="L1183">
        <v>5</v>
      </c>
      <c r="M1183">
        <v>0</v>
      </c>
    </row>
    <row r="1184" spans="1:13" x14ac:dyDescent="0.35">
      <c r="A1184">
        <v>15</v>
      </c>
      <c r="B1184" t="s">
        <v>13</v>
      </c>
      <c r="C1184">
        <v>6.3</v>
      </c>
      <c r="D1184" t="s">
        <v>17</v>
      </c>
      <c r="E1184">
        <v>6.8</v>
      </c>
      <c r="F1184">
        <v>1.8</v>
      </c>
      <c r="G1184">
        <v>2.59</v>
      </c>
      <c r="H1184">
        <v>1.9</v>
      </c>
      <c r="I1184" t="s">
        <v>18</v>
      </c>
      <c r="J1184">
        <v>10</v>
      </c>
      <c r="K1184">
        <v>5</v>
      </c>
      <c r="L1184">
        <v>5</v>
      </c>
      <c r="M1184">
        <v>0</v>
      </c>
    </row>
    <row r="1185" spans="1:13" x14ac:dyDescent="0.35">
      <c r="A1185">
        <v>19</v>
      </c>
      <c r="B1185" t="s">
        <v>16</v>
      </c>
      <c r="C1185">
        <v>6.6</v>
      </c>
      <c r="D1185" t="s">
        <v>20</v>
      </c>
      <c r="E1185">
        <v>9</v>
      </c>
      <c r="F1185">
        <v>2.9</v>
      </c>
      <c r="G1185">
        <v>2.4700000000000002</v>
      </c>
      <c r="H1185">
        <v>1.7</v>
      </c>
      <c r="I1185" t="s">
        <v>19</v>
      </c>
      <c r="J1185">
        <v>3</v>
      </c>
      <c r="K1185">
        <v>7</v>
      </c>
      <c r="L1185">
        <v>9</v>
      </c>
      <c r="M1185">
        <v>0</v>
      </c>
    </row>
    <row r="1186" spans="1:13" x14ac:dyDescent="0.35">
      <c r="A1186">
        <v>19</v>
      </c>
      <c r="B1186" t="s">
        <v>13</v>
      </c>
      <c r="C1186">
        <v>1.4</v>
      </c>
      <c r="D1186" t="s">
        <v>20</v>
      </c>
      <c r="E1186">
        <v>4.5</v>
      </c>
      <c r="F1186">
        <v>2.2999999999999998</v>
      </c>
      <c r="G1186">
        <v>3.9</v>
      </c>
      <c r="H1186">
        <v>0</v>
      </c>
      <c r="I1186" t="s">
        <v>19</v>
      </c>
      <c r="J1186">
        <v>2</v>
      </c>
      <c r="K1186">
        <v>8</v>
      </c>
      <c r="L1186">
        <v>10</v>
      </c>
      <c r="M1186">
        <v>0</v>
      </c>
    </row>
    <row r="1187" spans="1:13" x14ac:dyDescent="0.35">
      <c r="A1187">
        <v>19</v>
      </c>
      <c r="B1187" t="s">
        <v>13</v>
      </c>
      <c r="C1187">
        <v>2.4</v>
      </c>
      <c r="D1187" t="s">
        <v>17</v>
      </c>
      <c r="E1187">
        <v>9</v>
      </c>
      <c r="F1187">
        <v>2.4</v>
      </c>
      <c r="G1187">
        <v>3.13</v>
      </c>
      <c r="H1187">
        <v>0.5</v>
      </c>
      <c r="I1187" t="s">
        <v>18</v>
      </c>
      <c r="J1187">
        <v>5</v>
      </c>
      <c r="K1187">
        <v>3</v>
      </c>
      <c r="L1187">
        <v>3</v>
      </c>
      <c r="M1187">
        <v>0</v>
      </c>
    </row>
    <row r="1188" spans="1:13" x14ac:dyDescent="0.35">
      <c r="A1188">
        <v>18</v>
      </c>
      <c r="B1188" t="s">
        <v>13</v>
      </c>
      <c r="C1188">
        <v>1.6</v>
      </c>
      <c r="D1188" t="s">
        <v>20</v>
      </c>
      <c r="E1188">
        <v>5.4</v>
      </c>
      <c r="F1188">
        <v>2</v>
      </c>
      <c r="G1188">
        <v>3.2</v>
      </c>
      <c r="H1188">
        <v>1.8</v>
      </c>
      <c r="I1188" t="s">
        <v>15</v>
      </c>
      <c r="J1188">
        <v>8</v>
      </c>
      <c r="K1188">
        <v>8</v>
      </c>
      <c r="L1188">
        <v>3</v>
      </c>
      <c r="M1188">
        <v>0</v>
      </c>
    </row>
    <row r="1189" spans="1:13" x14ac:dyDescent="0.35">
      <c r="A1189">
        <v>18</v>
      </c>
      <c r="B1189" t="s">
        <v>13</v>
      </c>
      <c r="C1189">
        <v>2</v>
      </c>
      <c r="D1189" t="s">
        <v>14</v>
      </c>
      <c r="E1189">
        <v>8.9</v>
      </c>
      <c r="F1189">
        <v>0.8</v>
      </c>
      <c r="G1189">
        <v>2.96</v>
      </c>
      <c r="H1189">
        <v>0.5</v>
      </c>
      <c r="I1189" t="s">
        <v>19</v>
      </c>
      <c r="J1189">
        <v>6</v>
      </c>
      <c r="K1189">
        <v>2</v>
      </c>
      <c r="L1189">
        <v>2</v>
      </c>
      <c r="M1189">
        <v>0</v>
      </c>
    </row>
    <row r="1190" spans="1:13" x14ac:dyDescent="0.35">
      <c r="A1190">
        <v>17</v>
      </c>
      <c r="B1190" t="s">
        <v>16</v>
      </c>
      <c r="C1190">
        <v>7.4</v>
      </c>
      <c r="D1190" t="s">
        <v>14</v>
      </c>
      <c r="E1190">
        <v>7.4</v>
      </c>
      <c r="F1190">
        <v>2</v>
      </c>
      <c r="G1190">
        <v>3.76</v>
      </c>
      <c r="H1190">
        <v>1.7</v>
      </c>
      <c r="I1190" t="s">
        <v>18</v>
      </c>
      <c r="J1190">
        <v>10</v>
      </c>
      <c r="K1190">
        <v>1</v>
      </c>
      <c r="L1190">
        <v>4</v>
      </c>
      <c r="M1190">
        <v>0</v>
      </c>
    </row>
    <row r="1191" spans="1:13" x14ac:dyDescent="0.35">
      <c r="A1191">
        <v>14</v>
      </c>
      <c r="B1191" t="s">
        <v>16</v>
      </c>
      <c r="C1191">
        <v>1.6</v>
      </c>
      <c r="D1191" t="s">
        <v>17</v>
      </c>
      <c r="E1191">
        <v>4.8</v>
      </c>
      <c r="F1191">
        <v>2.4</v>
      </c>
      <c r="G1191">
        <v>2.97</v>
      </c>
      <c r="H1191">
        <v>1.9</v>
      </c>
      <c r="I1191" t="s">
        <v>15</v>
      </c>
      <c r="J1191">
        <v>9</v>
      </c>
      <c r="K1191">
        <v>9</v>
      </c>
      <c r="L1191">
        <v>10</v>
      </c>
      <c r="M1191">
        <v>0</v>
      </c>
    </row>
    <row r="1192" spans="1:13" x14ac:dyDescent="0.35">
      <c r="A1192">
        <v>17</v>
      </c>
      <c r="B1192" t="s">
        <v>16</v>
      </c>
      <c r="C1192">
        <v>3.8</v>
      </c>
      <c r="D1192" t="s">
        <v>14</v>
      </c>
      <c r="E1192">
        <v>8.4</v>
      </c>
      <c r="F1192">
        <v>0.9</v>
      </c>
      <c r="G1192">
        <v>3.6</v>
      </c>
      <c r="H1192">
        <v>1.9</v>
      </c>
      <c r="I1192" t="s">
        <v>18</v>
      </c>
      <c r="J1192">
        <v>1</v>
      </c>
      <c r="K1192">
        <v>2</v>
      </c>
      <c r="L1192">
        <v>2</v>
      </c>
      <c r="M1192">
        <v>0</v>
      </c>
    </row>
    <row r="1193" spans="1:13" x14ac:dyDescent="0.35">
      <c r="A1193">
        <v>19</v>
      </c>
      <c r="B1193" t="s">
        <v>13</v>
      </c>
      <c r="C1193">
        <v>8</v>
      </c>
      <c r="D1193" t="s">
        <v>17</v>
      </c>
      <c r="E1193">
        <v>4.7</v>
      </c>
      <c r="F1193">
        <v>0.5</v>
      </c>
      <c r="G1193">
        <v>2.1800000000000002</v>
      </c>
      <c r="H1193">
        <v>0.6</v>
      </c>
      <c r="I1193" t="s">
        <v>19</v>
      </c>
      <c r="J1193">
        <v>8</v>
      </c>
      <c r="K1193">
        <v>8</v>
      </c>
      <c r="L1193">
        <v>6</v>
      </c>
      <c r="M1193">
        <v>1</v>
      </c>
    </row>
    <row r="1194" spans="1:13" x14ac:dyDescent="0.35">
      <c r="A1194">
        <v>13</v>
      </c>
      <c r="B1194" t="s">
        <v>13</v>
      </c>
      <c r="C1194">
        <v>7.8</v>
      </c>
      <c r="D1194" t="s">
        <v>17</v>
      </c>
      <c r="E1194">
        <v>5.9</v>
      </c>
      <c r="F1194">
        <v>1.5</v>
      </c>
      <c r="G1194">
        <v>3.31</v>
      </c>
      <c r="H1194">
        <v>1.9</v>
      </c>
      <c r="I1194" t="s">
        <v>18</v>
      </c>
      <c r="J1194">
        <v>10</v>
      </c>
      <c r="K1194">
        <v>1</v>
      </c>
      <c r="L1194">
        <v>10</v>
      </c>
      <c r="M1194">
        <v>0</v>
      </c>
    </row>
    <row r="1195" spans="1:13" x14ac:dyDescent="0.35">
      <c r="A1195">
        <v>13</v>
      </c>
      <c r="B1195" t="s">
        <v>16</v>
      </c>
      <c r="C1195">
        <v>7.2</v>
      </c>
      <c r="D1195" t="s">
        <v>14</v>
      </c>
      <c r="E1195">
        <v>8.1</v>
      </c>
      <c r="F1195">
        <v>2.1</v>
      </c>
      <c r="G1195">
        <v>2.52</v>
      </c>
      <c r="H1195">
        <v>0.4</v>
      </c>
      <c r="I1195" t="s">
        <v>19</v>
      </c>
      <c r="J1195">
        <v>3</v>
      </c>
      <c r="K1195">
        <v>3</v>
      </c>
      <c r="L1195">
        <v>7</v>
      </c>
      <c r="M1195">
        <v>0</v>
      </c>
    </row>
    <row r="1196" spans="1:13" x14ac:dyDescent="0.35">
      <c r="A1196">
        <v>17</v>
      </c>
      <c r="B1196" t="s">
        <v>13</v>
      </c>
      <c r="C1196">
        <v>2</v>
      </c>
      <c r="D1196" t="s">
        <v>20</v>
      </c>
      <c r="E1196">
        <v>4.5</v>
      </c>
      <c r="F1196">
        <v>1.7</v>
      </c>
      <c r="G1196">
        <v>2.65</v>
      </c>
      <c r="H1196">
        <v>0</v>
      </c>
      <c r="I1196" t="s">
        <v>19</v>
      </c>
      <c r="J1196">
        <v>9</v>
      </c>
      <c r="K1196">
        <v>4</v>
      </c>
      <c r="L1196">
        <v>2</v>
      </c>
      <c r="M1196">
        <v>0</v>
      </c>
    </row>
    <row r="1197" spans="1:13" x14ac:dyDescent="0.35">
      <c r="A1197">
        <v>18</v>
      </c>
      <c r="B1197" t="s">
        <v>16</v>
      </c>
      <c r="C1197">
        <v>6.8</v>
      </c>
      <c r="D1197" t="s">
        <v>14</v>
      </c>
      <c r="E1197">
        <v>6.6</v>
      </c>
      <c r="F1197">
        <v>2</v>
      </c>
      <c r="G1197">
        <v>2.76</v>
      </c>
      <c r="H1197">
        <v>1</v>
      </c>
      <c r="I1197" t="s">
        <v>15</v>
      </c>
      <c r="J1197">
        <v>3</v>
      </c>
      <c r="K1197">
        <v>4</v>
      </c>
      <c r="L1197">
        <v>4</v>
      </c>
      <c r="M1197">
        <v>0</v>
      </c>
    </row>
    <row r="1198" spans="1:13" x14ac:dyDescent="0.35">
      <c r="A1198">
        <v>16</v>
      </c>
      <c r="B1198" t="s">
        <v>13</v>
      </c>
      <c r="C1198">
        <v>2.2999999999999998</v>
      </c>
      <c r="D1198" t="s">
        <v>20</v>
      </c>
      <c r="E1198">
        <v>8</v>
      </c>
      <c r="F1198">
        <v>1.9</v>
      </c>
      <c r="G1198">
        <v>2.12</v>
      </c>
      <c r="H1198">
        <v>0.4</v>
      </c>
      <c r="I1198" t="s">
        <v>18</v>
      </c>
      <c r="J1198">
        <v>7</v>
      </c>
      <c r="K1198">
        <v>4</v>
      </c>
      <c r="L1198">
        <v>4</v>
      </c>
      <c r="M1198">
        <v>0</v>
      </c>
    </row>
    <row r="1199" spans="1:13" x14ac:dyDescent="0.35">
      <c r="A1199">
        <v>14</v>
      </c>
      <c r="B1199" t="s">
        <v>16</v>
      </c>
      <c r="C1199">
        <v>1.7</v>
      </c>
      <c r="D1199" t="s">
        <v>20</v>
      </c>
      <c r="E1199">
        <v>8.6999999999999993</v>
      </c>
      <c r="F1199">
        <v>0.7</v>
      </c>
      <c r="G1199">
        <v>3.98</v>
      </c>
      <c r="H1199">
        <v>0.8</v>
      </c>
      <c r="I1199" t="s">
        <v>18</v>
      </c>
      <c r="J1199">
        <v>1</v>
      </c>
      <c r="K1199">
        <v>1</v>
      </c>
      <c r="L1199">
        <v>1</v>
      </c>
      <c r="M1199">
        <v>0</v>
      </c>
    </row>
    <row r="1200" spans="1:13" x14ac:dyDescent="0.35">
      <c r="A1200">
        <v>15</v>
      </c>
      <c r="B1200" t="s">
        <v>13</v>
      </c>
      <c r="C1200">
        <v>3.9</v>
      </c>
      <c r="D1200" t="s">
        <v>20</v>
      </c>
      <c r="E1200">
        <v>8.5</v>
      </c>
      <c r="F1200">
        <v>2.1</v>
      </c>
      <c r="G1200">
        <v>3.19</v>
      </c>
      <c r="H1200">
        <v>0.6</v>
      </c>
      <c r="I1200" t="s">
        <v>18</v>
      </c>
      <c r="J1200">
        <v>7</v>
      </c>
      <c r="K1200">
        <v>9</v>
      </c>
      <c r="L1200">
        <v>9</v>
      </c>
      <c r="M1200">
        <v>0</v>
      </c>
    </row>
    <row r="1201" spans="1:13" x14ac:dyDescent="0.35">
      <c r="A1201">
        <v>16</v>
      </c>
      <c r="B1201" t="s">
        <v>16</v>
      </c>
      <c r="C1201">
        <v>4.7</v>
      </c>
      <c r="D1201" t="s">
        <v>17</v>
      </c>
      <c r="E1201">
        <v>6.5</v>
      </c>
      <c r="F1201">
        <v>1</v>
      </c>
      <c r="G1201">
        <v>2.91</v>
      </c>
      <c r="H1201">
        <v>0.9</v>
      </c>
      <c r="I1201" t="s">
        <v>19</v>
      </c>
      <c r="J1201">
        <v>5</v>
      </c>
      <c r="K1201">
        <v>7</v>
      </c>
      <c r="L1201">
        <v>3</v>
      </c>
      <c r="M1201">
        <v>0</v>
      </c>
    </row>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7B95B-B245-407E-BEE3-8DF361032416}">
  <sheetPr codeName="Sheet2"/>
  <dimension ref="A1:AD1201"/>
  <sheetViews>
    <sheetView zoomScale="104" zoomScaleNormal="104" workbookViewId="0">
      <selection activeCell="E4" sqref="E4"/>
    </sheetView>
  </sheetViews>
  <sheetFormatPr defaultRowHeight="14.5" x14ac:dyDescent="0.35"/>
  <cols>
    <col min="3" max="3" width="24.36328125" customWidth="1"/>
    <col min="4" max="4" width="15.7265625" customWidth="1"/>
    <col min="5" max="5" width="12.90625" customWidth="1"/>
    <col min="6" max="6" width="24.6328125" customWidth="1"/>
    <col min="7" max="7" width="22.6328125" customWidth="1"/>
    <col min="8" max="8" width="16.90625" customWidth="1"/>
    <col min="9" max="9" width="22.6328125" customWidth="1"/>
    <col min="10" max="10" width="12.6328125" customWidth="1"/>
    <col min="11" max="11" width="13.7265625" customWidth="1"/>
    <col min="12" max="12" width="15.6328125" customWidth="1"/>
    <col min="13" max="13" width="17.08984375" customWidth="1"/>
    <col min="15" max="15" width="120.26953125" bestFit="1" customWidth="1"/>
  </cols>
  <sheetData>
    <row r="1" spans="1:30" x14ac:dyDescent="0.35">
      <c r="A1" t="s">
        <v>0</v>
      </c>
      <c r="B1" t="s">
        <v>1</v>
      </c>
      <c r="C1" t="s">
        <v>2</v>
      </c>
      <c r="D1" t="s">
        <v>3</v>
      </c>
      <c r="E1" t="s">
        <v>4</v>
      </c>
      <c r="F1" t="s">
        <v>5</v>
      </c>
      <c r="G1" t="s">
        <v>6</v>
      </c>
      <c r="H1" t="s">
        <v>7</v>
      </c>
      <c r="I1" t="s">
        <v>8</v>
      </c>
      <c r="J1" t="s">
        <v>9</v>
      </c>
      <c r="K1" t="s">
        <v>10</v>
      </c>
      <c r="L1" t="s">
        <v>11</v>
      </c>
      <c r="M1" t="s">
        <v>12</v>
      </c>
    </row>
    <row r="2" spans="1:30" x14ac:dyDescent="0.35">
      <c r="A2">
        <v>13</v>
      </c>
      <c r="B2" t="s">
        <v>16</v>
      </c>
      <c r="C2">
        <v>1.5</v>
      </c>
      <c r="D2" t="s">
        <v>20</v>
      </c>
      <c r="E2">
        <v>7.2</v>
      </c>
      <c r="F2">
        <v>2.5</v>
      </c>
      <c r="G2">
        <v>2.15</v>
      </c>
      <c r="H2">
        <v>1.3</v>
      </c>
      <c r="I2" t="s">
        <v>19</v>
      </c>
      <c r="J2">
        <v>4</v>
      </c>
      <c r="K2">
        <v>6</v>
      </c>
      <c r="L2">
        <v>2</v>
      </c>
      <c r="M2">
        <v>0</v>
      </c>
      <c r="O2" s="15" t="s">
        <v>21</v>
      </c>
      <c r="P2" s="15"/>
      <c r="Q2" s="15"/>
      <c r="R2" s="15"/>
      <c r="S2" s="15"/>
      <c r="T2" s="15"/>
      <c r="U2" s="15"/>
      <c r="V2" s="15"/>
      <c r="W2" s="15"/>
      <c r="X2" s="15"/>
      <c r="Y2" s="15"/>
      <c r="Z2" s="15"/>
      <c r="AA2" s="15"/>
      <c r="AB2" s="15"/>
      <c r="AC2" s="15"/>
      <c r="AD2" s="15"/>
    </row>
    <row r="3" spans="1:30" x14ac:dyDescent="0.35">
      <c r="A3">
        <v>13</v>
      </c>
      <c r="B3" t="s">
        <v>16</v>
      </c>
      <c r="C3">
        <v>1.6</v>
      </c>
      <c r="D3" t="s">
        <v>14</v>
      </c>
      <c r="E3">
        <v>8.6999999999999993</v>
      </c>
      <c r="F3">
        <v>2.5</v>
      </c>
      <c r="G3">
        <v>3.69</v>
      </c>
      <c r="H3">
        <v>0.4</v>
      </c>
      <c r="I3" t="s">
        <v>18</v>
      </c>
      <c r="J3">
        <v>8</v>
      </c>
      <c r="K3">
        <v>2</v>
      </c>
      <c r="L3">
        <v>9</v>
      </c>
      <c r="M3">
        <v>0</v>
      </c>
      <c r="O3" t="s">
        <v>22</v>
      </c>
    </row>
    <row r="4" spans="1:30" x14ac:dyDescent="0.35">
      <c r="A4">
        <v>13</v>
      </c>
      <c r="B4" t="s">
        <v>16</v>
      </c>
      <c r="C4">
        <v>6.6</v>
      </c>
      <c r="D4" t="s">
        <v>17</v>
      </c>
      <c r="E4">
        <v>7.3</v>
      </c>
      <c r="F4">
        <v>1.6</v>
      </c>
      <c r="G4">
        <v>3.27</v>
      </c>
      <c r="H4">
        <v>0.1</v>
      </c>
      <c r="I4" t="s">
        <v>19</v>
      </c>
      <c r="J4">
        <v>10</v>
      </c>
      <c r="K4">
        <v>2</v>
      </c>
      <c r="L4">
        <v>1</v>
      </c>
      <c r="M4">
        <v>0</v>
      </c>
      <c r="O4" t="s">
        <v>23</v>
      </c>
    </row>
    <row r="5" spans="1:30" x14ac:dyDescent="0.35">
      <c r="A5">
        <v>13</v>
      </c>
      <c r="B5" t="s">
        <v>16</v>
      </c>
      <c r="C5">
        <v>3.5</v>
      </c>
      <c r="D5" t="s">
        <v>14</v>
      </c>
      <c r="E5">
        <v>5.0999999999999996</v>
      </c>
      <c r="F5">
        <v>1.1000000000000001</v>
      </c>
      <c r="G5">
        <v>2.27</v>
      </c>
      <c r="H5">
        <v>1.8</v>
      </c>
      <c r="I5" t="s">
        <v>19</v>
      </c>
      <c r="J5">
        <v>2</v>
      </c>
      <c r="K5">
        <v>5</v>
      </c>
      <c r="L5">
        <v>6</v>
      </c>
      <c r="M5">
        <v>0</v>
      </c>
      <c r="O5" t="s">
        <v>24</v>
      </c>
    </row>
    <row r="6" spans="1:30" x14ac:dyDescent="0.35">
      <c r="A6">
        <v>13</v>
      </c>
      <c r="B6" t="s">
        <v>16</v>
      </c>
      <c r="C6">
        <v>5.8</v>
      </c>
      <c r="D6" t="s">
        <v>17</v>
      </c>
      <c r="E6">
        <v>8.5</v>
      </c>
      <c r="F6">
        <v>2.2999999999999998</v>
      </c>
      <c r="G6">
        <v>3.3</v>
      </c>
      <c r="H6">
        <v>1.9</v>
      </c>
      <c r="I6" t="s">
        <v>18</v>
      </c>
      <c r="J6">
        <v>1</v>
      </c>
      <c r="K6">
        <v>1</v>
      </c>
      <c r="L6">
        <v>5</v>
      </c>
      <c r="M6">
        <v>0</v>
      </c>
      <c r="O6" t="s">
        <v>25</v>
      </c>
    </row>
    <row r="7" spans="1:30" x14ac:dyDescent="0.35">
      <c r="A7">
        <v>13</v>
      </c>
      <c r="B7" t="s">
        <v>16</v>
      </c>
      <c r="C7">
        <v>4</v>
      </c>
      <c r="D7" t="s">
        <v>14</v>
      </c>
      <c r="E7">
        <v>4.4000000000000004</v>
      </c>
      <c r="F7">
        <v>2.5</v>
      </c>
      <c r="G7">
        <v>3.6</v>
      </c>
      <c r="H7">
        <v>1.4</v>
      </c>
      <c r="I7" t="s">
        <v>19</v>
      </c>
      <c r="J7">
        <v>7</v>
      </c>
      <c r="K7">
        <v>2</v>
      </c>
      <c r="L7">
        <v>10</v>
      </c>
      <c r="M7">
        <v>0</v>
      </c>
      <c r="O7" t="s">
        <v>26</v>
      </c>
    </row>
    <row r="8" spans="1:30" x14ac:dyDescent="0.35">
      <c r="A8">
        <v>13</v>
      </c>
      <c r="B8" t="s">
        <v>16</v>
      </c>
      <c r="C8">
        <v>3.5</v>
      </c>
      <c r="D8" t="s">
        <v>17</v>
      </c>
      <c r="E8">
        <v>5.2</v>
      </c>
      <c r="F8">
        <v>2.5</v>
      </c>
      <c r="G8">
        <v>2.57</v>
      </c>
      <c r="H8">
        <v>1.1000000000000001</v>
      </c>
      <c r="I8" t="s">
        <v>18</v>
      </c>
      <c r="J8">
        <v>1</v>
      </c>
      <c r="K8">
        <v>6</v>
      </c>
      <c r="L8">
        <v>3</v>
      </c>
      <c r="M8">
        <v>0</v>
      </c>
      <c r="O8" t="s">
        <v>27</v>
      </c>
    </row>
    <row r="9" spans="1:30" x14ac:dyDescent="0.35">
      <c r="A9">
        <v>13</v>
      </c>
      <c r="B9" t="s">
        <v>16</v>
      </c>
      <c r="C9">
        <v>4</v>
      </c>
      <c r="D9" t="s">
        <v>20</v>
      </c>
      <c r="E9">
        <v>4.5</v>
      </c>
      <c r="F9">
        <v>1</v>
      </c>
      <c r="G9">
        <v>3.65</v>
      </c>
      <c r="H9">
        <v>1.8</v>
      </c>
      <c r="I9" t="s">
        <v>15</v>
      </c>
      <c r="J9">
        <v>5</v>
      </c>
      <c r="K9">
        <v>6</v>
      </c>
      <c r="L9">
        <v>5</v>
      </c>
      <c r="M9">
        <v>0</v>
      </c>
      <c r="O9" t="s">
        <v>28</v>
      </c>
    </row>
    <row r="10" spans="1:30" x14ac:dyDescent="0.35">
      <c r="A10">
        <v>13</v>
      </c>
      <c r="B10" t="s">
        <v>16</v>
      </c>
      <c r="C10">
        <v>3.8</v>
      </c>
      <c r="D10" t="s">
        <v>14</v>
      </c>
      <c r="E10">
        <v>7.9</v>
      </c>
      <c r="F10">
        <v>1.3</v>
      </c>
      <c r="G10">
        <v>3.97</v>
      </c>
      <c r="H10">
        <v>0.2</v>
      </c>
      <c r="I10" t="s">
        <v>19</v>
      </c>
      <c r="J10">
        <v>7</v>
      </c>
      <c r="K10">
        <v>10</v>
      </c>
      <c r="L10">
        <v>9</v>
      </c>
      <c r="M10">
        <v>0</v>
      </c>
      <c r="O10" t="s">
        <v>29</v>
      </c>
    </row>
    <row r="11" spans="1:30" x14ac:dyDescent="0.35">
      <c r="A11">
        <v>13</v>
      </c>
      <c r="B11" t="s">
        <v>16</v>
      </c>
      <c r="C11">
        <v>4.7</v>
      </c>
      <c r="D11" t="s">
        <v>20</v>
      </c>
      <c r="E11">
        <v>6.8</v>
      </c>
      <c r="F11">
        <v>1.7</v>
      </c>
      <c r="G11">
        <v>3.27</v>
      </c>
      <c r="H11">
        <v>1.4</v>
      </c>
      <c r="I11" t="s">
        <v>15</v>
      </c>
      <c r="J11">
        <v>4</v>
      </c>
      <c r="K11">
        <v>2</v>
      </c>
      <c r="L11">
        <v>4</v>
      </c>
      <c r="M11">
        <v>0</v>
      </c>
      <c r="O11" t="s">
        <v>30</v>
      </c>
    </row>
    <row r="12" spans="1:30" x14ac:dyDescent="0.35">
      <c r="A12">
        <v>13</v>
      </c>
      <c r="B12" t="s">
        <v>16</v>
      </c>
      <c r="C12">
        <v>4.4000000000000004</v>
      </c>
      <c r="D12" t="s">
        <v>17</v>
      </c>
      <c r="E12">
        <v>8.8000000000000007</v>
      </c>
      <c r="F12">
        <v>1.3</v>
      </c>
      <c r="G12">
        <v>2.69</v>
      </c>
      <c r="H12">
        <v>0.4</v>
      </c>
      <c r="I12" t="s">
        <v>15</v>
      </c>
      <c r="J12">
        <v>3</v>
      </c>
      <c r="K12">
        <v>1</v>
      </c>
      <c r="L12">
        <v>7</v>
      </c>
      <c r="M12">
        <v>0</v>
      </c>
      <c r="O12" t="s">
        <v>31</v>
      </c>
    </row>
    <row r="13" spans="1:30" x14ac:dyDescent="0.35">
      <c r="A13">
        <v>13</v>
      </c>
      <c r="B13" t="s">
        <v>16</v>
      </c>
      <c r="C13">
        <v>3.9</v>
      </c>
      <c r="D13" t="s">
        <v>14</v>
      </c>
      <c r="E13">
        <v>5</v>
      </c>
      <c r="F13">
        <v>0.7</v>
      </c>
      <c r="G13">
        <v>2.98</v>
      </c>
      <c r="H13">
        <v>0.3</v>
      </c>
      <c r="I13" t="s">
        <v>19</v>
      </c>
      <c r="J13">
        <v>10</v>
      </c>
      <c r="K13">
        <v>8</v>
      </c>
      <c r="L13">
        <v>3</v>
      </c>
      <c r="M13">
        <v>0</v>
      </c>
      <c r="O13" t="s">
        <v>32</v>
      </c>
    </row>
    <row r="14" spans="1:30" x14ac:dyDescent="0.35">
      <c r="A14">
        <v>13</v>
      </c>
      <c r="B14" t="s">
        <v>16</v>
      </c>
      <c r="C14">
        <v>7.3</v>
      </c>
      <c r="D14" t="s">
        <v>20</v>
      </c>
      <c r="E14">
        <v>8.9</v>
      </c>
      <c r="F14">
        <v>2.7</v>
      </c>
      <c r="G14">
        <v>3.68</v>
      </c>
      <c r="H14">
        <v>1.9</v>
      </c>
      <c r="I14" t="s">
        <v>15</v>
      </c>
      <c r="J14">
        <v>6</v>
      </c>
      <c r="K14">
        <v>6</v>
      </c>
      <c r="L14">
        <v>10</v>
      </c>
      <c r="M14">
        <v>0</v>
      </c>
    </row>
    <row r="15" spans="1:30" x14ac:dyDescent="0.35">
      <c r="A15">
        <v>13</v>
      </c>
      <c r="B15" t="s">
        <v>16</v>
      </c>
      <c r="C15">
        <v>1.9</v>
      </c>
      <c r="D15" t="s">
        <v>17</v>
      </c>
      <c r="E15">
        <v>8.5</v>
      </c>
      <c r="F15">
        <v>0.8</v>
      </c>
      <c r="G15">
        <v>3.33</v>
      </c>
      <c r="H15">
        <v>1.3</v>
      </c>
      <c r="I15" t="s">
        <v>19</v>
      </c>
      <c r="J15">
        <v>5</v>
      </c>
      <c r="K15">
        <v>1</v>
      </c>
      <c r="L15">
        <v>3</v>
      </c>
      <c r="M15">
        <v>0</v>
      </c>
    </row>
    <row r="16" spans="1:30" x14ac:dyDescent="0.35">
      <c r="A16">
        <v>13</v>
      </c>
      <c r="B16" t="s">
        <v>16</v>
      </c>
      <c r="C16">
        <v>6.5</v>
      </c>
      <c r="D16" t="s">
        <v>17</v>
      </c>
      <c r="E16">
        <v>8.3000000000000007</v>
      </c>
      <c r="F16">
        <v>0.6</v>
      </c>
      <c r="G16">
        <v>3.05</v>
      </c>
      <c r="H16">
        <v>0.3</v>
      </c>
      <c r="I16" t="s">
        <v>18</v>
      </c>
      <c r="J16">
        <v>2</v>
      </c>
      <c r="K16">
        <v>7</v>
      </c>
      <c r="L16">
        <v>8</v>
      </c>
      <c r="M16">
        <v>0</v>
      </c>
      <c r="O16" s="16" t="s">
        <v>34</v>
      </c>
    </row>
    <row r="17" spans="1:15" x14ac:dyDescent="0.35">
      <c r="A17">
        <v>13</v>
      </c>
      <c r="B17" t="s">
        <v>16</v>
      </c>
      <c r="C17">
        <v>7.2</v>
      </c>
      <c r="D17" t="s">
        <v>17</v>
      </c>
      <c r="E17">
        <v>7.4</v>
      </c>
      <c r="F17">
        <v>2.2000000000000002</v>
      </c>
      <c r="G17">
        <v>3.42</v>
      </c>
      <c r="H17">
        <v>0.1</v>
      </c>
      <c r="I17" t="s">
        <v>15</v>
      </c>
      <c r="J17">
        <v>8</v>
      </c>
      <c r="K17">
        <v>9</v>
      </c>
      <c r="L17">
        <v>6</v>
      </c>
      <c r="M17">
        <v>0</v>
      </c>
      <c r="O17" s="16"/>
    </row>
    <row r="18" spans="1:15" x14ac:dyDescent="0.35">
      <c r="A18">
        <v>13</v>
      </c>
      <c r="B18" t="s">
        <v>16</v>
      </c>
      <c r="C18">
        <v>7.9</v>
      </c>
      <c r="D18" t="s">
        <v>14</v>
      </c>
      <c r="E18">
        <v>7.2</v>
      </c>
      <c r="F18">
        <v>1.5</v>
      </c>
      <c r="G18">
        <v>2.36</v>
      </c>
      <c r="H18">
        <v>0.2</v>
      </c>
      <c r="I18" t="s">
        <v>19</v>
      </c>
      <c r="J18">
        <v>2</v>
      </c>
      <c r="K18">
        <v>6</v>
      </c>
      <c r="L18">
        <v>8</v>
      </c>
      <c r="M18">
        <v>0</v>
      </c>
      <c r="O18" s="16"/>
    </row>
    <row r="19" spans="1:15" x14ac:dyDescent="0.35">
      <c r="A19">
        <v>13</v>
      </c>
      <c r="B19" t="s">
        <v>16</v>
      </c>
      <c r="C19">
        <v>3.6</v>
      </c>
      <c r="D19" t="s">
        <v>17</v>
      </c>
      <c r="E19">
        <v>8.6</v>
      </c>
      <c r="F19">
        <v>2.8</v>
      </c>
      <c r="G19">
        <v>3.28</v>
      </c>
      <c r="H19">
        <v>0.7</v>
      </c>
      <c r="I19" t="s">
        <v>18</v>
      </c>
      <c r="J19">
        <v>10</v>
      </c>
      <c r="K19">
        <v>3</v>
      </c>
      <c r="L19">
        <v>5</v>
      </c>
      <c r="M19">
        <v>0</v>
      </c>
    </row>
    <row r="20" spans="1:15" x14ac:dyDescent="0.35">
      <c r="A20">
        <v>13</v>
      </c>
      <c r="B20" t="s">
        <v>16</v>
      </c>
      <c r="C20">
        <v>2</v>
      </c>
      <c r="D20" t="s">
        <v>14</v>
      </c>
      <c r="E20">
        <v>8.6999999999999993</v>
      </c>
      <c r="F20">
        <v>1.9</v>
      </c>
      <c r="G20">
        <v>2.2799999999999998</v>
      </c>
      <c r="H20">
        <v>1.2</v>
      </c>
      <c r="I20" t="s">
        <v>19</v>
      </c>
      <c r="J20">
        <v>7</v>
      </c>
      <c r="K20">
        <v>7</v>
      </c>
      <c r="L20">
        <v>9</v>
      </c>
      <c r="M20">
        <v>0</v>
      </c>
      <c r="O20" t="s">
        <v>35</v>
      </c>
    </row>
    <row r="21" spans="1:15" x14ac:dyDescent="0.35">
      <c r="A21">
        <v>13</v>
      </c>
      <c r="B21" t="s">
        <v>16</v>
      </c>
      <c r="C21">
        <v>7.3</v>
      </c>
      <c r="D21" t="s">
        <v>14</v>
      </c>
      <c r="E21">
        <v>6.4</v>
      </c>
      <c r="F21">
        <v>2.2999999999999998</v>
      </c>
      <c r="G21">
        <v>2.5299999999999998</v>
      </c>
      <c r="H21">
        <v>0.7</v>
      </c>
      <c r="I21" t="s">
        <v>15</v>
      </c>
      <c r="J21">
        <v>9</v>
      </c>
      <c r="K21">
        <v>9</v>
      </c>
      <c r="L21">
        <v>4</v>
      </c>
      <c r="M21">
        <v>0</v>
      </c>
    </row>
    <row r="22" spans="1:15" x14ac:dyDescent="0.35">
      <c r="A22">
        <v>13</v>
      </c>
      <c r="B22" t="s">
        <v>16</v>
      </c>
      <c r="C22">
        <v>8</v>
      </c>
      <c r="D22" t="s">
        <v>14</v>
      </c>
      <c r="E22">
        <v>5.4</v>
      </c>
      <c r="F22">
        <v>2.8</v>
      </c>
      <c r="G22">
        <v>3.1</v>
      </c>
      <c r="H22">
        <v>1.9</v>
      </c>
      <c r="I22" t="s">
        <v>18</v>
      </c>
      <c r="J22">
        <v>6</v>
      </c>
      <c r="K22">
        <v>10</v>
      </c>
      <c r="L22">
        <v>10</v>
      </c>
      <c r="M22">
        <v>0</v>
      </c>
      <c r="O22" t="s">
        <v>36</v>
      </c>
    </row>
    <row r="23" spans="1:15" x14ac:dyDescent="0.35">
      <c r="A23">
        <v>13</v>
      </c>
      <c r="B23" t="s">
        <v>16</v>
      </c>
      <c r="C23">
        <v>1.3</v>
      </c>
      <c r="D23" t="s">
        <v>14</v>
      </c>
      <c r="E23">
        <v>8.9</v>
      </c>
      <c r="F23">
        <v>2.6</v>
      </c>
      <c r="G23">
        <v>3.54</v>
      </c>
      <c r="H23">
        <v>1.2</v>
      </c>
      <c r="I23" t="s">
        <v>18</v>
      </c>
      <c r="J23">
        <v>8</v>
      </c>
      <c r="K23">
        <v>5</v>
      </c>
      <c r="L23">
        <v>2</v>
      </c>
      <c r="M23">
        <v>0</v>
      </c>
      <c r="O23" t="s">
        <v>37</v>
      </c>
    </row>
    <row r="24" spans="1:15" x14ac:dyDescent="0.35">
      <c r="A24">
        <v>13</v>
      </c>
      <c r="B24" t="s">
        <v>16</v>
      </c>
      <c r="C24">
        <v>6.4</v>
      </c>
      <c r="D24" t="s">
        <v>20</v>
      </c>
      <c r="E24">
        <v>6.7</v>
      </c>
      <c r="F24">
        <v>0.8</v>
      </c>
      <c r="G24">
        <v>3.9</v>
      </c>
      <c r="H24">
        <v>1.9</v>
      </c>
      <c r="I24" t="s">
        <v>18</v>
      </c>
      <c r="J24">
        <v>3</v>
      </c>
      <c r="K24">
        <v>3</v>
      </c>
      <c r="L24">
        <v>10</v>
      </c>
      <c r="M24">
        <v>0</v>
      </c>
      <c r="O24" t="s">
        <v>38</v>
      </c>
    </row>
    <row r="25" spans="1:15" x14ac:dyDescent="0.35">
      <c r="A25">
        <v>13</v>
      </c>
      <c r="B25" t="s">
        <v>16</v>
      </c>
      <c r="C25">
        <v>7.2</v>
      </c>
      <c r="D25" t="s">
        <v>20</v>
      </c>
      <c r="E25">
        <v>6.7</v>
      </c>
      <c r="F25">
        <v>0.9</v>
      </c>
      <c r="G25">
        <v>2.36</v>
      </c>
      <c r="H25">
        <v>0.6</v>
      </c>
      <c r="I25" t="s">
        <v>15</v>
      </c>
      <c r="J25">
        <v>8</v>
      </c>
      <c r="K25">
        <v>8</v>
      </c>
      <c r="L25">
        <v>1</v>
      </c>
      <c r="M25">
        <v>0</v>
      </c>
      <c r="O25" t="s">
        <v>39</v>
      </c>
    </row>
    <row r="26" spans="1:15" x14ac:dyDescent="0.35">
      <c r="A26">
        <v>13</v>
      </c>
      <c r="B26" t="s">
        <v>16</v>
      </c>
      <c r="C26">
        <v>2.1</v>
      </c>
      <c r="D26" t="s">
        <v>14</v>
      </c>
      <c r="E26">
        <v>8.1999999999999993</v>
      </c>
      <c r="F26">
        <v>0.9</v>
      </c>
      <c r="G26">
        <v>2.48</v>
      </c>
      <c r="H26">
        <v>0.5</v>
      </c>
      <c r="I26" t="s">
        <v>18</v>
      </c>
      <c r="J26">
        <v>2</v>
      </c>
      <c r="K26">
        <v>7</v>
      </c>
      <c r="L26">
        <v>6</v>
      </c>
      <c r="M26">
        <v>0</v>
      </c>
    </row>
    <row r="27" spans="1:15" x14ac:dyDescent="0.35">
      <c r="A27">
        <v>13</v>
      </c>
      <c r="B27" t="s">
        <v>16</v>
      </c>
      <c r="C27">
        <v>4.4000000000000004</v>
      </c>
      <c r="D27" t="s">
        <v>14</v>
      </c>
      <c r="E27">
        <v>4.3</v>
      </c>
      <c r="F27">
        <v>1.9</v>
      </c>
      <c r="G27">
        <v>3.51</v>
      </c>
      <c r="H27">
        <v>0.9</v>
      </c>
      <c r="I27" t="s">
        <v>19</v>
      </c>
      <c r="J27">
        <v>8</v>
      </c>
      <c r="K27">
        <v>4</v>
      </c>
      <c r="L27">
        <v>3</v>
      </c>
      <c r="M27">
        <v>0</v>
      </c>
      <c r="O27" s="17" t="s">
        <v>40</v>
      </c>
    </row>
    <row r="28" spans="1:15" x14ac:dyDescent="0.35">
      <c r="A28">
        <v>13</v>
      </c>
      <c r="B28" t="s">
        <v>16</v>
      </c>
      <c r="C28">
        <v>1.4</v>
      </c>
      <c r="D28" t="s">
        <v>20</v>
      </c>
      <c r="E28">
        <v>7.4</v>
      </c>
      <c r="F28">
        <v>0.5</v>
      </c>
      <c r="G28">
        <v>2.3199999999999998</v>
      </c>
      <c r="H28">
        <v>1.3</v>
      </c>
      <c r="I28" t="s">
        <v>15</v>
      </c>
      <c r="J28">
        <v>3</v>
      </c>
      <c r="K28">
        <v>2</v>
      </c>
      <c r="L28">
        <v>6</v>
      </c>
      <c r="M28">
        <v>0</v>
      </c>
      <c r="O28" s="17"/>
    </row>
    <row r="29" spans="1:15" x14ac:dyDescent="0.35">
      <c r="A29">
        <v>13</v>
      </c>
      <c r="B29" t="s">
        <v>16</v>
      </c>
      <c r="C29">
        <v>3</v>
      </c>
      <c r="D29" t="s">
        <v>14</v>
      </c>
      <c r="E29">
        <v>7</v>
      </c>
      <c r="F29">
        <v>0.9</v>
      </c>
      <c r="G29">
        <v>2.73</v>
      </c>
      <c r="H29">
        <v>1.7</v>
      </c>
      <c r="I29" t="s">
        <v>18</v>
      </c>
      <c r="J29">
        <v>5</v>
      </c>
      <c r="K29">
        <v>6</v>
      </c>
      <c r="L29">
        <v>9</v>
      </c>
      <c r="M29">
        <v>0</v>
      </c>
      <c r="O29" s="17"/>
    </row>
    <row r="30" spans="1:15" x14ac:dyDescent="0.35">
      <c r="A30">
        <v>13</v>
      </c>
      <c r="B30" t="s">
        <v>16</v>
      </c>
      <c r="C30">
        <v>1.6</v>
      </c>
      <c r="D30" t="s">
        <v>20</v>
      </c>
      <c r="E30">
        <v>8.4</v>
      </c>
      <c r="F30">
        <v>1.4</v>
      </c>
      <c r="G30">
        <v>3.47</v>
      </c>
      <c r="H30">
        <v>0.1</v>
      </c>
      <c r="I30" t="s">
        <v>19</v>
      </c>
      <c r="J30">
        <v>1</v>
      </c>
      <c r="K30">
        <v>6</v>
      </c>
      <c r="L30">
        <v>6</v>
      </c>
      <c r="M30">
        <v>0</v>
      </c>
      <c r="O30" s="17"/>
    </row>
    <row r="31" spans="1:15" x14ac:dyDescent="0.35">
      <c r="A31">
        <v>13</v>
      </c>
      <c r="B31" t="s">
        <v>16</v>
      </c>
      <c r="C31">
        <v>5.2</v>
      </c>
      <c r="D31" t="s">
        <v>17</v>
      </c>
      <c r="E31">
        <v>8.1999999999999993</v>
      </c>
      <c r="F31">
        <v>2.8</v>
      </c>
      <c r="G31">
        <v>2.12</v>
      </c>
      <c r="H31">
        <v>1.4</v>
      </c>
      <c r="I31" t="s">
        <v>19</v>
      </c>
      <c r="J31">
        <v>1</v>
      </c>
      <c r="K31">
        <v>8</v>
      </c>
      <c r="L31">
        <v>1</v>
      </c>
      <c r="M31">
        <v>0</v>
      </c>
    </row>
    <row r="32" spans="1:15" x14ac:dyDescent="0.35">
      <c r="A32">
        <v>13</v>
      </c>
      <c r="B32" t="s">
        <v>16</v>
      </c>
      <c r="C32">
        <v>3</v>
      </c>
      <c r="D32" t="s">
        <v>20</v>
      </c>
      <c r="E32">
        <v>6</v>
      </c>
      <c r="F32">
        <v>1</v>
      </c>
      <c r="G32">
        <v>2.63</v>
      </c>
      <c r="H32">
        <v>0.1</v>
      </c>
      <c r="I32" t="s">
        <v>15</v>
      </c>
      <c r="J32">
        <v>5</v>
      </c>
      <c r="K32">
        <v>10</v>
      </c>
      <c r="L32">
        <v>9</v>
      </c>
      <c r="M32">
        <v>0</v>
      </c>
      <c r="O32" t="s">
        <v>41</v>
      </c>
    </row>
    <row r="33" spans="1:15" x14ac:dyDescent="0.35">
      <c r="A33">
        <v>13</v>
      </c>
      <c r="B33" t="s">
        <v>16</v>
      </c>
      <c r="C33">
        <v>2.7</v>
      </c>
      <c r="D33" t="s">
        <v>17</v>
      </c>
      <c r="E33">
        <v>6.5</v>
      </c>
      <c r="F33">
        <v>1.5</v>
      </c>
      <c r="G33">
        <v>2.58</v>
      </c>
      <c r="H33">
        <v>0.4</v>
      </c>
      <c r="I33" t="s">
        <v>18</v>
      </c>
      <c r="J33">
        <v>1</v>
      </c>
      <c r="K33">
        <v>1</v>
      </c>
      <c r="L33">
        <v>6</v>
      </c>
      <c r="M33">
        <v>0</v>
      </c>
      <c r="O33" t="s">
        <v>42</v>
      </c>
    </row>
    <row r="34" spans="1:15" x14ac:dyDescent="0.35">
      <c r="A34">
        <v>13</v>
      </c>
      <c r="B34" t="s">
        <v>16</v>
      </c>
      <c r="C34">
        <v>1.2</v>
      </c>
      <c r="D34" t="s">
        <v>17</v>
      </c>
      <c r="E34">
        <v>8</v>
      </c>
      <c r="F34">
        <v>2.8</v>
      </c>
      <c r="G34">
        <v>2.1800000000000002</v>
      </c>
      <c r="H34">
        <v>1.1000000000000001</v>
      </c>
      <c r="I34" t="s">
        <v>18</v>
      </c>
      <c r="J34">
        <v>5</v>
      </c>
      <c r="K34">
        <v>8</v>
      </c>
      <c r="L34">
        <v>5</v>
      </c>
      <c r="M34">
        <v>0</v>
      </c>
      <c r="O34" t="s">
        <v>43</v>
      </c>
    </row>
    <row r="35" spans="1:15" x14ac:dyDescent="0.35">
      <c r="A35">
        <v>13</v>
      </c>
      <c r="B35" t="s">
        <v>16</v>
      </c>
      <c r="C35">
        <v>7.1</v>
      </c>
      <c r="D35" t="s">
        <v>20</v>
      </c>
      <c r="E35">
        <v>6.5</v>
      </c>
      <c r="F35">
        <v>1.6</v>
      </c>
      <c r="G35">
        <v>2.0299999999999998</v>
      </c>
      <c r="H35">
        <v>0.3</v>
      </c>
      <c r="I35" t="s">
        <v>19</v>
      </c>
      <c r="J35">
        <v>1</v>
      </c>
      <c r="K35">
        <v>10</v>
      </c>
      <c r="L35">
        <v>6</v>
      </c>
      <c r="M35">
        <v>0</v>
      </c>
      <c r="O35" t="s">
        <v>44</v>
      </c>
    </row>
    <row r="36" spans="1:15" x14ac:dyDescent="0.35">
      <c r="A36">
        <v>13</v>
      </c>
      <c r="B36" t="s">
        <v>16</v>
      </c>
      <c r="C36">
        <v>5.3</v>
      </c>
      <c r="D36" t="s">
        <v>17</v>
      </c>
      <c r="E36">
        <v>6.5</v>
      </c>
      <c r="F36">
        <v>1.1000000000000001</v>
      </c>
      <c r="G36">
        <v>3.48</v>
      </c>
      <c r="H36">
        <v>1.8</v>
      </c>
      <c r="I36" t="s">
        <v>15</v>
      </c>
      <c r="J36">
        <v>9</v>
      </c>
      <c r="K36">
        <v>5</v>
      </c>
      <c r="L36">
        <v>4</v>
      </c>
      <c r="M36">
        <v>0</v>
      </c>
    </row>
    <row r="37" spans="1:15" x14ac:dyDescent="0.35">
      <c r="A37">
        <v>13</v>
      </c>
      <c r="B37" t="s">
        <v>16</v>
      </c>
      <c r="C37">
        <v>1.1000000000000001</v>
      </c>
      <c r="D37" t="s">
        <v>14</v>
      </c>
      <c r="E37">
        <v>7</v>
      </c>
      <c r="F37">
        <v>1.9</v>
      </c>
      <c r="G37">
        <v>4</v>
      </c>
      <c r="H37">
        <v>0.9</v>
      </c>
      <c r="I37" t="s">
        <v>19</v>
      </c>
      <c r="J37">
        <v>2</v>
      </c>
      <c r="K37">
        <v>9</v>
      </c>
      <c r="L37">
        <v>6</v>
      </c>
      <c r="M37">
        <v>0</v>
      </c>
    </row>
    <row r="38" spans="1:15" x14ac:dyDescent="0.35">
      <c r="A38">
        <v>13</v>
      </c>
      <c r="B38" t="s">
        <v>16</v>
      </c>
      <c r="C38">
        <v>4.4000000000000004</v>
      </c>
      <c r="D38" t="s">
        <v>14</v>
      </c>
      <c r="E38">
        <v>5.5</v>
      </c>
      <c r="F38">
        <v>2.7</v>
      </c>
      <c r="G38">
        <v>3.17</v>
      </c>
      <c r="H38">
        <v>0.3</v>
      </c>
      <c r="I38" t="s">
        <v>15</v>
      </c>
      <c r="J38">
        <v>5</v>
      </c>
      <c r="K38">
        <v>1</v>
      </c>
      <c r="L38">
        <v>5</v>
      </c>
      <c r="M38">
        <v>0</v>
      </c>
    </row>
    <row r="39" spans="1:15" x14ac:dyDescent="0.35">
      <c r="A39">
        <v>13</v>
      </c>
      <c r="B39" t="s">
        <v>16</v>
      </c>
      <c r="C39">
        <v>1.4</v>
      </c>
      <c r="D39" t="s">
        <v>20</v>
      </c>
      <c r="E39">
        <v>7.8</v>
      </c>
      <c r="F39">
        <v>0.6</v>
      </c>
      <c r="G39">
        <v>3.42</v>
      </c>
      <c r="H39">
        <v>1.6</v>
      </c>
      <c r="I39" t="s">
        <v>19</v>
      </c>
      <c r="J39">
        <v>10</v>
      </c>
      <c r="K39">
        <v>4</v>
      </c>
      <c r="L39">
        <v>6</v>
      </c>
      <c r="M39">
        <v>0</v>
      </c>
    </row>
    <row r="40" spans="1:15" x14ac:dyDescent="0.35">
      <c r="A40">
        <v>13</v>
      </c>
      <c r="B40" t="s">
        <v>16</v>
      </c>
      <c r="C40">
        <v>2.4</v>
      </c>
      <c r="D40" t="s">
        <v>14</v>
      </c>
      <c r="E40">
        <v>5.5</v>
      </c>
      <c r="F40">
        <v>0.6</v>
      </c>
      <c r="G40">
        <v>3.56</v>
      </c>
      <c r="H40">
        <v>1.6</v>
      </c>
      <c r="I40" t="s">
        <v>19</v>
      </c>
      <c r="J40">
        <v>4</v>
      </c>
      <c r="K40">
        <v>8</v>
      </c>
      <c r="L40">
        <v>7</v>
      </c>
      <c r="M40">
        <v>0</v>
      </c>
    </row>
    <row r="41" spans="1:15" x14ac:dyDescent="0.35">
      <c r="A41">
        <v>13</v>
      </c>
      <c r="B41" t="s">
        <v>16</v>
      </c>
      <c r="C41">
        <v>4.2</v>
      </c>
      <c r="D41" t="s">
        <v>14</v>
      </c>
      <c r="E41">
        <v>7.9</v>
      </c>
      <c r="F41">
        <v>2.7</v>
      </c>
      <c r="G41">
        <v>3.76</v>
      </c>
      <c r="H41">
        <v>0.1</v>
      </c>
      <c r="I41" t="s">
        <v>19</v>
      </c>
      <c r="J41">
        <v>10</v>
      </c>
      <c r="K41">
        <v>7</v>
      </c>
      <c r="L41">
        <v>2</v>
      </c>
      <c r="M41">
        <v>0</v>
      </c>
    </row>
    <row r="42" spans="1:15" x14ac:dyDescent="0.35">
      <c r="A42">
        <v>13</v>
      </c>
      <c r="B42" t="s">
        <v>16</v>
      </c>
      <c r="C42">
        <v>7.8</v>
      </c>
      <c r="D42" t="s">
        <v>14</v>
      </c>
      <c r="E42">
        <v>7.4</v>
      </c>
      <c r="F42">
        <v>1.7</v>
      </c>
      <c r="G42">
        <v>2.76</v>
      </c>
      <c r="H42">
        <v>1.1000000000000001</v>
      </c>
      <c r="I42" t="s">
        <v>15</v>
      </c>
      <c r="J42">
        <v>10</v>
      </c>
      <c r="K42">
        <v>1</v>
      </c>
      <c r="L42">
        <v>4</v>
      </c>
      <c r="M42">
        <v>0</v>
      </c>
    </row>
    <row r="43" spans="1:15" x14ac:dyDescent="0.35">
      <c r="A43">
        <v>13</v>
      </c>
      <c r="B43" t="s">
        <v>16</v>
      </c>
      <c r="C43">
        <v>3.5</v>
      </c>
      <c r="D43" t="s">
        <v>14</v>
      </c>
      <c r="E43">
        <v>6.8</v>
      </c>
      <c r="F43">
        <v>1.5</v>
      </c>
      <c r="G43">
        <v>2.35</v>
      </c>
      <c r="H43">
        <v>1.8</v>
      </c>
      <c r="I43" t="s">
        <v>19</v>
      </c>
      <c r="J43">
        <v>7</v>
      </c>
      <c r="K43">
        <v>3</v>
      </c>
      <c r="L43">
        <v>2</v>
      </c>
      <c r="M43">
        <v>0</v>
      </c>
    </row>
    <row r="44" spans="1:15" x14ac:dyDescent="0.35">
      <c r="A44">
        <v>13</v>
      </c>
      <c r="B44" t="s">
        <v>16</v>
      </c>
      <c r="C44">
        <v>6</v>
      </c>
      <c r="D44" t="s">
        <v>17</v>
      </c>
      <c r="E44">
        <v>5</v>
      </c>
      <c r="F44">
        <v>2.5</v>
      </c>
      <c r="G44">
        <v>2.5499999999999998</v>
      </c>
      <c r="H44">
        <v>1.8</v>
      </c>
      <c r="I44" t="s">
        <v>18</v>
      </c>
      <c r="J44">
        <v>4</v>
      </c>
      <c r="K44">
        <v>9</v>
      </c>
      <c r="L44">
        <v>2</v>
      </c>
      <c r="M44">
        <v>0</v>
      </c>
    </row>
    <row r="45" spans="1:15" x14ac:dyDescent="0.35">
      <c r="A45">
        <v>13</v>
      </c>
      <c r="B45" t="s">
        <v>16</v>
      </c>
      <c r="C45">
        <v>3.6</v>
      </c>
      <c r="D45" t="s">
        <v>17</v>
      </c>
      <c r="E45">
        <v>4.8</v>
      </c>
      <c r="F45">
        <v>2.2000000000000002</v>
      </c>
      <c r="G45">
        <v>3.58</v>
      </c>
      <c r="H45">
        <v>1.2</v>
      </c>
      <c r="I45" t="s">
        <v>19</v>
      </c>
      <c r="J45">
        <v>4</v>
      </c>
      <c r="K45">
        <v>4</v>
      </c>
      <c r="L45">
        <v>7</v>
      </c>
      <c r="M45">
        <v>0</v>
      </c>
    </row>
    <row r="46" spans="1:15" x14ac:dyDescent="0.35">
      <c r="A46">
        <v>13</v>
      </c>
      <c r="B46" t="s">
        <v>16</v>
      </c>
      <c r="C46">
        <v>1.5</v>
      </c>
      <c r="D46" t="s">
        <v>20</v>
      </c>
      <c r="E46">
        <v>7.9</v>
      </c>
      <c r="F46">
        <v>1.8</v>
      </c>
      <c r="G46">
        <v>2.85</v>
      </c>
      <c r="H46">
        <v>1.1000000000000001</v>
      </c>
      <c r="I46" t="s">
        <v>19</v>
      </c>
      <c r="J46">
        <v>5</v>
      </c>
      <c r="K46">
        <v>7</v>
      </c>
      <c r="L46">
        <v>1</v>
      </c>
      <c r="M46">
        <v>0</v>
      </c>
    </row>
    <row r="47" spans="1:15" x14ac:dyDescent="0.35">
      <c r="A47">
        <v>13</v>
      </c>
      <c r="B47" t="s">
        <v>16</v>
      </c>
      <c r="C47">
        <v>6.1</v>
      </c>
      <c r="D47" t="s">
        <v>20</v>
      </c>
      <c r="E47">
        <v>6.4</v>
      </c>
      <c r="F47">
        <v>2.8</v>
      </c>
      <c r="G47">
        <v>2.5099999999999998</v>
      </c>
      <c r="H47">
        <v>1.9</v>
      </c>
      <c r="I47" t="s">
        <v>15</v>
      </c>
      <c r="J47">
        <v>6</v>
      </c>
      <c r="K47">
        <v>1</v>
      </c>
      <c r="L47">
        <v>9</v>
      </c>
      <c r="M47">
        <v>0</v>
      </c>
    </row>
    <row r="48" spans="1:15" x14ac:dyDescent="0.35">
      <c r="A48">
        <v>13</v>
      </c>
      <c r="B48" t="s">
        <v>16</v>
      </c>
      <c r="C48">
        <v>5.5</v>
      </c>
      <c r="D48" t="s">
        <v>20</v>
      </c>
      <c r="E48">
        <v>6.7</v>
      </c>
      <c r="F48">
        <v>1.6</v>
      </c>
      <c r="G48">
        <v>3.09</v>
      </c>
      <c r="H48">
        <v>1.7</v>
      </c>
      <c r="I48" t="s">
        <v>18</v>
      </c>
      <c r="J48">
        <v>10</v>
      </c>
      <c r="K48">
        <v>1</v>
      </c>
      <c r="L48">
        <v>6</v>
      </c>
      <c r="M48">
        <v>0</v>
      </c>
    </row>
    <row r="49" spans="1:13" x14ac:dyDescent="0.35">
      <c r="A49">
        <v>13</v>
      </c>
      <c r="B49" t="s">
        <v>16</v>
      </c>
      <c r="C49">
        <v>7.2</v>
      </c>
      <c r="D49" t="s">
        <v>20</v>
      </c>
      <c r="E49">
        <v>4.2</v>
      </c>
      <c r="F49">
        <v>2.5</v>
      </c>
      <c r="G49">
        <v>2.65</v>
      </c>
      <c r="H49">
        <v>1.6</v>
      </c>
      <c r="I49" t="s">
        <v>15</v>
      </c>
      <c r="J49">
        <v>10</v>
      </c>
      <c r="K49">
        <v>9</v>
      </c>
      <c r="L49">
        <v>3</v>
      </c>
      <c r="M49">
        <v>1</v>
      </c>
    </row>
    <row r="50" spans="1:13" x14ac:dyDescent="0.35">
      <c r="A50">
        <v>13</v>
      </c>
      <c r="B50" t="s">
        <v>16</v>
      </c>
      <c r="C50">
        <v>2.2999999999999998</v>
      </c>
      <c r="D50" t="s">
        <v>17</v>
      </c>
      <c r="E50">
        <v>8.6999999999999993</v>
      </c>
      <c r="F50">
        <v>1.2</v>
      </c>
      <c r="G50">
        <v>3.25</v>
      </c>
      <c r="H50">
        <v>1.5</v>
      </c>
      <c r="I50" t="s">
        <v>18</v>
      </c>
      <c r="J50">
        <v>9</v>
      </c>
      <c r="K50">
        <v>9</v>
      </c>
      <c r="L50">
        <v>1</v>
      </c>
      <c r="M50">
        <v>0</v>
      </c>
    </row>
    <row r="51" spans="1:13" x14ac:dyDescent="0.35">
      <c r="A51">
        <v>13</v>
      </c>
      <c r="B51" t="s">
        <v>16</v>
      </c>
      <c r="C51">
        <v>3.5</v>
      </c>
      <c r="D51" t="s">
        <v>20</v>
      </c>
      <c r="E51">
        <v>8.6999999999999993</v>
      </c>
      <c r="F51">
        <v>1.4</v>
      </c>
      <c r="G51">
        <v>3.5</v>
      </c>
      <c r="H51">
        <v>1.3</v>
      </c>
      <c r="I51" t="s">
        <v>18</v>
      </c>
      <c r="J51">
        <v>9</v>
      </c>
      <c r="K51">
        <v>4</v>
      </c>
      <c r="L51">
        <v>5</v>
      </c>
      <c r="M51">
        <v>0</v>
      </c>
    </row>
    <row r="52" spans="1:13" x14ac:dyDescent="0.35">
      <c r="A52">
        <v>13</v>
      </c>
      <c r="B52" t="s">
        <v>16</v>
      </c>
      <c r="C52">
        <v>5.0999999999999996</v>
      </c>
      <c r="D52" t="s">
        <v>17</v>
      </c>
      <c r="E52">
        <v>4.5</v>
      </c>
      <c r="F52">
        <v>2.7</v>
      </c>
      <c r="G52">
        <v>2.54</v>
      </c>
      <c r="H52">
        <v>1.4</v>
      </c>
      <c r="I52" t="s">
        <v>18</v>
      </c>
      <c r="J52">
        <v>2</v>
      </c>
      <c r="K52">
        <v>3</v>
      </c>
      <c r="L52">
        <v>10</v>
      </c>
      <c r="M52">
        <v>0</v>
      </c>
    </row>
    <row r="53" spans="1:13" x14ac:dyDescent="0.35">
      <c r="A53">
        <v>13</v>
      </c>
      <c r="B53" t="s">
        <v>16</v>
      </c>
      <c r="C53">
        <v>2.5</v>
      </c>
      <c r="D53" t="s">
        <v>14</v>
      </c>
      <c r="E53">
        <v>4.5999999999999996</v>
      </c>
      <c r="F53">
        <v>1.6</v>
      </c>
      <c r="G53">
        <v>3.22</v>
      </c>
      <c r="H53">
        <v>0.9</v>
      </c>
      <c r="I53" t="s">
        <v>19</v>
      </c>
      <c r="J53">
        <v>6</v>
      </c>
      <c r="K53">
        <v>4</v>
      </c>
      <c r="L53">
        <v>3</v>
      </c>
      <c r="M53">
        <v>0</v>
      </c>
    </row>
    <row r="54" spans="1:13" x14ac:dyDescent="0.35">
      <c r="A54">
        <v>13</v>
      </c>
      <c r="B54" t="s">
        <v>16</v>
      </c>
      <c r="C54">
        <v>2.6</v>
      </c>
      <c r="D54" t="s">
        <v>17</v>
      </c>
      <c r="E54">
        <v>6.1</v>
      </c>
      <c r="F54">
        <v>1.4</v>
      </c>
      <c r="G54">
        <v>2.11</v>
      </c>
      <c r="H54">
        <v>0.4</v>
      </c>
      <c r="I54" t="s">
        <v>18</v>
      </c>
      <c r="J54">
        <v>7</v>
      </c>
      <c r="K54">
        <v>5</v>
      </c>
      <c r="L54">
        <v>10</v>
      </c>
      <c r="M54">
        <v>0</v>
      </c>
    </row>
    <row r="55" spans="1:13" x14ac:dyDescent="0.35">
      <c r="A55">
        <v>13</v>
      </c>
      <c r="B55" t="s">
        <v>16</v>
      </c>
      <c r="C55">
        <v>2.8</v>
      </c>
      <c r="D55" t="s">
        <v>20</v>
      </c>
      <c r="E55">
        <v>6.4</v>
      </c>
      <c r="F55">
        <v>1.4</v>
      </c>
      <c r="G55">
        <v>2.38</v>
      </c>
      <c r="H55">
        <v>1.4</v>
      </c>
      <c r="I55" t="s">
        <v>19</v>
      </c>
      <c r="J55">
        <v>4</v>
      </c>
      <c r="K55">
        <v>8</v>
      </c>
      <c r="L55">
        <v>10</v>
      </c>
      <c r="M55">
        <v>0</v>
      </c>
    </row>
    <row r="56" spans="1:13" x14ac:dyDescent="0.35">
      <c r="A56">
        <v>13</v>
      </c>
      <c r="B56" t="s">
        <v>16</v>
      </c>
      <c r="C56">
        <v>3.5</v>
      </c>
      <c r="D56" t="s">
        <v>14</v>
      </c>
      <c r="E56">
        <v>5.3</v>
      </c>
      <c r="F56">
        <v>1.7</v>
      </c>
      <c r="G56">
        <v>2.2000000000000002</v>
      </c>
      <c r="H56">
        <v>0.8</v>
      </c>
      <c r="I56" t="s">
        <v>18</v>
      </c>
      <c r="J56">
        <v>6</v>
      </c>
      <c r="K56">
        <v>10</v>
      </c>
      <c r="L56">
        <v>8</v>
      </c>
      <c r="M56">
        <v>0</v>
      </c>
    </row>
    <row r="57" spans="1:13" x14ac:dyDescent="0.35">
      <c r="A57">
        <v>13</v>
      </c>
      <c r="B57" t="s">
        <v>16</v>
      </c>
      <c r="C57">
        <v>7</v>
      </c>
      <c r="D57" t="s">
        <v>14</v>
      </c>
      <c r="E57">
        <v>4.9000000000000004</v>
      </c>
      <c r="F57">
        <v>1.2</v>
      </c>
      <c r="G57">
        <v>3.61</v>
      </c>
      <c r="H57">
        <v>0.2</v>
      </c>
      <c r="I57" t="s">
        <v>19</v>
      </c>
      <c r="J57">
        <v>2</v>
      </c>
      <c r="K57">
        <v>3</v>
      </c>
      <c r="L57">
        <v>5</v>
      </c>
      <c r="M57">
        <v>0</v>
      </c>
    </row>
    <row r="58" spans="1:13" x14ac:dyDescent="0.35">
      <c r="A58">
        <v>13</v>
      </c>
      <c r="B58" t="s">
        <v>16</v>
      </c>
      <c r="C58">
        <v>2.2999999999999998</v>
      </c>
      <c r="D58" t="s">
        <v>17</v>
      </c>
      <c r="E58">
        <v>6.6</v>
      </c>
      <c r="F58">
        <v>1.4</v>
      </c>
      <c r="G58">
        <v>3.74</v>
      </c>
      <c r="H58">
        <v>1.5</v>
      </c>
      <c r="I58" t="s">
        <v>19</v>
      </c>
      <c r="J58">
        <v>6</v>
      </c>
      <c r="K58">
        <v>10</v>
      </c>
      <c r="L58">
        <v>1</v>
      </c>
      <c r="M58">
        <v>0</v>
      </c>
    </row>
    <row r="59" spans="1:13" x14ac:dyDescent="0.35">
      <c r="A59">
        <v>13</v>
      </c>
      <c r="B59" t="s">
        <v>16</v>
      </c>
      <c r="C59">
        <v>6.3</v>
      </c>
      <c r="D59" t="s">
        <v>14</v>
      </c>
      <c r="E59">
        <v>8.4</v>
      </c>
      <c r="F59">
        <v>1.6</v>
      </c>
      <c r="G59">
        <v>2.0299999999999998</v>
      </c>
      <c r="H59">
        <v>1.5</v>
      </c>
      <c r="I59" t="s">
        <v>19</v>
      </c>
      <c r="J59">
        <v>5</v>
      </c>
      <c r="K59">
        <v>3</v>
      </c>
      <c r="L59">
        <v>9</v>
      </c>
      <c r="M59">
        <v>0</v>
      </c>
    </row>
    <row r="60" spans="1:13" x14ac:dyDescent="0.35">
      <c r="A60">
        <v>13</v>
      </c>
      <c r="B60" t="s">
        <v>16</v>
      </c>
      <c r="C60">
        <v>3.1</v>
      </c>
      <c r="D60" t="s">
        <v>14</v>
      </c>
      <c r="E60">
        <v>6.4</v>
      </c>
      <c r="F60">
        <v>1.6</v>
      </c>
      <c r="G60">
        <v>3.69</v>
      </c>
      <c r="H60">
        <v>0.9</v>
      </c>
      <c r="I60" t="s">
        <v>19</v>
      </c>
      <c r="J60">
        <v>1</v>
      </c>
      <c r="K60">
        <v>2</v>
      </c>
      <c r="L60">
        <v>1</v>
      </c>
      <c r="M60">
        <v>0</v>
      </c>
    </row>
    <row r="61" spans="1:13" x14ac:dyDescent="0.35">
      <c r="A61">
        <v>13</v>
      </c>
      <c r="B61" t="s">
        <v>16</v>
      </c>
      <c r="C61">
        <v>5.8</v>
      </c>
      <c r="D61" t="s">
        <v>14</v>
      </c>
      <c r="E61">
        <v>6.3</v>
      </c>
      <c r="F61">
        <v>1.1000000000000001</v>
      </c>
      <c r="G61">
        <v>3.09</v>
      </c>
      <c r="H61">
        <v>0.9</v>
      </c>
      <c r="I61" t="s">
        <v>19</v>
      </c>
      <c r="J61">
        <v>8</v>
      </c>
      <c r="K61">
        <v>4</v>
      </c>
      <c r="L61">
        <v>9</v>
      </c>
      <c r="M61">
        <v>0</v>
      </c>
    </row>
    <row r="62" spans="1:13" x14ac:dyDescent="0.35">
      <c r="A62">
        <v>13</v>
      </c>
      <c r="B62" t="s">
        <v>16</v>
      </c>
      <c r="C62">
        <v>5.8</v>
      </c>
      <c r="D62" t="s">
        <v>14</v>
      </c>
      <c r="E62">
        <v>6.1</v>
      </c>
      <c r="F62">
        <v>1.2</v>
      </c>
      <c r="G62">
        <v>3.81</v>
      </c>
      <c r="H62">
        <v>1.8</v>
      </c>
      <c r="I62" t="s">
        <v>19</v>
      </c>
      <c r="J62">
        <v>6</v>
      </c>
      <c r="K62">
        <v>10</v>
      </c>
      <c r="L62">
        <v>6</v>
      </c>
      <c r="M62">
        <v>0</v>
      </c>
    </row>
    <row r="63" spans="1:13" x14ac:dyDescent="0.35">
      <c r="A63">
        <v>13</v>
      </c>
      <c r="B63" t="s">
        <v>16</v>
      </c>
      <c r="C63">
        <v>7.6</v>
      </c>
      <c r="D63" t="s">
        <v>14</v>
      </c>
      <c r="E63">
        <v>7.9</v>
      </c>
      <c r="F63">
        <v>3</v>
      </c>
      <c r="G63">
        <v>2.54</v>
      </c>
      <c r="H63">
        <v>1.2</v>
      </c>
      <c r="I63" t="s">
        <v>18</v>
      </c>
      <c r="J63">
        <v>8</v>
      </c>
      <c r="K63">
        <v>8</v>
      </c>
      <c r="L63">
        <v>1</v>
      </c>
      <c r="M63">
        <v>0</v>
      </c>
    </row>
    <row r="64" spans="1:13" x14ac:dyDescent="0.35">
      <c r="A64">
        <v>13</v>
      </c>
      <c r="B64" t="s">
        <v>16</v>
      </c>
      <c r="C64">
        <v>3.8</v>
      </c>
      <c r="D64" t="s">
        <v>20</v>
      </c>
      <c r="E64">
        <v>8.9</v>
      </c>
      <c r="F64">
        <v>2.5</v>
      </c>
      <c r="G64">
        <v>2.29</v>
      </c>
      <c r="H64">
        <v>0.6</v>
      </c>
      <c r="I64" t="s">
        <v>18</v>
      </c>
      <c r="J64">
        <v>9</v>
      </c>
      <c r="K64">
        <v>9</v>
      </c>
      <c r="L64">
        <v>7</v>
      </c>
      <c r="M64">
        <v>0</v>
      </c>
    </row>
    <row r="65" spans="1:13" x14ac:dyDescent="0.35">
      <c r="A65">
        <v>13</v>
      </c>
      <c r="B65" t="s">
        <v>16</v>
      </c>
      <c r="C65">
        <v>6</v>
      </c>
      <c r="D65" t="s">
        <v>14</v>
      </c>
      <c r="E65">
        <v>7.2</v>
      </c>
      <c r="F65">
        <v>0.6</v>
      </c>
      <c r="G65">
        <v>2.11</v>
      </c>
      <c r="H65">
        <v>1.1000000000000001</v>
      </c>
      <c r="I65" t="s">
        <v>15</v>
      </c>
      <c r="J65">
        <v>1</v>
      </c>
      <c r="K65">
        <v>3</v>
      </c>
      <c r="L65">
        <v>6</v>
      </c>
      <c r="M65">
        <v>0</v>
      </c>
    </row>
    <row r="66" spans="1:13" x14ac:dyDescent="0.35">
      <c r="A66">
        <v>13</v>
      </c>
      <c r="B66" t="s">
        <v>16</v>
      </c>
      <c r="C66">
        <v>3.5</v>
      </c>
      <c r="D66" t="s">
        <v>14</v>
      </c>
      <c r="E66">
        <v>5.3</v>
      </c>
      <c r="F66">
        <v>2.7</v>
      </c>
      <c r="G66">
        <v>3.7</v>
      </c>
      <c r="H66">
        <v>0.5</v>
      </c>
      <c r="I66" t="s">
        <v>15</v>
      </c>
      <c r="J66">
        <v>3</v>
      </c>
      <c r="K66">
        <v>7</v>
      </c>
      <c r="L66">
        <v>2</v>
      </c>
      <c r="M66">
        <v>0</v>
      </c>
    </row>
    <row r="67" spans="1:13" x14ac:dyDescent="0.35">
      <c r="A67">
        <v>13</v>
      </c>
      <c r="B67" t="s">
        <v>16</v>
      </c>
      <c r="C67">
        <v>4.3</v>
      </c>
      <c r="D67" t="s">
        <v>17</v>
      </c>
      <c r="E67">
        <v>4.4000000000000004</v>
      </c>
      <c r="F67">
        <v>0.9</v>
      </c>
      <c r="G67">
        <v>2.35</v>
      </c>
      <c r="H67">
        <v>1.5</v>
      </c>
      <c r="I67" t="s">
        <v>18</v>
      </c>
      <c r="J67">
        <v>3</v>
      </c>
      <c r="K67">
        <v>1</v>
      </c>
      <c r="L67">
        <v>7</v>
      </c>
      <c r="M67">
        <v>0</v>
      </c>
    </row>
    <row r="68" spans="1:13" x14ac:dyDescent="0.35">
      <c r="A68">
        <v>13</v>
      </c>
      <c r="B68" t="s">
        <v>16</v>
      </c>
      <c r="C68">
        <v>5.3</v>
      </c>
      <c r="D68" t="s">
        <v>17</v>
      </c>
      <c r="E68">
        <v>6.4</v>
      </c>
      <c r="F68">
        <v>1.1000000000000001</v>
      </c>
      <c r="G68">
        <v>3.32</v>
      </c>
      <c r="H68">
        <v>1.9</v>
      </c>
      <c r="I68" t="s">
        <v>19</v>
      </c>
      <c r="J68">
        <v>8</v>
      </c>
      <c r="K68">
        <v>5</v>
      </c>
      <c r="L68">
        <v>10</v>
      </c>
      <c r="M68">
        <v>0</v>
      </c>
    </row>
    <row r="69" spans="1:13" x14ac:dyDescent="0.35">
      <c r="A69">
        <v>13</v>
      </c>
      <c r="B69" t="s">
        <v>16</v>
      </c>
      <c r="C69">
        <v>2.5</v>
      </c>
      <c r="D69" t="s">
        <v>17</v>
      </c>
      <c r="E69">
        <v>6.8</v>
      </c>
      <c r="F69">
        <v>2.8</v>
      </c>
      <c r="G69">
        <v>2.77</v>
      </c>
      <c r="H69">
        <v>0.5</v>
      </c>
      <c r="I69" t="s">
        <v>15</v>
      </c>
      <c r="J69">
        <v>2</v>
      </c>
      <c r="K69">
        <v>6</v>
      </c>
      <c r="L69">
        <v>10</v>
      </c>
      <c r="M69">
        <v>0</v>
      </c>
    </row>
    <row r="70" spans="1:13" x14ac:dyDescent="0.35">
      <c r="A70">
        <v>13</v>
      </c>
      <c r="B70" t="s">
        <v>16</v>
      </c>
      <c r="C70">
        <v>7.4</v>
      </c>
      <c r="D70" t="s">
        <v>20</v>
      </c>
      <c r="E70">
        <v>6.7</v>
      </c>
      <c r="F70">
        <v>2</v>
      </c>
      <c r="G70">
        <v>2.42</v>
      </c>
      <c r="H70">
        <v>1.5</v>
      </c>
      <c r="I70" t="s">
        <v>15</v>
      </c>
      <c r="J70">
        <v>10</v>
      </c>
      <c r="K70">
        <v>1</v>
      </c>
      <c r="L70">
        <v>1</v>
      </c>
      <c r="M70">
        <v>0</v>
      </c>
    </row>
    <row r="71" spans="1:13" x14ac:dyDescent="0.35">
      <c r="A71">
        <v>13</v>
      </c>
      <c r="B71" t="s">
        <v>16</v>
      </c>
      <c r="C71">
        <v>5.2</v>
      </c>
      <c r="D71" t="s">
        <v>20</v>
      </c>
      <c r="E71">
        <v>7.7</v>
      </c>
      <c r="F71">
        <v>2.7</v>
      </c>
      <c r="G71">
        <v>2.84</v>
      </c>
      <c r="H71">
        <v>0.8</v>
      </c>
      <c r="I71" t="s">
        <v>18</v>
      </c>
      <c r="J71">
        <v>2</v>
      </c>
      <c r="K71">
        <v>5</v>
      </c>
      <c r="L71">
        <v>5</v>
      </c>
      <c r="M71">
        <v>0</v>
      </c>
    </row>
    <row r="72" spans="1:13" x14ac:dyDescent="0.35">
      <c r="A72">
        <v>13</v>
      </c>
      <c r="B72" t="s">
        <v>16</v>
      </c>
      <c r="C72">
        <v>3.3</v>
      </c>
      <c r="D72" t="s">
        <v>20</v>
      </c>
      <c r="E72">
        <v>7.4</v>
      </c>
      <c r="F72">
        <v>0.9</v>
      </c>
      <c r="G72">
        <v>2.5299999999999998</v>
      </c>
      <c r="H72">
        <v>0.2</v>
      </c>
      <c r="I72" t="s">
        <v>19</v>
      </c>
      <c r="J72">
        <v>4</v>
      </c>
      <c r="K72">
        <v>10</v>
      </c>
      <c r="L72">
        <v>6</v>
      </c>
      <c r="M72">
        <v>0</v>
      </c>
    </row>
    <row r="73" spans="1:13" x14ac:dyDescent="0.35">
      <c r="A73">
        <v>13</v>
      </c>
      <c r="B73" t="s">
        <v>16</v>
      </c>
      <c r="C73">
        <v>4.7</v>
      </c>
      <c r="D73" t="s">
        <v>17</v>
      </c>
      <c r="E73">
        <v>8</v>
      </c>
      <c r="F73">
        <v>1.1000000000000001</v>
      </c>
      <c r="G73">
        <v>2.37</v>
      </c>
      <c r="H73">
        <v>0.2</v>
      </c>
      <c r="I73" t="s">
        <v>15</v>
      </c>
      <c r="J73">
        <v>5</v>
      </c>
      <c r="K73">
        <v>10</v>
      </c>
      <c r="L73">
        <v>6</v>
      </c>
      <c r="M73">
        <v>0</v>
      </c>
    </row>
    <row r="74" spans="1:13" x14ac:dyDescent="0.35">
      <c r="A74">
        <v>13</v>
      </c>
      <c r="B74" t="s">
        <v>16</v>
      </c>
      <c r="C74">
        <v>2.2000000000000002</v>
      </c>
      <c r="D74" t="s">
        <v>20</v>
      </c>
      <c r="E74">
        <v>7.7</v>
      </c>
      <c r="F74">
        <v>2.1</v>
      </c>
      <c r="G74">
        <v>2.33</v>
      </c>
      <c r="H74">
        <v>1.7</v>
      </c>
      <c r="I74" t="s">
        <v>15</v>
      </c>
      <c r="J74">
        <v>2</v>
      </c>
      <c r="K74">
        <v>8</v>
      </c>
      <c r="L74">
        <v>7</v>
      </c>
      <c r="M74">
        <v>0</v>
      </c>
    </row>
    <row r="75" spans="1:13" x14ac:dyDescent="0.35">
      <c r="A75">
        <v>13</v>
      </c>
      <c r="B75" t="s">
        <v>16</v>
      </c>
      <c r="C75">
        <v>7.1</v>
      </c>
      <c r="D75" t="s">
        <v>14</v>
      </c>
      <c r="E75">
        <v>5.7</v>
      </c>
      <c r="F75">
        <v>1.2</v>
      </c>
      <c r="G75">
        <v>3.83</v>
      </c>
      <c r="H75">
        <v>2</v>
      </c>
      <c r="I75" t="s">
        <v>19</v>
      </c>
      <c r="J75">
        <v>2</v>
      </c>
      <c r="K75">
        <v>8</v>
      </c>
      <c r="L75">
        <v>7</v>
      </c>
      <c r="M75">
        <v>0</v>
      </c>
    </row>
    <row r="76" spans="1:13" x14ac:dyDescent="0.35">
      <c r="A76">
        <v>13</v>
      </c>
      <c r="B76" t="s">
        <v>16</v>
      </c>
      <c r="C76">
        <v>1.3</v>
      </c>
      <c r="D76" t="s">
        <v>17</v>
      </c>
      <c r="E76">
        <v>8.6999999999999993</v>
      </c>
      <c r="F76">
        <v>0.9</v>
      </c>
      <c r="G76">
        <v>4</v>
      </c>
      <c r="H76">
        <v>0.1</v>
      </c>
      <c r="I76" t="s">
        <v>15</v>
      </c>
      <c r="J76">
        <v>10</v>
      </c>
      <c r="K76">
        <v>9</v>
      </c>
      <c r="L76">
        <v>9</v>
      </c>
      <c r="M76">
        <v>0</v>
      </c>
    </row>
    <row r="77" spans="1:13" x14ac:dyDescent="0.35">
      <c r="A77">
        <v>13</v>
      </c>
      <c r="B77" t="s">
        <v>16</v>
      </c>
      <c r="C77">
        <v>1.1000000000000001</v>
      </c>
      <c r="D77" t="s">
        <v>20</v>
      </c>
      <c r="E77">
        <v>6.7</v>
      </c>
      <c r="F77">
        <v>2</v>
      </c>
      <c r="G77">
        <v>3.63</v>
      </c>
      <c r="H77">
        <v>0.2</v>
      </c>
      <c r="I77" t="s">
        <v>19</v>
      </c>
      <c r="J77">
        <v>3</v>
      </c>
      <c r="K77">
        <v>10</v>
      </c>
      <c r="L77">
        <v>5</v>
      </c>
      <c r="M77">
        <v>0</v>
      </c>
    </row>
    <row r="78" spans="1:13" x14ac:dyDescent="0.35">
      <c r="A78">
        <v>13</v>
      </c>
      <c r="B78" t="s">
        <v>16</v>
      </c>
      <c r="C78">
        <v>3.3</v>
      </c>
      <c r="D78" t="s">
        <v>17</v>
      </c>
      <c r="E78">
        <v>9</v>
      </c>
      <c r="F78">
        <v>0.7</v>
      </c>
      <c r="G78">
        <v>2.4900000000000002</v>
      </c>
      <c r="H78">
        <v>0.6</v>
      </c>
      <c r="I78" t="s">
        <v>19</v>
      </c>
      <c r="J78">
        <v>3</v>
      </c>
      <c r="K78">
        <v>6</v>
      </c>
      <c r="L78">
        <v>4</v>
      </c>
      <c r="M78">
        <v>0</v>
      </c>
    </row>
    <row r="79" spans="1:13" x14ac:dyDescent="0.35">
      <c r="A79">
        <v>13</v>
      </c>
      <c r="B79" t="s">
        <v>16</v>
      </c>
      <c r="C79">
        <v>2.9</v>
      </c>
      <c r="D79" t="s">
        <v>14</v>
      </c>
      <c r="E79">
        <v>5.3</v>
      </c>
      <c r="F79">
        <v>1</v>
      </c>
      <c r="G79">
        <v>3.89</v>
      </c>
      <c r="H79">
        <v>1.7</v>
      </c>
      <c r="I79" t="s">
        <v>18</v>
      </c>
      <c r="J79">
        <v>9</v>
      </c>
      <c r="K79">
        <v>2</v>
      </c>
      <c r="L79">
        <v>4</v>
      </c>
      <c r="M79">
        <v>0</v>
      </c>
    </row>
    <row r="80" spans="1:13" x14ac:dyDescent="0.35">
      <c r="A80">
        <v>13</v>
      </c>
      <c r="B80" t="s">
        <v>16</v>
      </c>
      <c r="C80">
        <v>5.8</v>
      </c>
      <c r="D80" t="s">
        <v>14</v>
      </c>
      <c r="E80">
        <v>4.4000000000000004</v>
      </c>
      <c r="F80">
        <v>1.8</v>
      </c>
      <c r="G80">
        <v>3.8</v>
      </c>
      <c r="H80">
        <v>1</v>
      </c>
      <c r="I80" t="s">
        <v>18</v>
      </c>
      <c r="J80">
        <v>2</v>
      </c>
      <c r="K80">
        <v>2</v>
      </c>
      <c r="L80">
        <v>1</v>
      </c>
      <c r="M80">
        <v>0</v>
      </c>
    </row>
    <row r="81" spans="1:13" x14ac:dyDescent="0.35">
      <c r="A81">
        <v>13</v>
      </c>
      <c r="B81" t="s">
        <v>16</v>
      </c>
      <c r="C81">
        <v>2.9</v>
      </c>
      <c r="D81" t="s">
        <v>20</v>
      </c>
      <c r="E81">
        <v>8.1999999999999993</v>
      </c>
      <c r="F81">
        <v>2.2999999999999998</v>
      </c>
      <c r="G81">
        <v>2.48</v>
      </c>
      <c r="H81">
        <v>0.9</v>
      </c>
      <c r="I81" t="s">
        <v>15</v>
      </c>
      <c r="J81">
        <v>5</v>
      </c>
      <c r="K81">
        <v>8</v>
      </c>
      <c r="L81">
        <v>9</v>
      </c>
      <c r="M81">
        <v>0</v>
      </c>
    </row>
    <row r="82" spans="1:13" x14ac:dyDescent="0.35">
      <c r="A82">
        <v>13</v>
      </c>
      <c r="B82" t="s">
        <v>16</v>
      </c>
      <c r="C82">
        <v>3.5</v>
      </c>
      <c r="D82" t="s">
        <v>14</v>
      </c>
      <c r="E82">
        <v>6.9</v>
      </c>
      <c r="F82">
        <v>1.6</v>
      </c>
      <c r="G82">
        <v>2.08</v>
      </c>
      <c r="H82">
        <v>0.7</v>
      </c>
      <c r="I82" t="s">
        <v>15</v>
      </c>
      <c r="J82">
        <v>9</v>
      </c>
      <c r="K82">
        <v>9</v>
      </c>
      <c r="L82">
        <v>9</v>
      </c>
      <c r="M82">
        <v>0</v>
      </c>
    </row>
    <row r="83" spans="1:13" x14ac:dyDescent="0.35">
      <c r="A83">
        <v>13</v>
      </c>
      <c r="B83" t="s">
        <v>16</v>
      </c>
      <c r="C83">
        <v>3.2</v>
      </c>
      <c r="D83" t="s">
        <v>20</v>
      </c>
      <c r="E83">
        <v>5.9</v>
      </c>
      <c r="F83">
        <v>0.7</v>
      </c>
      <c r="G83">
        <v>3.98</v>
      </c>
      <c r="H83">
        <v>0.8</v>
      </c>
      <c r="I83" t="s">
        <v>15</v>
      </c>
      <c r="J83">
        <v>6</v>
      </c>
      <c r="K83">
        <v>8</v>
      </c>
      <c r="L83">
        <v>1</v>
      </c>
      <c r="M83">
        <v>0</v>
      </c>
    </row>
    <row r="84" spans="1:13" x14ac:dyDescent="0.35">
      <c r="A84">
        <v>13</v>
      </c>
      <c r="B84" t="s">
        <v>16</v>
      </c>
      <c r="C84">
        <v>3.3</v>
      </c>
      <c r="D84" t="s">
        <v>17</v>
      </c>
      <c r="E84">
        <v>6.4</v>
      </c>
      <c r="F84">
        <v>1</v>
      </c>
      <c r="G84">
        <v>2.4900000000000002</v>
      </c>
      <c r="H84">
        <v>1</v>
      </c>
      <c r="I84" t="s">
        <v>15</v>
      </c>
      <c r="J84">
        <v>9</v>
      </c>
      <c r="K84">
        <v>2</v>
      </c>
      <c r="L84">
        <v>4</v>
      </c>
      <c r="M84">
        <v>0</v>
      </c>
    </row>
    <row r="85" spans="1:13" x14ac:dyDescent="0.35">
      <c r="A85">
        <v>13</v>
      </c>
      <c r="B85" t="s">
        <v>16</v>
      </c>
      <c r="C85">
        <v>2.5</v>
      </c>
      <c r="D85" t="s">
        <v>20</v>
      </c>
      <c r="E85">
        <v>7.8</v>
      </c>
      <c r="F85">
        <v>1.4</v>
      </c>
      <c r="G85">
        <v>3.43</v>
      </c>
      <c r="H85">
        <v>0.9</v>
      </c>
      <c r="I85" t="s">
        <v>19</v>
      </c>
      <c r="J85">
        <v>1</v>
      </c>
      <c r="K85">
        <v>4</v>
      </c>
      <c r="L85">
        <v>6</v>
      </c>
      <c r="M85">
        <v>0</v>
      </c>
    </row>
    <row r="86" spans="1:13" x14ac:dyDescent="0.35">
      <c r="A86">
        <v>13</v>
      </c>
      <c r="B86" t="s">
        <v>16</v>
      </c>
      <c r="C86">
        <v>4.7</v>
      </c>
      <c r="D86" t="s">
        <v>20</v>
      </c>
      <c r="E86">
        <v>6.8</v>
      </c>
      <c r="F86">
        <v>1.4</v>
      </c>
      <c r="G86">
        <v>3.91</v>
      </c>
      <c r="H86">
        <v>0.8</v>
      </c>
      <c r="I86" t="s">
        <v>18</v>
      </c>
      <c r="J86">
        <v>10</v>
      </c>
      <c r="K86">
        <v>6</v>
      </c>
      <c r="L86">
        <v>9</v>
      </c>
      <c r="M86">
        <v>0</v>
      </c>
    </row>
    <row r="87" spans="1:13" x14ac:dyDescent="0.35">
      <c r="A87">
        <v>13</v>
      </c>
      <c r="B87" t="s">
        <v>16</v>
      </c>
      <c r="C87">
        <v>2.6</v>
      </c>
      <c r="D87" t="s">
        <v>17</v>
      </c>
      <c r="E87">
        <v>8.5</v>
      </c>
      <c r="F87">
        <v>1.9</v>
      </c>
      <c r="G87">
        <v>3.06</v>
      </c>
      <c r="H87">
        <v>1.9</v>
      </c>
      <c r="I87" t="s">
        <v>18</v>
      </c>
      <c r="J87">
        <v>5</v>
      </c>
      <c r="K87">
        <v>7</v>
      </c>
      <c r="L87">
        <v>6</v>
      </c>
      <c r="M87">
        <v>0</v>
      </c>
    </row>
    <row r="88" spans="1:13" x14ac:dyDescent="0.35">
      <c r="A88">
        <v>13</v>
      </c>
      <c r="B88" t="s">
        <v>16</v>
      </c>
      <c r="C88">
        <v>5.2</v>
      </c>
      <c r="D88" t="s">
        <v>20</v>
      </c>
      <c r="E88">
        <v>7.4</v>
      </c>
      <c r="F88">
        <v>2.5</v>
      </c>
      <c r="G88">
        <v>3.93</v>
      </c>
      <c r="H88">
        <v>0.8</v>
      </c>
      <c r="I88" t="s">
        <v>15</v>
      </c>
      <c r="J88">
        <v>4</v>
      </c>
      <c r="K88">
        <v>4</v>
      </c>
      <c r="L88">
        <v>8</v>
      </c>
      <c r="M88">
        <v>0</v>
      </c>
    </row>
    <row r="89" spans="1:13" x14ac:dyDescent="0.35">
      <c r="A89">
        <v>13</v>
      </c>
      <c r="B89" t="s">
        <v>16</v>
      </c>
      <c r="C89">
        <v>7.1</v>
      </c>
      <c r="D89" t="s">
        <v>20</v>
      </c>
      <c r="E89">
        <v>7.2</v>
      </c>
      <c r="F89">
        <v>1.1000000000000001</v>
      </c>
      <c r="G89">
        <v>3.69</v>
      </c>
      <c r="H89">
        <v>1</v>
      </c>
      <c r="I89" t="s">
        <v>15</v>
      </c>
      <c r="J89">
        <v>4</v>
      </c>
      <c r="K89">
        <v>6</v>
      </c>
      <c r="L89">
        <v>3</v>
      </c>
      <c r="M89">
        <v>0</v>
      </c>
    </row>
    <row r="90" spans="1:13" x14ac:dyDescent="0.35">
      <c r="A90">
        <v>13</v>
      </c>
      <c r="B90" t="s">
        <v>16</v>
      </c>
      <c r="C90">
        <v>3.6</v>
      </c>
      <c r="D90" t="s">
        <v>17</v>
      </c>
      <c r="E90">
        <v>8.6999999999999993</v>
      </c>
      <c r="F90">
        <v>0.8</v>
      </c>
      <c r="G90">
        <v>2.41</v>
      </c>
      <c r="H90">
        <v>1.3</v>
      </c>
      <c r="I90" t="s">
        <v>15</v>
      </c>
      <c r="J90">
        <v>4</v>
      </c>
      <c r="K90">
        <v>6</v>
      </c>
      <c r="L90">
        <v>8</v>
      </c>
      <c r="M90">
        <v>0</v>
      </c>
    </row>
    <row r="91" spans="1:13" x14ac:dyDescent="0.35">
      <c r="A91">
        <v>13</v>
      </c>
      <c r="B91" t="s">
        <v>16</v>
      </c>
      <c r="C91">
        <v>7.7</v>
      </c>
      <c r="D91" t="s">
        <v>20</v>
      </c>
      <c r="E91">
        <v>7.5</v>
      </c>
      <c r="F91">
        <v>1.4</v>
      </c>
      <c r="G91">
        <v>2.2400000000000002</v>
      </c>
      <c r="H91">
        <v>0.1</v>
      </c>
      <c r="I91" t="s">
        <v>15</v>
      </c>
      <c r="J91">
        <v>5</v>
      </c>
      <c r="K91">
        <v>3</v>
      </c>
      <c r="L91">
        <v>3</v>
      </c>
      <c r="M91">
        <v>0</v>
      </c>
    </row>
    <row r="92" spans="1:13" x14ac:dyDescent="0.35">
      <c r="A92">
        <v>13</v>
      </c>
      <c r="B92" t="s">
        <v>16</v>
      </c>
      <c r="C92">
        <v>7.9</v>
      </c>
      <c r="D92" t="s">
        <v>17</v>
      </c>
      <c r="E92">
        <v>4.0999999999999996</v>
      </c>
      <c r="F92">
        <v>1.6</v>
      </c>
      <c r="G92">
        <v>2.74</v>
      </c>
      <c r="H92">
        <v>0.9</v>
      </c>
      <c r="I92" t="s">
        <v>19</v>
      </c>
      <c r="J92">
        <v>9</v>
      </c>
      <c r="K92">
        <v>3</v>
      </c>
      <c r="L92">
        <v>5</v>
      </c>
      <c r="M92">
        <v>0</v>
      </c>
    </row>
    <row r="93" spans="1:13" x14ac:dyDescent="0.35">
      <c r="A93">
        <v>13</v>
      </c>
      <c r="B93" t="s">
        <v>16</v>
      </c>
      <c r="C93">
        <v>4.0999999999999996</v>
      </c>
      <c r="D93" t="s">
        <v>14</v>
      </c>
      <c r="E93">
        <v>7.5</v>
      </c>
      <c r="F93">
        <v>1.7</v>
      </c>
      <c r="G93">
        <v>3.12</v>
      </c>
      <c r="H93">
        <v>2</v>
      </c>
      <c r="I93" t="s">
        <v>19</v>
      </c>
      <c r="J93">
        <v>1</v>
      </c>
      <c r="K93">
        <v>4</v>
      </c>
      <c r="L93">
        <v>9</v>
      </c>
      <c r="M93">
        <v>0</v>
      </c>
    </row>
    <row r="94" spans="1:13" x14ac:dyDescent="0.35">
      <c r="A94">
        <v>13</v>
      </c>
      <c r="B94" t="s">
        <v>16</v>
      </c>
      <c r="C94">
        <v>7.2</v>
      </c>
      <c r="D94" t="s">
        <v>14</v>
      </c>
      <c r="E94">
        <v>8.1</v>
      </c>
      <c r="F94">
        <v>2.1</v>
      </c>
      <c r="G94">
        <v>2.52</v>
      </c>
      <c r="H94">
        <v>0.4</v>
      </c>
      <c r="I94" t="s">
        <v>19</v>
      </c>
      <c r="J94">
        <v>3</v>
      </c>
      <c r="K94">
        <v>3</v>
      </c>
      <c r="L94">
        <v>7</v>
      </c>
      <c r="M94">
        <v>0</v>
      </c>
    </row>
    <row r="95" spans="1:13" x14ac:dyDescent="0.35">
      <c r="A95">
        <v>14</v>
      </c>
      <c r="B95" t="s">
        <v>16</v>
      </c>
      <c r="C95">
        <v>3.6</v>
      </c>
      <c r="D95" t="s">
        <v>20</v>
      </c>
      <c r="E95">
        <v>5.3</v>
      </c>
      <c r="F95">
        <v>0.6</v>
      </c>
      <c r="G95">
        <v>2.99</v>
      </c>
      <c r="H95">
        <v>0.3</v>
      </c>
      <c r="I95" t="s">
        <v>18</v>
      </c>
      <c r="J95">
        <v>4</v>
      </c>
      <c r="K95">
        <v>10</v>
      </c>
      <c r="L95">
        <v>2</v>
      </c>
      <c r="M95">
        <v>0</v>
      </c>
    </row>
    <row r="96" spans="1:13" x14ac:dyDescent="0.35">
      <c r="A96">
        <v>14</v>
      </c>
      <c r="B96" t="s">
        <v>16</v>
      </c>
      <c r="C96">
        <v>1.2</v>
      </c>
      <c r="D96" t="s">
        <v>14</v>
      </c>
      <c r="E96">
        <v>7.6</v>
      </c>
      <c r="F96">
        <v>1</v>
      </c>
      <c r="G96">
        <v>3.85</v>
      </c>
      <c r="H96">
        <v>0.8</v>
      </c>
      <c r="I96" t="s">
        <v>18</v>
      </c>
      <c r="J96">
        <v>8</v>
      </c>
      <c r="K96">
        <v>4</v>
      </c>
      <c r="L96">
        <v>6</v>
      </c>
      <c r="M96">
        <v>0</v>
      </c>
    </row>
    <row r="97" spans="1:13" x14ac:dyDescent="0.35">
      <c r="A97">
        <v>14</v>
      </c>
      <c r="B97" t="s">
        <v>16</v>
      </c>
      <c r="C97">
        <v>5.7</v>
      </c>
      <c r="D97" t="s">
        <v>20</v>
      </c>
      <c r="E97">
        <v>8.6999999999999993</v>
      </c>
      <c r="F97">
        <v>0.6</v>
      </c>
      <c r="G97">
        <v>2.64</v>
      </c>
      <c r="H97">
        <v>0.1</v>
      </c>
      <c r="I97" t="s">
        <v>15</v>
      </c>
      <c r="J97">
        <v>8</v>
      </c>
      <c r="K97">
        <v>9</v>
      </c>
      <c r="L97">
        <v>4</v>
      </c>
      <c r="M97">
        <v>0</v>
      </c>
    </row>
    <row r="98" spans="1:13" x14ac:dyDescent="0.35">
      <c r="A98">
        <v>14</v>
      </c>
      <c r="B98" t="s">
        <v>16</v>
      </c>
      <c r="C98">
        <v>7.3</v>
      </c>
      <c r="D98" t="s">
        <v>14</v>
      </c>
      <c r="E98">
        <v>7.7</v>
      </c>
      <c r="F98">
        <v>1.4</v>
      </c>
      <c r="G98">
        <v>3.42</v>
      </c>
      <c r="H98">
        <v>0.3</v>
      </c>
      <c r="I98" t="s">
        <v>19</v>
      </c>
      <c r="J98">
        <v>6</v>
      </c>
      <c r="K98">
        <v>1</v>
      </c>
      <c r="L98">
        <v>8</v>
      </c>
      <c r="M98">
        <v>0</v>
      </c>
    </row>
    <row r="99" spans="1:13" x14ac:dyDescent="0.35">
      <c r="A99">
        <v>14</v>
      </c>
      <c r="B99" t="s">
        <v>16</v>
      </c>
      <c r="C99">
        <v>4.5</v>
      </c>
      <c r="D99" t="s">
        <v>17</v>
      </c>
      <c r="E99">
        <v>4.8</v>
      </c>
      <c r="F99">
        <v>0.9</v>
      </c>
      <c r="G99">
        <v>2.2200000000000002</v>
      </c>
      <c r="H99">
        <v>0.8</v>
      </c>
      <c r="I99" t="s">
        <v>15</v>
      </c>
      <c r="J99">
        <v>1</v>
      </c>
      <c r="K99">
        <v>4</v>
      </c>
      <c r="L99">
        <v>10</v>
      </c>
      <c r="M99">
        <v>0</v>
      </c>
    </row>
    <row r="100" spans="1:13" x14ac:dyDescent="0.35">
      <c r="A100">
        <v>14</v>
      </c>
      <c r="B100" t="s">
        <v>16</v>
      </c>
      <c r="C100">
        <v>3.9</v>
      </c>
      <c r="D100" t="s">
        <v>20</v>
      </c>
      <c r="E100">
        <v>7</v>
      </c>
      <c r="F100">
        <v>2.8</v>
      </c>
      <c r="G100">
        <v>2.8</v>
      </c>
      <c r="H100">
        <v>0.1</v>
      </c>
      <c r="I100" t="s">
        <v>15</v>
      </c>
      <c r="J100">
        <v>8</v>
      </c>
      <c r="K100">
        <v>2</v>
      </c>
      <c r="L100">
        <v>8</v>
      </c>
      <c r="M100">
        <v>0</v>
      </c>
    </row>
    <row r="101" spans="1:13" x14ac:dyDescent="0.35">
      <c r="A101">
        <v>14</v>
      </c>
      <c r="B101" t="s">
        <v>16</v>
      </c>
      <c r="C101">
        <v>6.4</v>
      </c>
      <c r="D101" t="s">
        <v>14</v>
      </c>
      <c r="E101">
        <v>6</v>
      </c>
      <c r="F101">
        <v>1.1000000000000001</v>
      </c>
      <c r="G101">
        <v>3.81</v>
      </c>
      <c r="H101">
        <v>0.9</v>
      </c>
      <c r="I101" t="s">
        <v>19</v>
      </c>
      <c r="J101">
        <v>8</v>
      </c>
      <c r="K101">
        <v>2</v>
      </c>
      <c r="L101">
        <v>3</v>
      </c>
      <c r="M101">
        <v>0</v>
      </c>
    </row>
    <row r="102" spans="1:13" x14ac:dyDescent="0.35">
      <c r="A102">
        <v>14</v>
      </c>
      <c r="B102" t="s">
        <v>16</v>
      </c>
      <c r="C102">
        <v>1.1000000000000001</v>
      </c>
      <c r="D102" t="s">
        <v>20</v>
      </c>
      <c r="E102">
        <v>6.1</v>
      </c>
      <c r="F102">
        <v>2.5</v>
      </c>
      <c r="G102">
        <v>2.8</v>
      </c>
      <c r="H102">
        <v>1.8</v>
      </c>
      <c r="I102" t="s">
        <v>18</v>
      </c>
      <c r="J102">
        <v>4</v>
      </c>
      <c r="K102">
        <v>10</v>
      </c>
      <c r="L102">
        <v>3</v>
      </c>
      <c r="M102">
        <v>0</v>
      </c>
    </row>
    <row r="103" spans="1:13" x14ac:dyDescent="0.35">
      <c r="A103">
        <v>14</v>
      </c>
      <c r="B103" t="s">
        <v>16</v>
      </c>
      <c r="C103">
        <v>7.7</v>
      </c>
      <c r="D103" t="s">
        <v>14</v>
      </c>
      <c r="E103">
        <v>6.1</v>
      </c>
      <c r="F103">
        <v>0.8</v>
      </c>
      <c r="G103">
        <v>3.47</v>
      </c>
      <c r="H103">
        <v>1.5</v>
      </c>
      <c r="I103" t="s">
        <v>19</v>
      </c>
      <c r="J103">
        <v>9</v>
      </c>
      <c r="K103">
        <v>10</v>
      </c>
      <c r="L103">
        <v>9</v>
      </c>
      <c r="M103">
        <v>0</v>
      </c>
    </row>
    <row r="104" spans="1:13" x14ac:dyDescent="0.35">
      <c r="A104">
        <v>14</v>
      </c>
      <c r="B104" t="s">
        <v>16</v>
      </c>
      <c r="C104">
        <v>1.7</v>
      </c>
      <c r="D104" t="s">
        <v>17</v>
      </c>
      <c r="E104">
        <v>4.9000000000000004</v>
      </c>
      <c r="F104">
        <v>1.6</v>
      </c>
      <c r="G104">
        <v>2.36</v>
      </c>
      <c r="H104">
        <v>1.7</v>
      </c>
      <c r="I104" t="s">
        <v>18</v>
      </c>
      <c r="J104">
        <v>3</v>
      </c>
      <c r="K104">
        <v>1</v>
      </c>
      <c r="L104">
        <v>6</v>
      </c>
      <c r="M104">
        <v>0</v>
      </c>
    </row>
    <row r="105" spans="1:13" x14ac:dyDescent="0.35">
      <c r="A105">
        <v>14</v>
      </c>
      <c r="B105" t="s">
        <v>16</v>
      </c>
      <c r="C105">
        <v>2.7</v>
      </c>
      <c r="D105" t="s">
        <v>14</v>
      </c>
      <c r="E105">
        <v>5.0999999999999996</v>
      </c>
      <c r="F105">
        <v>2.4</v>
      </c>
      <c r="G105">
        <v>2.17</v>
      </c>
      <c r="H105">
        <v>1.8</v>
      </c>
      <c r="I105" t="s">
        <v>18</v>
      </c>
      <c r="J105">
        <v>3</v>
      </c>
      <c r="K105">
        <v>10</v>
      </c>
      <c r="L105">
        <v>8</v>
      </c>
      <c r="M105">
        <v>0</v>
      </c>
    </row>
    <row r="106" spans="1:13" x14ac:dyDescent="0.35">
      <c r="A106">
        <v>14</v>
      </c>
      <c r="B106" t="s">
        <v>16</v>
      </c>
      <c r="C106">
        <v>4.7</v>
      </c>
      <c r="D106" t="s">
        <v>14</v>
      </c>
      <c r="E106">
        <v>5.0999999999999996</v>
      </c>
      <c r="F106">
        <v>2.2000000000000002</v>
      </c>
      <c r="G106">
        <v>2.0299999999999998</v>
      </c>
      <c r="H106">
        <v>1.1000000000000001</v>
      </c>
      <c r="I106" t="s">
        <v>19</v>
      </c>
      <c r="J106">
        <v>2</v>
      </c>
      <c r="K106">
        <v>10</v>
      </c>
      <c r="L106">
        <v>7</v>
      </c>
      <c r="M106">
        <v>0</v>
      </c>
    </row>
    <row r="107" spans="1:13" x14ac:dyDescent="0.35">
      <c r="A107">
        <v>14</v>
      </c>
      <c r="B107" t="s">
        <v>16</v>
      </c>
      <c r="C107">
        <v>4.4000000000000004</v>
      </c>
      <c r="D107" t="s">
        <v>20</v>
      </c>
      <c r="E107">
        <v>4.2</v>
      </c>
      <c r="F107">
        <v>2.6</v>
      </c>
      <c r="G107">
        <v>2.2799999999999998</v>
      </c>
      <c r="H107">
        <v>1.3</v>
      </c>
      <c r="I107" t="s">
        <v>19</v>
      </c>
      <c r="J107">
        <v>8</v>
      </c>
      <c r="K107">
        <v>10</v>
      </c>
      <c r="L107">
        <v>4</v>
      </c>
      <c r="M107">
        <v>0</v>
      </c>
    </row>
    <row r="108" spans="1:13" x14ac:dyDescent="0.35">
      <c r="A108">
        <v>14</v>
      </c>
      <c r="B108" t="s">
        <v>16</v>
      </c>
      <c r="C108">
        <v>7.1</v>
      </c>
      <c r="D108" t="s">
        <v>17</v>
      </c>
      <c r="E108">
        <v>4.5</v>
      </c>
      <c r="F108">
        <v>2.4</v>
      </c>
      <c r="G108">
        <v>3.53</v>
      </c>
      <c r="H108">
        <v>0.4</v>
      </c>
      <c r="I108" t="s">
        <v>18</v>
      </c>
      <c r="J108">
        <v>3</v>
      </c>
      <c r="K108">
        <v>4</v>
      </c>
      <c r="L108">
        <v>4</v>
      </c>
      <c r="M108">
        <v>0</v>
      </c>
    </row>
    <row r="109" spans="1:13" x14ac:dyDescent="0.35">
      <c r="A109">
        <v>14</v>
      </c>
      <c r="B109" t="s">
        <v>16</v>
      </c>
      <c r="C109">
        <v>6.5</v>
      </c>
      <c r="D109" t="s">
        <v>20</v>
      </c>
      <c r="E109">
        <v>7.8</v>
      </c>
      <c r="F109">
        <v>1.5</v>
      </c>
      <c r="G109">
        <v>3.26</v>
      </c>
      <c r="H109">
        <v>0.8</v>
      </c>
      <c r="I109" t="s">
        <v>19</v>
      </c>
      <c r="J109">
        <v>9</v>
      </c>
      <c r="K109">
        <v>2</v>
      </c>
      <c r="L109">
        <v>3</v>
      </c>
      <c r="M109">
        <v>0</v>
      </c>
    </row>
    <row r="110" spans="1:13" x14ac:dyDescent="0.35">
      <c r="A110">
        <v>14</v>
      </c>
      <c r="B110" t="s">
        <v>16</v>
      </c>
      <c r="C110">
        <v>7</v>
      </c>
      <c r="D110" t="s">
        <v>17</v>
      </c>
      <c r="E110">
        <v>7.8</v>
      </c>
      <c r="F110">
        <v>1.1000000000000001</v>
      </c>
      <c r="G110">
        <v>3.81</v>
      </c>
      <c r="H110">
        <v>1.4</v>
      </c>
      <c r="I110" t="s">
        <v>19</v>
      </c>
      <c r="J110">
        <v>10</v>
      </c>
      <c r="K110">
        <v>4</v>
      </c>
      <c r="L110">
        <v>2</v>
      </c>
      <c r="M110">
        <v>0</v>
      </c>
    </row>
    <row r="111" spans="1:13" x14ac:dyDescent="0.35">
      <c r="A111">
        <v>14</v>
      </c>
      <c r="B111" t="s">
        <v>16</v>
      </c>
      <c r="C111">
        <v>4.4000000000000004</v>
      </c>
      <c r="D111" t="s">
        <v>20</v>
      </c>
      <c r="E111">
        <v>7.3</v>
      </c>
      <c r="F111">
        <v>2.7</v>
      </c>
      <c r="G111">
        <v>3.3</v>
      </c>
      <c r="H111">
        <v>1.1000000000000001</v>
      </c>
      <c r="I111" t="s">
        <v>15</v>
      </c>
      <c r="J111">
        <v>2</v>
      </c>
      <c r="K111">
        <v>1</v>
      </c>
      <c r="L111">
        <v>9</v>
      </c>
      <c r="M111">
        <v>0</v>
      </c>
    </row>
    <row r="112" spans="1:13" x14ac:dyDescent="0.35">
      <c r="A112">
        <v>14</v>
      </c>
      <c r="B112" t="s">
        <v>16</v>
      </c>
      <c r="C112">
        <v>1.8</v>
      </c>
      <c r="D112" t="s">
        <v>20</v>
      </c>
      <c r="E112">
        <v>8.1999999999999993</v>
      </c>
      <c r="F112">
        <v>2.2000000000000002</v>
      </c>
      <c r="G112">
        <v>3.36</v>
      </c>
      <c r="H112">
        <v>1.7</v>
      </c>
      <c r="I112" t="s">
        <v>18</v>
      </c>
      <c r="J112">
        <v>9</v>
      </c>
      <c r="K112">
        <v>5</v>
      </c>
      <c r="L112">
        <v>10</v>
      </c>
      <c r="M112">
        <v>0</v>
      </c>
    </row>
    <row r="113" spans="1:13" x14ac:dyDescent="0.35">
      <c r="A113">
        <v>14</v>
      </c>
      <c r="B113" t="s">
        <v>16</v>
      </c>
      <c r="C113">
        <v>4.4000000000000004</v>
      </c>
      <c r="D113" t="s">
        <v>17</v>
      </c>
      <c r="E113">
        <v>5.7</v>
      </c>
      <c r="F113">
        <v>1</v>
      </c>
      <c r="G113">
        <v>3.2</v>
      </c>
      <c r="H113">
        <v>1.9</v>
      </c>
      <c r="I113" t="s">
        <v>18</v>
      </c>
      <c r="J113">
        <v>4</v>
      </c>
      <c r="K113">
        <v>2</v>
      </c>
      <c r="L113">
        <v>2</v>
      </c>
      <c r="M113">
        <v>0</v>
      </c>
    </row>
    <row r="114" spans="1:13" x14ac:dyDescent="0.35">
      <c r="A114">
        <v>14</v>
      </c>
      <c r="B114" t="s">
        <v>16</v>
      </c>
      <c r="C114">
        <v>6.9</v>
      </c>
      <c r="D114" t="s">
        <v>17</v>
      </c>
      <c r="E114">
        <v>6.4</v>
      </c>
      <c r="F114">
        <v>0.9</v>
      </c>
      <c r="G114">
        <v>2.04</v>
      </c>
      <c r="H114">
        <v>1.3</v>
      </c>
      <c r="I114" t="s">
        <v>19</v>
      </c>
      <c r="J114">
        <v>5</v>
      </c>
      <c r="K114">
        <v>5</v>
      </c>
      <c r="L114">
        <v>9</v>
      </c>
      <c r="M114">
        <v>0</v>
      </c>
    </row>
    <row r="115" spans="1:13" x14ac:dyDescent="0.35">
      <c r="A115">
        <v>14</v>
      </c>
      <c r="B115" t="s">
        <v>16</v>
      </c>
      <c r="C115">
        <v>4.8</v>
      </c>
      <c r="D115" t="s">
        <v>14</v>
      </c>
      <c r="E115">
        <v>6.8</v>
      </c>
      <c r="F115">
        <v>0.8</v>
      </c>
      <c r="G115">
        <v>3</v>
      </c>
      <c r="H115">
        <v>0.9</v>
      </c>
      <c r="I115" t="s">
        <v>15</v>
      </c>
      <c r="J115">
        <v>4</v>
      </c>
      <c r="K115">
        <v>3</v>
      </c>
      <c r="L115">
        <v>4</v>
      </c>
      <c r="M115">
        <v>0</v>
      </c>
    </row>
    <row r="116" spans="1:13" x14ac:dyDescent="0.35">
      <c r="A116">
        <v>14</v>
      </c>
      <c r="B116" t="s">
        <v>16</v>
      </c>
      <c r="C116">
        <v>7.8</v>
      </c>
      <c r="D116" t="s">
        <v>14</v>
      </c>
      <c r="E116">
        <v>4.3</v>
      </c>
      <c r="F116">
        <v>2.6</v>
      </c>
      <c r="G116">
        <v>3.33</v>
      </c>
      <c r="H116">
        <v>2</v>
      </c>
      <c r="I116" t="s">
        <v>18</v>
      </c>
      <c r="J116">
        <v>3</v>
      </c>
      <c r="K116">
        <v>7</v>
      </c>
      <c r="L116">
        <v>3</v>
      </c>
      <c r="M116">
        <v>0</v>
      </c>
    </row>
    <row r="117" spans="1:13" x14ac:dyDescent="0.35">
      <c r="A117">
        <v>14</v>
      </c>
      <c r="B117" t="s">
        <v>16</v>
      </c>
      <c r="C117">
        <v>2</v>
      </c>
      <c r="D117" t="s">
        <v>14</v>
      </c>
      <c r="E117">
        <v>8.8000000000000007</v>
      </c>
      <c r="F117">
        <v>0.9</v>
      </c>
      <c r="G117">
        <v>3.61</v>
      </c>
      <c r="H117">
        <v>0.7</v>
      </c>
      <c r="I117" t="s">
        <v>18</v>
      </c>
      <c r="J117">
        <v>10</v>
      </c>
      <c r="K117">
        <v>2</v>
      </c>
      <c r="L117">
        <v>3</v>
      </c>
      <c r="M117">
        <v>0</v>
      </c>
    </row>
    <row r="118" spans="1:13" x14ac:dyDescent="0.35">
      <c r="A118">
        <v>14</v>
      </c>
      <c r="B118" t="s">
        <v>16</v>
      </c>
      <c r="C118">
        <v>3.6</v>
      </c>
      <c r="D118" t="s">
        <v>14</v>
      </c>
      <c r="E118">
        <v>4.0999999999999996</v>
      </c>
      <c r="F118">
        <v>2.9</v>
      </c>
      <c r="G118">
        <v>2.83</v>
      </c>
      <c r="H118">
        <v>0.5</v>
      </c>
      <c r="I118" t="s">
        <v>19</v>
      </c>
      <c r="J118">
        <v>10</v>
      </c>
      <c r="K118">
        <v>6</v>
      </c>
      <c r="L118">
        <v>7</v>
      </c>
      <c r="M118">
        <v>0</v>
      </c>
    </row>
    <row r="119" spans="1:13" x14ac:dyDescent="0.35">
      <c r="A119">
        <v>14</v>
      </c>
      <c r="B119" t="s">
        <v>16</v>
      </c>
      <c r="C119">
        <v>4.0999999999999996</v>
      </c>
      <c r="D119" t="s">
        <v>20</v>
      </c>
      <c r="E119">
        <v>6.4</v>
      </c>
      <c r="F119">
        <v>2</v>
      </c>
      <c r="G119">
        <v>3.69</v>
      </c>
      <c r="H119">
        <v>1.5</v>
      </c>
      <c r="I119" t="s">
        <v>19</v>
      </c>
      <c r="J119">
        <v>7</v>
      </c>
      <c r="K119">
        <v>7</v>
      </c>
      <c r="L119">
        <v>9</v>
      </c>
      <c r="M119">
        <v>0</v>
      </c>
    </row>
    <row r="120" spans="1:13" x14ac:dyDescent="0.35">
      <c r="A120">
        <v>14</v>
      </c>
      <c r="B120" t="s">
        <v>16</v>
      </c>
      <c r="C120">
        <v>1</v>
      </c>
      <c r="D120" t="s">
        <v>20</v>
      </c>
      <c r="E120">
        <v>6.6</v>
      </c>
      <c r="F120">
        <v>1.4</v>
      </c>
      <c r="G120">
        <v>2.02</v>
      </c>
      <c r="H120">
        <v>1.9</v>
      </c>
      <c r="I120" t="s">
        <v>15</v>
      </c>
      <c r="J120">
        <v>6</v>
      </c>
      <c r="K120">
        <v>5</v>
      </c>
      <c r="L120">
        <v>5</v>
      </c>
      <c r="M120">
        <v>0</v>
      </c>
    </row>
    <row r="121" spans="1:13" x14ac:dyDescent="0.35">
      <c r="A121">
        <v>14</v>
      </c>
      <c r="B121" t="s">
        <v>16</v>
      </c>
      <c r="C121">
        <v>2</v>
      </c>
      <c r="D121" t="s">
        <v>20</v>
      </c>
      <c r="E121">
        <v>5</v>
      </c>
      <c r="F121">
        <v>2.6</v>
      </c>
      <c r="G121">
        <v>2.71</v>
      </c>
      <c r="H121">
        <v>2</v>
      </c>
      <c r="I121" t="s">
        <v>15</v>
      </c>
      <c r="J121">
        <v>5</v>
      </c>
      <c r="K121">
        <v>4</v>
      </c>
      <c r="L121">
        <v>3</v>
      </c>
      <c r="M121">
        <v>0</v>
      </c>
    </row>
    <row r="122" spans="1:13" x14ac:dyDescent="0.35">
      <c r="A122">
        <v>14</v>
      </c>
      <c r="B122" t="s">
        <v>16</v>
      </c>
      <c r="C122">
        <v>5</v>
      </c>
      <c r="D122" t="s">
        <v>17</v>
      </c>
      <c r="E122">
        <v>4.9000000000000004</v>
      </c>
      <c r="F122">
        <v>2.6</v>
      </c>
      <c r="G122">
        <v>3.82</v>
      </c>
      <c r="H122">
        <v>1.9</v>
      </c>
      <c r="I122" t="s">
        <v>19</v>
      </c>
      <c r="J122">
        <v>3</v>
      </c>
      <c r="K122">
        <v>10</v>
      </c>
      <c r="L122">
        <v>10</v>
      </c>
      <c r="M122">
        <v>0</v>
      </c>
    </row>
    <row r="123" spans="1:13" x14ac:dyDescent="0.35">
      <c r="A123">
        <v>14</v>
      </c>
      <c r="B123" t="s">
        <v>16</v>
      </c>
      <c r="C123">
        <v>3</v>
      </c>
      <c r="D123" t="s">
        <v>17</v>
      </c>
      <c r="E123">
        <v>8.3000000000000007</v>
      </c>
      <c r="F123">
        <v>2.7</v>
      </c>
      <c r="G123">
        <v>3.9</v>
      </c>
      <c r="H123">
        <v>0.7</v>
      </c>
      <c r="I123" t="s">
        <v>18</v>
      </c>
      <c r="J123">
        <v>3</v>
      </c>
      <c r="K123">
        <v>1</v>
      </c>
      <c r="L123">
        <v>5</v>
      </c>
      <c r="M123">
        <v>0</v>
      </c>
    </row>
    <row r="124" spans="1:13" x14ac:dyDescent="0.35">
      <c r="A124">
        <v>14</v>
      </c>
      <c r="B124" t="s">
        <v>16</v>
      </c>
      <c r="C124">
        <v>6.1</v>
      </c>
      <c r="D124" t="s">
        <v>14</v>
      </c>
      <c r="E124">
        <v>5.7</v>
      </c>
      <c r="F124">
        <v>2</v>
      </c>
      <c r="G124">
        <v>3.9</v>
      </c>
      <c r="H124">
        <v>1</v>
      </c>
      <c r="I124" t="s">
        <v>15</v>
      </c>
      <c r="J124">
        <v>8</v>
      </c>
      <c r="K124">
        <v>4</v>
      </c>
      <c r="L124">
        <v>6</v>
      </c>
      <c r="M124">
        <v>0</v>
      </c>
    </row>
    <row r="125" spans="1:13" x14ac:dyDescent="0.35">
      <c r="A125">
        <v>14</v>
      </c>
      <c r="B125" t="s">
        <v>16</v>
      </c>
      <c r="C125">
        <v>6.2</v>
      </c>
      <c r="D125" t="s">
        <v>17</v>
      </c>
      <c r="E125">
        <v>5.0999999999999996</v>
      </c>
      <c r="F125">
        <v>1.5</v>
      </c>
      <c r="G125">
        <v>3.85</v>
      </c>
      <c r="H125">
        <v>0.2</v>
      </c>
      <c r="I125" t="s">
        <v>18</v>
      </c>
      <c r="J125">
        <v>3</v>
      </c>
      <c r="K125">
        <v>4</v>
      </c>
      <c r="L125">
        <v>10</v>
      </c>
      <c r="M125">
        <v>0</v>
      </c>
    </row>
    <row r="126" spans="1:13" x14ac:dyDescent="0.35">
      <c r="A126">
        <v>14</v>
      </c>
      <c r="B126" t="s">
        <v>16</v>
      </c>
      <c r="C126">
        <v>2.2999999999999998</v>
      </c>
      <c r="D126" t="s">
        <v>17</v>
      </c>
      <c r="E126">
        <v>7.3</v>
      </c>
      <c r="F126">
        <v>2.2999999999999998</v>
      </c>
      <c r="G126">
        <v>2.8</v>
      </c>
      <c r="H126">
        <v>1.5</v>
      </c>
      <c r="I126" t="s">
        <v>19</v>
      </c>
      <c r="J126">
        <v>4</v>
      </c>
      <c r="K126">
        <v>6</v>
      </c>
      <c r="L126">
        <v>5</v>
      </c>
      <c r="M126">
        <v>0</v>
      </c>
    </row>
    <row r="127" spans="1:13" x14ac:dyDescent="0.35">
      <c r="A127">
        <v>14</v>
      </c>
      <c r="B127" t="s">
        <v>16</v>
      </c>
      <c r="C127">
        <v>3.1</v>
      </c>
      <c r="D127" t="s">
        <v>14</v>
      </c>
      <c r="E127">
        <v>6.9</v>
      </c>
      <c r="F127">
        <v>1.9</v>
      </c>
      <c r="G127">
        <v>2.2000000000000002</v>
      </c>
      <c r="H127">
        <v>1.2</v>
      </c>
      <c r="I127" t="s">
        <v>19</v>
      </c>
      <c r="J127">
        <v>3</v>
      </c>
      <c r="K127">
        <v>4</v>
      </c>
      <c r="L127">
        <v>2</v>
      </c>
      <c r="M127">
        <v>0</v>
      </c>
    </row>
    <row r="128" spans="1:13" x14ac:dyDescent="0.35">
      <c r="A128">
        <v>14</v>
      </c>
      <c r="B128" t="s">
        <v>16</v>
      </c>
      <c r="C128">
        <v>5.7</v>
      </c>
      <c r="D128" t="s">
        <v>14</v>
      </c>
      <c r="E128">
        <v>8.9</v>
      </c>
      <c r="F128">
        <v>0.7</v>
      </c>
      <c r="G128">
        <v>2.17</v>
      </c>
      <c r="H128">
        <v>1.3</v>
      </c>
      <c r="I128" t="s">
        <v>18</v>
      </c>
      <c r="J128">
        <v>10</v>
      </c>
      <c r="K128">
        <v>4</v>
      </c>
      <c r="L128">
        <v>3</v>
      </c>
      <c r="M128">
        <v>0</v>
      </c>
    </row>
    <row r="129" spans="1:13" x14ac:dyDescent="0.35">
      <c r="A129">
        <v>13</v>
      </c>
      <c r="B129" t="s">
        <v>13</v>
      </c>
      <c r="C129">
        <v>7.8</v>
      </c>
      <c r="D129" t="s">
        <v>14</v>
      </c>
      <c r="E129">
        <v>5</v>
      </c>
      <c r="F129">
        <v>1.8</v>
      </c>
      <c r="G129">
        <v>3.57</v>
      </c>
      <c r="H129">
        <v>1.5</v>
      </c>
      <c r="I129" t="s">
        <v>19</v>
      </c>
      <c r="J129">
        <v>8</v>
      </c>
      <c r="K129">
        <v>10</v>
      </c>
      <c r="L129">
        <v>3</v>
      </c>
      <c r="M129">
        <v>1</v>
      </c>
    </row>
    <row r="130" spans="1:13" x14ac:dyDescent="0.35">
      <c r="A130">
        <v>14</v>
      </c>
      <c r="B130" t="s">
        <v>16</v>
      </c>
      <c r="C130">
        <v>3.4</v>
      </c>
      <c r="D130" t="s">
        <v>14</v>
      </c>
      <c r="E130">
        <v>5.6</v>
      </c>
      <c r="F130">
        <v>1.7</v>
      </c>
      <c r="G130">
        <v>3.38</v>
      </c>
      <c r="H130">
        <v>0.3</v>
      </c>
      <c r="I130" t="s">
        <v>18</v>
      </c>
      <c r="J130">
        <v>9</v>
      </c>
      <c r="K130">
        <v>3</v>
      </c>
      <c r="L130">
        <v>1</v>
      </c>
      <c r="M130">
        <v>0</v>
      </c>
    </row>
    <row r="131" spans="1:13" x14ac:dyDescent="0.35">
      <c r="A131">
        <v>14</v>
      </c>
      <c r="B131" t="s">
        <v>16</v>
      </c>
      <c r="C131">
        <v>4</v>
      </c>
      <c r="D131" t="s">
        <v>17</v>
      </c>
      <c r="E131">
        <v>5.0999999999999996</v>
      </c>
      <c r="F131">
        <v>1.1000000000000001</v>
      </c>
      <c r="G131">
        <v>3.98</v>
      </c>
      <c r="H131">
        <v>1.3</v>
      </c>
      <c r="I131" t="s">
        <v>19</v>
      </c>
      <c r="J131">
        <v>5</v>
      </c>
      <c r="K131">
        <v>4</v>
      </c>
      <c r="L131">
        <v>9</v>
      </c>
      <c r="M131">
        <v>0</v>
      </c>
    </row>
    <row r="132" spans="1:13" x14ac:dyDescent="0.35">
      <c r="A132">
        <v>14</v>
      </c>
      <c r="B132" t="s">
        <v>16</v>
      </c>
      <c r="C132">
        <v>4.0999999999999996</v>
      </c>
      <c r="D132" t="s">
        <v>17</v>
      </c>
      <c r="E132">
        <v>5.4</v>
      </c>
      <c r="F132">
        <v>2.4</v>
      </c>
      <c r="G132">
        <v>2.71</v>
      </c>
      <c r="H132">
        <v>1.3</v>
      </c>
      <c r="I132" t="s">
        <v>15</v>
      </c>
      <c r="J132">
        <v>9</v>
      </c>
      <c r="K132">
        <v>5</v>
      </c>
      <c r="L132">
        <v>10</v>
      </c>
      <c r="M132">
        <v>0</v>
      </c>
    </row>
    <row r="133" spans="1:13" x14ac:dyDescent="0.35">
      <c r="A133">
        <v>14</v>
      </c>
      <c r="B133" t="s">
        <v>16</v>
      </c>
      <c r="C133">
        <v>1.2</v>
      </c>
      <c r="D133" t="s">
        <v>20</v>
      </c>
      <c r="E133">
        <v>7</v>
      </c>
      <c r="F133">
        <v>2.2000000000000002</v>
      </c>
      <c r="G133">
        <v>3.83</v>
      </c>
      <c r="H133">
        <v>0.8</v>
      </c>
      <c r="I133" t="s">
        <v>15</v>
      </c>
      <c r="J133">
        <v>6</v>
      </c>
      <c r="K133">
        <v>10</v>
      </c>
      <c r="L133">
        <v>5</v>
      </c>
      <c r="M133">
        <v>0</v>
      </c>
    </row>
    <row r="134" spans="1:13" x14ac:dyDescent="0.35">
      <c r="A134">
        <v>14</v>
      </c>
      <c r="B134" t="s">
        <v>16</v>
      </c>
      <c r="C134">
        <v>7</v>
      </c>
      <c r="D134" t="s">
        <v>14</v>
      </c>
      <c r="E134">
        <v>4.5</v>
      </c>
      <c r="F134">
        <v>1.6</v>
      </c>
      <c r="G134">
        <v>2.83</v>
      </c>
      <c r="H134">
        <v>0.4</v>
      </c>
      <c r="I134" t="s">
        <v>19</v>
      </c>
      <c r="J134">
        <v>8</v>
      </c>
      <c r="K134">
        <v>1</v>
      </c>
      <c r="L134">
        <v>7</v>
      </c>
      <c r="M134">
        <v>0</v>
      </c>
    </row>
    <row r="135" spans="1:13" x14ac:dyDescent="0.35">
      <c r="A135">
        <v>14</v>
      </c>
      <c r="B135" t="s">
        <v>16</v>
      </c>
      <c r="C135">
        <v>5.8</v>
      </c>
      <c r="D135" t="s">
        <v>20</v>
      </c>
      <c r="E135">
        <v>4.8</v>
      </c>
      <c r="F135">
        <v>2.6</v>
      </c>
      <c r="G135">
        <v>2.08</v>
      </c>
      <c r="H135">
        <v>0.8</v>
      </c>
      <c r="I135" t="s">
        <v>19</v>
      </c>
      <c r="J135">
        <v>6</v>
      </c>
      <c r="K135">
        <v>4</v>
      </c>
      <c r="L135">
        <v>9</v>
      </c>
      <c r="M135">
        <v>0</v>
      </c>
    </row>
    <row r="136" spans="1:13" x14ac:dyDescent="0.35">
      <c r="A136">
        <v>14</v>
      </c>
      <c r="B136" t="s">
        <v>16</v>
      </c>
      <c r="C136">
        <v>1.3</v>
      </c>
      <c r="D136" t="s">
        <v>17</v>
      </c>
      <c r="E136">
        <v>7.7</v>
      </c>
      <c r="F136">
        <v>1.9</v>
      </c>
      <c r="G136">
        <v>2.27</v>
      </c>
      <c r="H136">
        <v>1.5</v>
      </c>
      <c r="I136" t="s">
        <v>15</v>
      </c>
      <c r="J136">
        <v>7</v>
      </c>
      <c r="K136">
        <v>2</v>
      </c>
      <c r="L136">
        <v>2</v>
      </c>
      <c r="M136">
        <v>0</v>
      </c>
    </row>
    <row r="137" spans="1:13" x14ac:dyDescent="0.35">
      <c r="A137">
        <v>14</v>
      </c>
      <c r="B137" t="s">
        <v>16</v>
      </c>
      <c r="C137">
        <v>6.9</v>
      </c>
      <c r="D137" t="s">
        <v>17</v>
      </c>
      <c r="E137">
        <v>8</v>
      </c>
      <c r="F137">
        <v>1.6</v>
      </c>
      <c r="G137">
        <v>2.64</v>
      </c>
      <c r="H137">
        <v>0.1</v>
      </c>
      <c r="I137" t="s">
        <v>19</v>
      </c>
      <c r="J137">
        <v>3</v>
      </c>
      <c r="K137">
        <v>3</v>
      </c>
      <c r="L137">
        <v>3</v>
      </c>
      <c r="M137">
        <v>0</v>
      </c>
    </row>
    <row r="138" spans="1:13" x14ac:dyDescent="0.35">
      <c r="A138">
        <v>14</v>
      </c>
      <c r="B138" t="s">
        <v>16</v>
      </c>
      <c r="C138">
        <v>3.7</v>
      </c>
      <c r="D138" t="s">
        <v>17</v>
      </c>
      <c r="E138">
        <v>5.7</v>
      </c>
      <c r="F138">
        <v>1.7</v>
      </c>
      <c r="G138">
        <v>2.88</v>
      </c>
      <c r="H138">
        <v>0.2</v>
      </c>
      <c r="I138" t="s">
        <v>15</v>
      </c>
      <c r="J138">
        <v>9</v>
      </c>
      <c r="K138">
        <v>10</v>
      </c>
      <c r="L138">
        <v>3</v>
      </c>
      <c r="M138">
        <v>0</v>
      </c>
    </row>
    <row r="139" spans="1:13" x14ac:dyDescent="0.35">
      <c r="A139">
        <v>14</v>
      </c>
      <c r="B139" t="s">
        <v>16</v>
      </c>
      <c r="C139">
        <v>6.6</v>
      </c>
      <c r="D139" t="s">
        <v>17</v>
      </c>
      <c r="E139">
        <v>6.2</v>
      </c>
      <c r="F139">
        <v>1.8</v>
      </c>
      <c r="G139">
        <v>2.36</v>
      </c>
      <c r="H139">
        <v>1.7</v>
      </c>
      <c r="I139" t="s">
        <v>18</v>
      </c>
      <c r="J139">
        <v>4</v>
      </c>
      <c r="K139">
        <v>1</v>
      </c>
      <c r="L139">
        <v>8</v>
      </c>
      <c r="M139">
        <v>0</v>
      </c>
    </row>
    <row r="140" spans="1:13" x14ac:dyDescent="0.35">
      <c r="A140">
        <v>14</v>
      </c>
      <c r="B140" t="s">
        <v>16</v>
      </c>
      <c r="C140">
        <v>4.7</v>
      </c>
      <c r="D140" t="s">
        <v>17</v>
      </c>
      <c r="E140">
        <v>4.4000000000000004</v>
      </c>
      <c r="F140">
        <v>2.1</v>
      </c>
      <c r="G140">
        <v>3.92</v>
      </c>
      <c r="H140">
        <v>0.9</v>
      </c>
      <c r="I140" t="s">
        <v>15</v>
      </c>
      <c r="J140">
        <v>10</v>
      </c>
      <c r="K140">
        <v>1</v>
      </c>
      <c r="L140">
        <v>4</v>
      </c>
      <c r="M140">
        <v>0</v>
      </c>
    </row>
    <row r="141" spans="1:13" x14ac:dyDescent="0.35">
      <c r="A141">
        <v>14</v>
      </c>
      <c r="B141" t="s">
        <v>16</v>
      </c>
      <c r="C141">
        <v>3.7</v>
      </c>
      <c r="D141" t="s">
        <v>20</v>
      </c>
      <c r="E141">
        <v>7.1</v>
      </c>
      <c r="F141">
        <v>1.7</v>
      </c>
      <c r="G141">
        <v>2.5</v>
      </c>
      <c r="H141">
        <v>1.8</v>
      </c>
      <c r="I141" t="s">
        <v>19</v>
      </c>
      <c r="J141">
        <v>10</v>
      </c>
      <c r="K141">
        <v>4</v>
      </c>
      <c r="L141">
        <v>5</v>
      </c>
      <c r="M141">
        <v>0</v>
      </c>
    </row>
    <row r="142" spans="1:13" x14ac:dyDescent="0.35">
      <c r="A142">
        <v>14</v>
      </c>
      <c r="B142" t="s">
        <v>16</v>
      </c>
      <c r="C142">
        <v>6.1</v>
      </c>
      <c r="D142" t="s">
        <v>14</v>
      </c>
      <c r="E142">
        <v>7</v>
      </c>
      <c r="F142">
        <v>2.7</v>
      </c>
      <c r="G142">
        <v>3.97</v>
      </c>
      <c r="H142">
        <v>1</v>
      </c>
      <c r="I142" t="s">
        <v>19</v>
      </c>
      <c r="J142">
        <v>1</v>
      </c>
      <c r="K142">
        <v>8</v>
      </c>
      <c r="L142">
        <v>8</v>
      </c>
      <c r="M142">
        <v>0</v>
      </c>
    </row>
    <row r="143" spans="1:13" x14ac:dyDescent="0.35">
      <c r="A143">
        <v>14</v>
      </c>
      <c r="B143" t="s">
        <v>16</v>
      </c>
      <c r="C143">
        <v>1.3</v>
      </c>
      <c r="D143" t="s">
        <v>17</v>
      </c>
      <c r="E143">
        <v>7.5</v>
      </c>
      <c r="F143">
        <v>1.4</v>
      </c>
      <c r="G143">
        <v>3.85</v>
      </c>
      <c r="H143">
        <v>1.6</v>
      </c>
      <c r="I143" t="s">
        <v>19</v>
      </c>
      <c r="J143">
        <v>10</v>
      </c>
      <c r="K143">
        <v>8</v>
      </c>
      <c r="L143">
        <v>7</v>
      </c>
      <c r="M143">
        <v>0</v>
      </c>
    </row>
    <row r="144" spans="1:13" x14ac:dyDescent="0.35">
      <c r="A144">
        <v>14</v>
      </c>
      <c r="B144" t="s">
        <v>16</v>
      </c>
      <c r="C144">
        <v>7.3</v>
      </c>
      <c r="D144" t="s">
        <v>17</v>
      </c>
      <c r="E144">
        <v>8.8000000000000007</v>
      </c>
      <c r="F144">
        <v>2.5</v>
      </c>
      <c r="G144">
        <v>2.12</v>
      </c>
      <c r="H144">
        <v>0.5</v>
      </c>
      <c r="I144" t="s">
        <v>18</v>
      </c>
      <c r="J144">
        <v>10</v>
      </c>
      <c r="K144">
        <v>10</v>
      </c>
      <c r="L144">
        <v>1</v>
      </c>
      <c r="M144">
        <v>0</v>
      </c>
    </row>
    <row r="145" spans="1:13" x14ac:dyDescent="0.35">
      <c r="A145">
        <v>14</v>
      </c>
      <c r="B145" t="s">
        <v>16</v>
      </c>
      <c r="C145">
        <v>3.5</v>
      </c>
      <c r="D145" t="s">
        <v>14</v>
      </c>
      <c r="E145">
        <v>4.5999999999999996</v>
      </c>
      <c r="F145">
        <v>0.7</v>
      </c>
      <c r="G145">
        <v>2.74</v>
      </c>
      <c r="H145">
        <v>1</v>
      </c>
      <c r="I145" t="s">
        <v>15</v>
      </c>
      <c r="J145">
        <v>2</v>
      </c>
      <c r="K145">
        <v>7</v>
      </c>
      <c r="L145">
        <v>8</v>
      </c>
      <c r="M145">
        <v>0</v>
      </c>
    </row>
    <row r="146" spans="1:13" x14ac:dyDescent="0.35">
      <c r="A146">
        <v>14</v>
      </c>
      <c r="B146" t="s">
        <v>16</v>
      </c>
      <c r="C146">
        <v>1.2</v>
      </c>
      <c r="D146" t="s">
        <v>17</v>
      </c>
      <c r="E146">
        <v>8.5</v>
      </c>
      <c r="F146">
        <v>2.2999999999999998</v>
      </c>
      <c r="G146">
        <v>3.91</v>
      </c>
      <c r="H146">
        <v>1.8</v>
      </c>
      <c r="I146" t="s">
        <v>18</v>
      </c>
      <c r="J146">
        <v>1</v>
      </c>
      <c r="K146">
        <v>8</v>
      </c>
      <c r="L146">
        <v>1</v>
      </c>
      <c r="M146">
        <v>0</v>
      </c>
    </row>
    <row r="147" spans="1:13" x14ac:dyDescent="0.35">
      <c r="A147">
        <v>14</v>
      </c>
      <c r="B147" t="s">
        <v>16</v>
      </c>
      <c r="C147">
        <v>1.7</v>
      </c>
      <c r="D147" t="s">
        <v>17</v>
      </c>
      <c r="E147">
        <v>6.5</v>
      </c>
      <c r="F147">
        <v>2.7</v>
      </c>
      <c r="G147">
        <v>2.06</v>
      </c>
      <c r="H147">
        <v>0.1</v>
      </c>
      <c r="I147" t="s">
        <v>19</v>
      </c>
      <c r="J147">
        <v>9</v>
      </c>
      <c r="K147">
        <v>5</v>
      </c>
      <c r="L147">
        <v>9</v>
      </c>
      <c r="M147">
        <v>0</v>
      </c>
    </row>
    <row r="148" spans="1:13" x14ac:dyDescent="0.35">
      <c r="A148">
        <v>14</v>
      </c>
      <c r="B148" t="s">
        <v>16</v>
      </c>
      <c r="C148">
        <v>3.5</v>
      </c>
      <c r="D148" t="s">
        <v>20</v>
      </c>
      <c r="E148">
        <v>5.7</v>
      </c>
      <c r="F148">
        <v>2.4</v>
      </c>
      <c r="G148">
        <v>3.46</v>
      </c>
      <c r="H148">
        <v>0.9</v>
      </c>
      <c r="I148" t="s">
        <v>15</v>
      </c>
      <c r="J148">
        <v>8</v>
      </c>
      <c r="K148">
        <v>4</v>
      </c>
      <c r="L148">
        <v>10</v>
      </c>
      <c r="M148">
        <v>0</v>
      </c>
    </row>
    <row r="149" spans="1:13" x14ac:dyDescent="0.35">
      <c r="A149">
        <v>14</v>
      </c>
      <c r="B149" t="s">
        <v>16</v>
      </c>
      <c r="C149">
        <v>2.4</v>
      </c>
      <c r="D149" t="s">
        <v>17</v>
      </c>
      <c r="E149">
        <v>6.3</v>
      </c>
      <c r="F149">
        <v>2.8</v>
      </c>
      <c r="G149">
        <v>2.41</v>
      </c>
      <c r="H149">
        <v>0.7</v>
      </c>
      <c r="I149" t="s">
        <v>15</v>
      </c>
      <c r="J149">
        <v>9</v>
      </c>
      <c r="K149">
        <v>5</v>
      </c>
      <c r="L149">
        <v>2</v>
      </c>
      <c r="M149">
        <v>0</v>
      </c>
    </row>
    <row r="150" spans="1:13" x14ac:dyDescent="0.35">
      <c r="A150">
        <v>14</v>
      </c>
      <c r="B150" t="s">
        <v>16</v>
      </c>
      <c r="C150">
        <v>1.8</v>
      </c>
      <c r="D150" t="s">
        <v>14</v>
      </c>
      <c r="E150">
        <v>7.6</v>
      </c>
      <c r="F150">
        <v>1.2</v>
      </c>
      <c r="G150">
        <v>2.84</v>
      </c>
      <c r="H150">
        <v>1.1000000000000001</v>
      </c>
      <c r="I150" t="s">
        <v>18</v>
      </c>
      <c r="J150">
        <v>10</v>
      </c>
      <c r="K150">
        <v>1</v>
      </c>
      <c r="L150">
        <v>3</v>
      </c>
      <c r="M150">
        <v>0</v>
      </c>
    </row>
    <row r="151" spans="1:13" x14ac:dyDescent="0.35">
      <c r="A151">
        <v>14</v>
      </c>
      <c r="B151" t="s">
        <v>16</v>
      </c>
      <c r="C151">
        <v>7</v>
      </c>
      <c r="D151" t="s">
        <v>14</v>
      </c>
      <c r="E151">
        <v>6.9</v>
      </c>
      <c r="F151">
        <v>2.1</v>
      </c>
      <c r="G151">
        <v>3.42</v>
      </c>
      <c r="H151">
        <v>1.1000000000000001</v>
      </c>
      <c r="I151" t="s">
        <v>18</v>
      </c>
      <c r="J151">
        <v>10</v>
      </c>
      <c r="K151">
        <v>3</v>
      </c>
      <c r="L151">
        <v>6</v>
      </c>
      <c r="M151">
        <v>0</v>
      </c>
    </row>
    <row r="152" spans="1:13" x14ac:dyDescent="0.35">
      <c r="A152">
        <v>14</v>
      </c>
      <c r="B152" t="s">
        <v>16</v>
      </c>
      <c r="C152">
        <v>2</v>
      </c>
      <c r="D152" t="s">
        <v>14</v>
      </c>
      <c r="E152">
        <v>4.7</v>
      </c>
      <c r="F152">
        <v>1.1000000000000001</v>
      </c>
      <c r="G152">
        <v>2.5099999999999998</v>
      </c>
      <c r="H152">
        <v>0</v>
      </c>
      <c r="I152" t="s">
        <v>18</v>
      </c>
      <c r="J152">
        <v>2</v>
      </c>
      <c r="K152">
        <v>9</v>
      </c>
      <c r="L152">
        <v>4</v>
      </c>
      <c r="M152">
        <v>0</v>
      </c>
    </row>
    <row r="153" spans="1:13" x14ac:dyDescent="0.35">
      <c r="A153">
        <v>14</v>
      </c>
      <c r="B153" t="s">
        <v>16</v>
      </c>
      <c r="C153">
        <v>4.4000000000000004</v>
      </c>
      <c r="D153" t="s">
        <v>17</v>
      </c>
      <c r="E153">
        <v>5.0999999999999996</v>
      </c>
      <c r="F153">
        <v>2.8</v>
      </c>
      <c r="G153">
        <v>2.2200000000000002</v>
      </c>
      <c r="H153">
        <v>0.5</v>
      </c>
      <c r="I153" t="s">
        <v>18</v>
      </c>
      <c r="J153">
        <v>5</v>
      </c>
      <c r="K153">
        <v>4</v>
      </c>
      <c r="L153">
        <v>1</v>
      </c>
      <c r="M153">
        <v>0</v>
      </c>
    </row>
    <row r="154" spans="1:13" x14ac:dyDescent="0.35">
      <c r="A154">
        <v>13</v>
      </c>
      <c r="B154" t="s">
        <v>13</v>
      </c>
      <c r="C154">
        <v>7.5</v>
      </c>
      <c r="D154" t="s">
        <v>17</v>
      </c>
      <c r="E154">
        <v>4.8</v>
      </c>
      <c r="F154">
        <v>0.7</v>
      </c>
      <c r="G154">
        <v>2.91</v>
      </c>
      <c r="H154">
        <v>2</v>
      </c>
      <c r="I154" t="s">
        <v>18</v>
      </c>
      <c r="J154">
        <v>10</v>
      </c>
      <c r="K154">
        <v>9</v>
      </c>
      <c r="L154">
        <v>1</v>
      </c>
      <c r="M154">
        <v>1</v>
      </c>
    </row>
    <row r="155" spans="1:13" x14ac:dyDescent="0.35">
      <c r="A155">
        <v>14</v>
      </c>
      <c r="B155" t="s">
        <v>16</v>
      </c>
      <c r="C155">
        <v>7.2</v>
      </c>
      <c r="D155" t="s">
        <v>20</v>
      </c>
      <c r="E155">
        <v>7</v>
      </c>
      <c r="F155">
        <v>2.2999999999999998</v>
      </c>
      <c r="G155">
        <v>3.74</v>
      </c>
      <c r="H155">
        <v>0.7</v>
      </c>
      <c r="I155" t="s">
        <v>15</v>
      </c>
      <c r="J155">
        <v>8</v>
      </c>
      <c r="K155">
        <v>4</v>
      </c>
      <c r="L155">
        <v>7</v>
      </c>
      <c r="M155">
        <v>0</v>
      </c>
    </row>
    <row r="156" spans="1:13" x14ac:dyDescent="0.35">
      <c r="A156">
        <v>14</v>
      </c>
      <c r="B156" t="s">
        <v>16</v>
      </c>
      <c r="C156">
        <v>4.5999999999999996</v>
      </c>
      <c r="D156" t="s">
        <v>14</v>
      </c>
      <c r="E156">
        <v>5.9</v>
      </c>
      <c r="F156">
        <v>1.4</v>
      </c>
      <c r="G156">
        <v>2.15</v>
      </c>
      <c r="H156">
        <v>0.3</v>
      </c>
      <c r="I156" t="s">
        <v>18</v>
      </c>
      <c r="J156">
        <v>3</v>
      </c>
      <c r="K156">
        <v>10</v>
      </c>
      <c r="L156">
        <v>2</v>
      </c>
      <c r="M156">
        <v>0</v>
      </c>
    </row>
    <row r="157" spans="1:13" x14ac:dyDescent="0.35">
      <c r="A157">
        <v>14</v>
      </c>
      <c r="B157" t="s">
        <v>16</v>
      </c>
      <c r="C157">
        <v>7.2</v>
      </c>
      <c r="D157" t="s">
        <v>20</v>
      </c>
      <c r="E157">
        <v>5</v>
      </c>
      <c r="F157">
        <v>2.9</v>
      </c>
      <c r="G157">
        <v>3.76</v>
      </c>
      <c r="H157">
        <v>0.4</v>
      </c>
      <c r="I157" t="s">
        <v>19</v>
      </c>
      <c r="J157">
        <v>7</v>
      </c>
      <c r="K157">
        <v>4</v>
      </c>
      <c r="L157">
        <v>2</v>
      </c>
      <c r="M157">
        <v>0</v>
      </c>
    </row>
    <row r="158" spans="1:13" x14ac:dyDescent="0.35">
      <c r="A158">
        <v>14</v>
      </c>
      <c r="B158" t="s">
        <v>16</v>
      </c>
      <c r="C158">
        <v>2.9</v>
      </c>
      <c r="D158" t="s">
        <v>17</v>
      </c>
      <c r="E158">
        <v>5.8</v>
      </c>
      <c r="F158">
        <v>1.6</v>
      </c>
      <c r="G158">
        <v>3.34</v>
      </c>
      <c r="H158">
        <v>1.1000000000000001</v>
      </c>
      <c r="I158" t="s">
        <v>19</v>
      </c>
      <c r="J158">
        <v>6</v>
      </c>
      <c r="K158">
        <v>10</v>
      </c>
      <c r="L158">
        <v>3</v>
      </c>
      <c r="M158">
        <v>0</v>
      </c>
    </row>
    <row r="159" spans="1:13" x14ac:dyDescent="0.35">
      <c r="A159">
        <v>14</v>
      </c>
      <c r="B159" t="s">
        <v>16</v>
      </c>
      <c r="C159">
        <v>5.0999999999999996</v>
      </c>
      <c r="D159" t="s">
        <v>14</v>
      </c>
      <c r="E159">
        <v>5.3</v>
      </c>
      <c r="F159">
        <v>2.2999999999999998</v>
      </c>
      <c r="G159">
        <v>2.31</v>
      </c>
      <c r="H159">
        <v>0.2</v>
      </c>
      <c r="I159" t="s">
        <v>18</v>
      </c>
      <c r="J159">
        <v>3</v>
      </c>
      <c r="K159">
        <v>3</v>
      </c>
      <c r="L159">
        <v>6</v>
      </c>
      <c r="M159">
        <v>0</v>
      </c>
    </row>
    <row r="160" spans="1:13" x14ac:dyDescent="0.35">
      <c r="A160">
        <v>14</v>
      </c>
      <c r="B160" t="s">
        <v>16</v>
      </c>
      <c r="C160">
        <v>5</v>
      </c>
      <c r="D160" t="s">
        <v>14</v>
      </c>
      <c r="E160">
        <v>6.2</v>
      </c>
      <c r="F160">
        <v>1</v>
      </c>
      <c r="G160">
        <v>2</v>
      </c>
      <c r="H160">
        <v>1.5</v>
      </c>
      <c r="I160" t="s">
        <v>15</v>
      </c>
      <c r="J160">
        <v>5</v>
      </c>
      <c r="K160">
        <v>6</v>
      </c>
      <c r="L160">
        <v>1</v>
      </c>
      <c r="M160">
        <v>0</v>
      </c>
    </row>
    <row r="161" spans="1:13" x14ac:dyDescent="0.35">
      <c r="A161">
        <v>14</v>
      </c>
      <c r="B161" t="s">
        <v>16</v>
      </c>
      <c r="C161">
        <v>5.6</v>
      </c>
      <c r="D161" t="s">
        <v>17</v>
      </c>
      <c r="E161">
        <v>6.8</v>
      </c>
      <c r="F161">
        <v>2.2999999999999998</v>
      </c>
      <c r="G161">
        <v>2.66</v>
      </c>
      <c r="H161">
        <v>1.1000000000000001</v>
      </c>
      <c r="I161" t="s">
        <v>18</v>
      </c>
      <c r="J161">
        <v>7</v>
      </c>
      <c r="K161">
        <v>6</v>
      </c>
      <c r="L161">
        <v>2</v>
      </c>
      <c r="M161">
        <v>0</v>
      </c>
    </row>
    <row r="162" spans="1:13" x14ac:dyDescent="0.35">
      <c r="A162">
        <v>14</v>
      </c>
      <c r="B162" t="s">
        <v>16</v>
      </c>
      <c r="C162">
        <v>3.8</v>
      </c>
      <c r="D162" t="s">
        <v>14</v>
      </c>
      <c r="E162">
        <v>7.9</v>
      </c>
      <c r="F162">
        <v>1.2</v>
      </c>
      <c r="G162">
        <v>3.24</v>
      </c>
      <c r="H162">
        <v>1.6</v>
      </c>
      <c r="I162" t="s">
        <v>18</v>
      </c>
      <c r="J162">
        <v>6</v>
      </c>
      <c r="K162">
        <v>10</v>
      </c>
      <c r="L162">
        <v>5</v>
      </c>
      <c r="M162">
        <v>0</v>
      </c>
    </row>
    <row r="163" spans="1:13" x14ac:dyDescent="0.35">
      <c r="A163">
        <v>14</v>
      </c>
      <c r="B163" t="s">
        <v>16</v>
      </c>
      <c r="C163">
        <v>4.3</v>
      </c>
      <c r="D163" t="s">
        <v>20</v>
      </c>
      <c r="E163">
        <v>7.8</v>
      </c>
      <c r="F163">
        <v>0.5</v>
      </c>
      <c r="G163">
        <v>3.92</v>
      </c>
      <c r="H163">
        <v>0.7</v>
      </c>
      <c r="I163" t="s">
        <v>18</v>
      </c>
      <c r="J163">
        <v>3</v>
      </c>
      <c r="K163">
        <v>4</v>
      </c>
      <c r="L163">
        <v>8</v>
      </c>
      <c r="M163">
        <v>0</v>
      </c>
    </row>
    <row r="164" spans="1:13" x14ac:dyDescent="0.35">
      <c r="A164">
        <v>14</v>
      </c>
      <c r="B164" t="s">
        <v>16</v>
      </c>
      <c r="C164">
        <v>4.5999999999999996</v>
      </c>
      <c r="D164" t="s">
        <v>17</v>
      </c>
      <c r="E164">
        <v>7</v>
      </c>
      <c r="F164">
        <v>1.6</v>
      </c>
      <c r="G164">
        <v>2.74</v>
      </c>
      <c r="H164">
        <v>0.9</v>
      </c>
      <c r="I164" t="s">
        <v>15</v>
      </c>
      <c r="J164">
        <v>3</v>
      </c>
      <c r="K164">
        <v>2</v>
      </c>
      <c r="L164">
        <v>9</v>
      </c>
      <c r="M164">
        <v>0</v>
      </c>
    </row>
    <row r="165" spans="1:13" x14ac:dyDescent="0.35">
      <c r="A165">
        <v>14</v>
      </c>
      <c r="B165" t="s">
        <v>16</v>
      </c>
      <c r="C165">
        <v>5.7</v>
      </c>
      <c r="D165" t="s">
        <v>14</v>
      </c>
      <c r="E165">
        <v>6.7</v>
      </c>
      <c r="F165">
        <v>2.6</v>
      </c>
      <c r="G165">
        <v>2.35</v>
      </c>
      <c r="H165">
        <v>1.8</v>
      </c>
      <c r="I165" t="s">
        <v>18</v>
      </c>
      <c r="J165">
        <v>10</v>
      </c>
      <c r="K165">
        <v>10</v>
      </c>
      <c r="L165">
        <v>7</v>
      </c>
      <c r="M165">
        <v>0</v>
      </c>
    </row>
    <row r="166" spans="1:13" x14ac:dyDescent="0.35">
      <c r="A166">
        <v>14</v>
      </c>
      <c r="B166" t="s">
        <v>16</v>
      </c>
      <c r="C166">
        <v>3.5</v>
      </c>
      <c r="D166" t="s">
        <v>20</v>
      </c>
      <c r="E166">
        <v>5.3</v>
      </c>
      <c r="F166">
        <v>2.5</v>
      </c>
      <c r="G166">
        <v>2.29</v>
      </c>
      <c r="H166">
        <v>0.7</v>
      </c>
      <c r="I166" t="s">
        <v>15</v>
      </c>
      <c r="J166">
        <v>1</v>
      </c>
      <c r="K166">
        <v>10</v>
      </c>
      <c r="L166">
        <v>3</v>
      </c>
      <c r="M166">
        <v>0</v>
      </c>
    </row>
    <row r="167" spans="1:13" x14ac:dyDescent="0.35">
      <c r="A167">
        <v>14</v>
      </c>
      <c r="B167" t="s">
        <v>16</v>
      </c>
      <c r="C167">
        <v>4</v>
      </c>
      <c r="D167" t="s">
        <v>17</v>
      </c>
      <c r="E167">
        <v>4.0999999999999996</v>
      </c>
      <c r="F167">
        <v>0.9</v>
      </c>
      <c r="G167">
        <v>2.99</v>
      </c>
      <c r="H167">
        <v>1.9</v>
      </c>
      <c r="I167" t="s">
        <v>15</v>
      </c>
      <c r="J167">
        <v>2</v>
      </c>
      <c r="K167">
        <v>9</v>
      </c>
      <c r="L167">
        <v>10</v>
      </c>
      <c r="M167">
        <v>0</v>
      </c>
    </row>
    <row r="168" spans="1:13" x14ac:dyDescent="0.35">
      <c r="A168">
        <v>14</v>
      </c>
      <c r="B168" t="s">
        <v>16</v>
      </c>
      <c r="C168">
        <v>7.8</v>
      </c>
      <c r="D168" t="s">
        <v>17</v>
      </c>
      <c r="E168">
        <v>4.7</v>
      </c>
      <c r="F168">
        <v>2.2000000000000002</v>
      </c>
      <c r="G168">
        <v>3.53</v>
      </c>
      <c r="H168">
        <v>0.6</v>
      </c>
      <c r="I168" t="s">
        <v>15</v>
      </c>
      <c r="J168">
        <v>5</v>
      </c>
      <c r="K168">
        <v>8</v>
      </c>
      <c r="L168">
        <v>2</v>
      </c>
      <c r="M168">
        <v>0</v>
      </c>
    </row>
    <row r="169" spans="1:13" x14ac:dyDescent="0.35">
      <c r="A169">
        <v>14</v>
      </c>
      <c r="B169" t="s">
        <v>16</v>
      </c>
      <c r="C169">
        <v>1.1000000000000001</v>
      </c>
      <c r="D169" t="s">
        <v>20</v>
      </c>
      <c r="E169">
        <v>5.4</v>
      </c>
      <c r="F169">
        <v>1.6</v>
      </c>
      <c r="G169">
        <v>3.34</v>
      </c>
      <c r="H169">
        <v>1.5</v>
      </c>
      <c r="I169" t="s">
        <v>19</v>
      </c>
      <c r="J169">
        <v>4</v>
      </c>
      <c r="K169">
        <v>5</v>
      </c>
      <c r="L169">
        <v>8</v>
      </c>
      <c r="M169">
        <v>0</v>
      </c>
    </row>
    <row r="170" spans="1:13" x14ac:dyDescent="0.35">
      <c r="A170">
        <v>14</v>
      </c>
      <c r="B170" t="s">
        <v>16</v>
      </c>
      <c r="C170">
        <v>5.7</v>
      </c>
      <c r="D170" t="s">
        <v>17</v>
      </c>
      <c r="E170">
        <v>6.4</v>
      </c>
      <c r="F170">
        <v>1.9</v>
      </c>
      <c r="G170">
        <v>3.3</v>
      </c>
      <c r="H170">
        <v>1.3</v>
      </c>
      <c r="I170" t="s">
        <v>18</v>
      </c>
      <c r="J170">
        <v>6</v>
      </c>
      <c r="K170">
        <v>8</v>
      </c>
      <c r="L170">
        <v>5</v>
      </c>
      <c r="M170">
        <v>0</v>
      </c>
    </row>
    <row r="171" spans="1:13" x14ac:dyDescent="0.35">
      <c r="A171">
        <v>14</v>
      </c>
      <c r="B171" t="s">
        <v>16</v>
      </c>
      <c r="C171">
        <v>1.6</v>
      </c>
      <c r="D171" t="s">
        <v>17</v>
      </c>
      <c r="E171">
        <v>4.8</v>
      </c>
      <c r="F171">
        <v>2.4</v>
      </c>
      <c r="G171">
        <v>2.97</v>
      </c>
      <c r="H171">
        <v>1.9</v>
      </c>
      <c r="I171" t="s">
        <v>15</v>
      </c>
      <c r="J171">
        <v>9</v>
      </c>
      <c r="K171">
        <v>9</v>
      </c>
      <c r="L171">
        <v>10</v>
      </c>
      <c r="M171">
        <v>0</v>
      </c>
    </row>
    <row r="172" spans="1:13" x14ac:dyDescent="0.35">
      <c r="A172">
        <v>14</v>
      </c>
      <c r="B172" t="s">
        <v>16</v>
      </c>
      <c r="C172">
        <v>1.7</v>
      </c>
      <c r="D172" t="s">
        <v>20</v>
      </c>
      <c r="E172">
        <v>8.6999999999999993</v>
      </c>
      <c r="F172">
        <v>0.7</v>
      </c>
      <c r="G172">
        <v>3.98</v>
      </c>
      <c r="H172">
        <v>0.8</v>
      </c>
      <c r="I172" t="s">
        <v>18</v>
      </c>
      <c r="J172">
        <v>1</v>
      </c>
      <c r="K172">
        <v>1</v>
      </c>
      <c r="L172">
        <v>1</v>
      </c>
      <c r="M172">
        <v>0</v>
      </c>
    </row>
    <row r="173" spans="1:13" x14ac:dyDescent="0.35">
      <c r="A173">
        <v>15</v>
      </c>
      <c r="B173" t="s">
        <v>16</v>
      </c>
      <c r="C173">
        <v>4.7</v>
      </c>
      <c r="D173" t="s">
        <v>20</v>
      </c>
      <c r="E173">
        <v>4.9000000000000004</v>
      </c>
      <c r="F173">
        <v>3</v>
      </c>
      <c r="G173">
        <v>2.37</v>
      </c>
      <c r="H173">
        <v>1.4</v>
      </c>
      <c r="I173" t="s">
        <v>19</v>
      </c>
      <c r="J173">
        <v>3</v>
      </c>
      <c r="K173">
        <v>5</v>
      </c>
      <c r="L173">
        <v>2</v>
      </c>
      <c r="M173">
        <v>0</v>
      </c>
    </row>
    <row r="174" spans="1:13" x14ac:dyDescent="0.35">
      <c r="A174">
        <v>15</v>
      </c>
      <c r="B174" t="s">
        <v>16</v>
      </c>
      <c r="C174">
        <v>7.4</v>
      </c>
      <c r="D174" t="s">
        <v>14</v>
      </c>
      <c r="E174">
        <v>8.6</v>
      </c>
      <c r="F174">
        <v>0.9</v>
      </c>
      <c r="G174">
        <v>2.2999999999999998</v>
      </c>
      <c r="H174">
        <v>0</v>
      </c>
      <c r="I174" t="s">
        <v>15</v>
      </c>
      <c r="J174">
        <v>1</v>
      </c>
      <c r="K174">
        <v>5</v>
      </c>
      <c r="L174">
        <v>3</v>
      </c>
      <c r="M174">
        <v>0</v>
      </c>
    </row>
    <row r="175" spans="1:13" x14ac:dyDescent="0.35">
      <c r="A175">
        <v>15</v>
      </c>
      <c r="B175" t="s">
        <v>16</v>
      </c>
      <c r="C175">
        <v>1.5</v>
      </c>
      <c r="D175" t="s">
        <v>14</v>
      </c>
      <c r="E175">
        <v>4.7</v>
      </c>
      <c r="F175">
        <v>1</v>
      </c>
      <c r="G175">
        <v>3.82</v>
      </c>
      <c r="H175">
        <v>0.6</v>
      </c>
      <c r="I175" t="s">
        <v>19</v>
      </c>
      <c r="J175">
        <v>6</v>
      </c>
      <c r="K175">
        <v>1</v>
      </c>
      <c r="L175">
        <v>4</v>
      </c>
      <c r="M175">
        <v>0</v>
      </c>
    </row>
    <row r="176" spans="1:13" x14ac:dyDescent="0.35">
      <c r="A176">
        <v>15</v>
      </c>
      <c r="B176" t="s">
        <v>16</v>
      </c>
      <c r="C176">
        <v>1.8</v>
      </c>
      <c r="D176" t="s">
        <v>14</v>
      </c>
      <c r="E176">
        <v>6.4</v>
      </c>
      <c r="F176">
        <v>2.4</v>
      </c>
      <c r="G176">
        <v>2.16</v>
      </c>
      <c r="H176">
        <v>1.9</v>
      </c>
      <c r="I176" t="s">
        <v>19</v>
      </c>
      <c r="J176">
        <v>3</v>
      </c>
      <c r="K176">
        <v>6</v>
      </c>
      <c r="L176">
        <v>9</v>
      </c>
      <c r="M176">
        <v>0</v>
      </c>
    </row>
    <row r="177" spans="1:13" x14ac:dyDescent="0.35">
      <c r="A177">
        <v>15</v>
      </c>
      <c r="B177" t="s">
        <v>16</v>
      </c>
      <c r="C177">
        <v>4</v>
      </c>
      <c r="D177" t="s">
        <v>14</v>
      </c>
      <c r="E177">
        <v>8.1</v>
      </c>
      <c r="F177">
        <v>2.1</v>
      </c>
      <c r="G177">
        <v>2.0099999999999998</v>
      </c>
      <c r="H177">
        <v>0.4</v>
      </c>
      <c r="I177" t="s">
        <v>19</v>
      </c>
      <c r="J177">
        <v>4</v>
      </c>
      <c r="K177">
        <v>8</v>
      </c>
      <c r="L177">
        <v>8</v>
      </c>
      <c r="M177">
        <v>0</v>
      </c>
    </row>
    <row r="178" spans="1:13" x14ac:dyDescent="0.35">
      <c r="A178">
        <v>15</v>
      </c>
      <c r="B178" t="s">
        <v>16</v>
      </c>
      <c r="C178">
        <v>2.2999999999999998</v>
      </c>
      <c r="D178" t="s">
        <v>17</v>
      </c>
      <c r="E178">
        <v>6.5</v>
      </c>
      <c r="F178">
        <v>2.6</v>
      </c>
      <c r="G178">
        <v>3.18</v>
      </c>
      <c r="H178">
        <v>0.1</v>
      </c>
      <c r="I178" t="s">
        <v>15</v>
      </c>
      <c r="J178">
        <v>1</v>
      </c>
      <c r="K178">
        <v>8</v>
      </c>
      <c r="L178">
        <v>4</v>
      </c>
      <c r="M178">
        <v>0</v>
      </c>
    </row>
    <row r="179" spans="1:13" x14ac:dyDescent="0.35">
      <c r="A179">
        <v>15</v>
      </c>
      <c r="B179" t="s">
        <v>16</v>
      </c>
      <c r="C179">
        <v>1.1000000000000001</v>
      </c>
      <c r="D179" t="s">
        <v>17</v>
      </c>
      <c r="E179">
        <v>8.1999999999999993</v>
      </c>
      <c r="F179">
        <v>0.7</v>
      </c>
      <c r="G179">
        <v>2.94</v>
      </c>
      <c r="H179">
        <v>0.7</v>
      </c>
      <c r="I179" t="s">
        <v>18</v>
      </c>
      <c r="J179">
        <v>10</v>
      </c>
      <c r="K179">
        <v>7</v>
      </c>
      <c r="L179">
        <v>9</v>
      </c>
      <c r="M179">
        <v>0</v>
      </c>
    </row>
    <row r="180" spans="1:13" x14ac:dyDescent="0.35">
      <c r="A180">
        <v>15</v>
      </c>
      <c r="B180" t="s">
        <v>16</v>
      </c>
      <c r="C180">
        <v>2.7</v>
      </c>
      <c r="D180" t="s">
        <v>20</v>
      </c>
      <c r="E180">
        <v>8.8000000000000007</v>
      </c>
      <c r="F180">
        <v>1.9</v>
      </c>
      <c r="G180">
        <v>2.14</v>
      </c>
      <c r="H180">
        <v>0.4</v>
      </c>
      <c r="I180" t="s">
        <v>18</v>
      </c>
      <c r="J180">
        <v>8</v>
      </c>
      <c r="K180">
        <v>10</v>
      </c>
      <c r="L180">
        <v>3</v>
      </c>
      <c r="M180">
        <v>0</v>
      </c>
    </row>
    <row r="181" spans="1:13" x14ac:dyDescent="0.35">
      <c r="A181">
        <v>13</v>
      </c>
      <c r="B181" t="s">
        <v>13</v>
      </c>
      <c r="C181">
        <v>7.7</v>
      </c>
      <c r="D181" t="s">
        <v>14</v>
      </c>
      <c r="E181">
        <v>4.4000000000000004</v>
      </c>
      <c r="F181">
        <v>2</v>
      </c>
      <c r="G181">
        <v>3.09</v>
      </c>
      <c r="H181">
        <v>1</v>
      </c>
      <c r="I181" t="s">
        <v>18</v>
      </c>
      <c r="J181">
        <v>8</v>
      </c>
      <c r="K181">
        <v>7</v>
      </c>
      <c r="L181">
        <v>8</v>
      </c>
      <c r="M181">
        <v>1</v>
      </c>
    </row>
    <row r="182" spans="1:13" x14ac:dyDescent="0.35">
      <c r="A182">
        <v>15</v>
      </c>
      <c r="B182" t="s">
        <v>16</v>
      </c>
      <c r="C182">
        <v>1.5</v>
      </c>
      <c r="D182" t="s">
        <v>20</v>
      </c>
      <c r="E182">
        <v>8.6999999999999993</v>
      </c>
      <c r="F182">
        <v>1.2</v>
      </c>
      <c r="G182">
        <v>2.52</v>
      </c>
      <c r="H182">
        <v>0.1</v>
      </c>
      <c r="I182" t="s">
        <v>15</v>
      </c>
      <c r="J182">
        <v>9</v>
      </c>
      <c r="K182">
        <v>7</v>
      </c>
      <c r="L182">
        <v>2</v>
      </c>
      <c r="M182">
        <v>0</v>
      </c>
    </row>
    <row r="183" spans="1:13" x14ac:dyDescent="0.35">
      <c r="A183">
        <v>15</v>
      </c>
      <c r="B183" t="s">
        <v>16</v>
      </c>
      <c r="C183">
        <v>3.4</v>
      </c>
      <c r="D183" t="s">
        <v>14</v>
      </c>
      <c r="E183">
        <v>5</v>
      </c>
      <c r="F183">
        <v>1.8</v>
      </c>
      <c r="G183">
        <v>3.2</v>
      </c>
      <c r="H183">
        <v>1.5</v>
      </c>
      <c r="I183" t="s">
        <v>19</v>
      </c>
      <c r="J183">
        <v>4</v>
      </c>
      <c r="K183">
        <v>5</v>
      </c>
      <c r="L183">
        <v>1</v>
      </c>
      <c r="M183">
        <v>0</v>
      </c>
    </row>
    <row r="184" spans="1:13" x14ac:dyDescent="0.35">
      <c r="A184">
        <v>15</v>
      </c>
      <c r="B184" t="s">
        <v>16</v>
      </c>
      <c r="C184">
        <v>7.2</v>
      </c>
      <c r="D184" t="s">
        <v>17</v>
      </c>
      <c r="E184">
        <v>8</v>
      </c>
      <c r="F184">
        <v>1.4</v>
      </c>
      <c r="G184">
        <v>3.64</v>
      </c>
      <c r="H184">
        <v>0.4</v>
      </c>
      <c r="I184" t="s">
        <v>19</v>
      </c>
      <c r="J184">
        <v>10</v>
      </c>
      <c r="K184">
        <v>5</v>
      </c>
      <c r="L184">
        <v>7</v>
      </c>
      <c r="M184">
        <v>0</v>
      </c>
    </row>
    <row r="185" spans="1:13" x14ac:dyDescent="0.35">
      <c r="A185">
        <v>15</v>
      </c>
      <c r="B185" t="s">
        <v>16</v>
      </c>
      <c r="C185">
        <v>3.5</v>
      </c>
      <c r="D185" t="s">
        <v>14</v>
      </c>
      <c r="E185">
        <v>6.3</v>
      </c>
      <c r="F185">
        <v>0.8</v>
      </c>
      <c r="G185">
        <v>2.71</v>
      </c>
      <c r="H185">
        <v>1.8</v>
      </c>
      <c r="I185" t="s">
        <v>18</v>
      </c>
      <c r="J185">
        <v>7</v>
      </c>
      <c r="K185">
        <v>4</v>
      </c>
      <c r="L185">
        <v>2</v>
      </c>
      <c r="M185">
        <v>0</v>
      </c>
    </row>
    <row r="186" spans="1:13" x14ac:dyDescent="0.35">
      <c r="A186">
        <v>15</v>
      </c>
      <c r="B186" t="s">
        <v>16</v>
      </c>
      <c r="C186">
        <v>6.6</v>
      </c>
      <c r="D186" t="s">
        <v>20</v>
      </c>
      <c r="E186">
        <v>4.9000000000000004</v>
      </c>
      <c r="F186">
        <v>3</v>
      </c>
      <c r="G186">
        <v>2.99</v>
      </c>
      <c r="H186">
        <v>0.9</v>
      </c>
      <c r="I186" t="s">
        <v>19</v>
      </c>
      <c r="J186">
        <v>4</v>
      </c>
      <c r="K186">
        <v>8</v>
      </c>
      <c r="L186">
        <v>3</v>
      </c>
      <c r="M186">
        <v>0</v>
      </c>
    </row>
    <row r="187" spans="1:13" x14ac:dyDescent="0.35">
      <c r="A187">
        <v>15</v>
      </c>
      <c r="B187" t="s">
        <v>16</v>
      </c>
      <c r="C187">
        <v>1.2</v>
      </c>
      <c r="D187" t="s">
        <v>17</v>
      </c>
      <c r="E187">
        <v>8.1</v>
      </c>
      <c r="F187">
        <v>2</v>
      </c>
      <c r="G187">
        <v>3.33</v>
      </c>
      <c r="H187">
        <v>1.5</v>
      </c>
      <c r="I187" t="s">
        <v>19</v>
      </c>
      <c r="J187">
        <v>7</v>
      </c>
      <c r="K187">
        <v>3</v>
      </c>
      <c r="L187">
        <v>8</v>
      </c>
      <c r="M187">
        <v>0</v>
      </c>
    </row>
    <row r="188" spans="1:13" x14ac:dyDescent="0.35">
      <c r="A188">
        <v>15</v>
      </c>
      <c r="B188" t="s">
        <v>16</v>
      </c>
      <c r="C188">
        <v>1.8</v>
      </c>
      <c r="D188" t="s">
        <v>14</v>
      </c>
      <c r="E188">
        <v>8</v>
      </c>
      <c r="F188">
        <v>2.8</v>
      </c>
      <c r="G188">
        <v>3.49</v>
      </c>
      <c r="H188">
        <v>0.6</v>
      </c>
      <c r="I188" t="s">
        <v>15</v>
      </c>
      <c r="J188">
        <v>9</v>
      </c>
      <c r="K188">
        <v>8</v>
      </c>
      <c r="L188">
        <v>8</v>
      </c>
      <c r="M188">
        <v>0</v>
      </c>
    </row>
    <row r="189" spans="1:13" x14ac:dyDescent="0.35">
      <c r="A189">
        <v>15</v>
      </c>
      <c r="B189" t="s">
        <v>16</v>
      </c>
      <c r="C189">
        <v>6.7</v>
      </c>
      <c r="D189" t="s">
        <v>14</v>
      </c>
      <c r="E189">
        <v>7</v>
      </c>
      <c r="F189">
        <v>2.2000000000000002</v>
      </c>
      <c r="G189">
        <v>2.61</v>
      </c>
      <c r="H189">
        <v>0.7</v>
      </c>
      <c r="I189" t="s">
        <v>18</v>
      </c>
      <c r="J189">
        <v>2</v>
      </c>
      <c r="K189">
        <v>7</v>
      </c>
      <c r="L189">
        <v>8</v>
      </c>
      <c r="M189">
        <v>0</v>
      </c>
    </row>
    <row r="190" spans="1:13" x14ac:dyDescent="0.35">
      <c r="A190">
        <v>15</v>
      </c>
      <c r="B190" t="s">
        <v>16</v>
      </c>
      <c r="C190">
        <v>6.6</v>
      </c>
      <c r="D190" t="s">
        <v>17</v>
      </c>
      <c r="E190">
        <v>9</v>
      </c>
      <c r="F190">
        <v>1.5</v>
      </c>
      <c r="G190">
        <v>3.04</v>
      </c>
      <c r="H190">
        <v>1.5</v>
      </c>
      <c r="I190" t="s">
        <v>15</v>
      </c>
      <c r="J190">
        <v>4</v>
      </c>
      <c r="K190">
        <v>2</v>
      </c>
      <c r="L190">
        <v>7</v>
      </c>
      <c r="M190">
        <v>0</v>
      </c>
    </row>
    <row r="191" spans="1:13" x14ac:dyDescent="0.35">
      <c r="A191">
        <v>15</v>
      </c>
      <c r="B191" t="s">
        <v>16</v>
      </c>
      <c r="C191">
        <v>5.9</v>
      </c>
      <c r="D191" t="s">
        <v>20</v>
      </c>
      <c r="E191">
        <v>6.9</v>
      </c>
      <c r="F191">
        <v>1.4</v>
      </c>
      <c r="G191">
        <v>3.62</v>
      </c>
      <c r="H191">
        <v>1.5</v>
      </c>
      <c r="I191" t="s">
        <v>19</v>
      </c>
      <c r="J191">
        <v>3</v>
      </c>
      <c r="K191">
        <v>9</v>
      </c>
      <c r="L191">
        <v>1</v>
      </c>
      <c r="M191">
        <v>0</v>
      </c>
    </row>
    <row r="192" spans="1:13" x14ac:dyDescent="0.35">
      <c r="A192">
        <v>15</v>
      </c>
      <c r="B192" t="s">
        <v>16</v>
      </c>
      <c r="C192">
        <v>7</v>
      </c>
      <c r="D192" t="s">
        <v>14</v>
      </c>
      <c r="E192">
        <v>5.9</v>
      </c>
      <c r="F192">
        <v>1.3</v>
      </c>
      <c r="G192">
        <v>2.91</v>
      </c>
      <c r="H192">
        <v>1.2</v>
      </c>
      <c r="I192" t="s">
        <v>15</v>
      </c>
      <c r="J192">
        <v>10</v>
      </c>
      <c r="K192">
        <v>2</v>
      </c>
      <c r="L192">
        <v>6</v>
      </c>
      <c r="M192">
        <v>0</v>
      </c>
    </row>
    <row r="193" spans="1:13" x14ac:dyDescent="0.35">
      <c r="A193">
        <v>15</v>
      </c>
      <c r="B193" t="s">
        <v>16</v>
      </c>
      <c r="C193">
        <v>4.2</v>
      </c>
      <c r="D193" t="s">
        <v>14</v>
      </c>
      <c r="E193">
        <v>8.4</v>
      </c>
      <c r="F193">
        <v>1.2</v>
      </c>
      <c r="G193">
        <v>2.61</v>
      </c>
      <c r="H193">
        <v>0</v>
      </c>
      <c r="I193" t="s">
        <v>19</v>
      </c>
      <c r="J193">
        <v>3</v>
      </c>
      <c r="K193">
        <v>10</v>
      </c>
      <c r="L193">
        <v>2</v>
      </c>
      <c r="M193">
        <v>0</v>
      </c>
    </row>
    <row r="194" spans="1:13" x14ac:dyDescent="0.35">
      <c r="A194">
        <v>15</v>
      </c>
      <c r="B194" t="s">
        <v>16</v>
      </c>
      <c r="C194">
        <v>1.2</v>
      </c>
      <c r="D194" t="s">
        <v>14</v>
      </c>
      <c r="E194">
        <v>5.2</v>
      </c>
      <c r="F194">
        <v>1</v>
      </c>
      <c r="G194">
        <v>2.78</v>
      </c>
      <c r="H194">
        <v>1.3</v>
      </c>
      <c r="I194" t="s">
        <v>18</v>
      </c>
      <c r="J194">
        <v>5</v>
      </c>
      <c r="K194">
        <v>8</v>
      </c>
      <c r="L194">
        <v>10</v>
      </c>
      <c r="M194">
        <v>0</v>
      </c>
    </row>
    <row r="195" spans="1:13" x14ac:dyDescent="0.35">
      <c r="A195">
        <v>15</v>
      </c>
      <c r="B195" t="s">
        <v>16</v>
      </c>
      <c r="C195">
        <v>3.8</v>
      </c>
      <c r="D195" t="s">
        <v>14</v>
      </c>
      <c r="E195">
        <v>4.4000000000000004</v>
      </c>
      <c r="F195">
        <v>1.9</v>
      </c>
      <c r="G195">
        <v>2.04</v>
      </c>
      <c r="H195">
        <v>0.5</v>
      </c>
      <c r="I195" t="s">
        <v>19</v>
      </c>
      <c r="J195">
        <v>4</v>
      </c>
      <c r="K195">
        <v>9</v>
      </c>
      <c r="L195">
        <v>7</v>
      </c>
      <c r="M195">
        <v>0</v>
      </c>
    </row>
    <row r="196" spans="1:13" x14ac:dyDescent="0.35">
      <c r="A196">
        <v>15</v>
      </c>
      <c r="B196" t="s">
        <v>16</v>
      </c>
      <c r="C196">
        <v>4.2</v>
      </c>
      <c r="D196" t="s">
        <v>17</v>
      </c>
      <c r="E196">
        <v>6.8</v>
      </c>
      <c r="F196">
        <v>1.1000000000000001</v>
      </c>
      <c r="G196">
        <v>3.37</v>
      </c>
      <c r="H196">
        <v>0.7</v>
      </c>
      <c r="I196" t="s">
        <v>18</v>
      </c>
      <c r="J196">
        <v>3</v>
      </c>
      <c r="K196">
        <v>6</v>
      </c>
      <c r="L196">
        <v>8</v>
      </c>
      <c r="M196">
        <v>0</v>
      </c>
    </row>
    <row r="197" spans="1:13" x14ac:dyDescent="0.35">
      <c r="A197">
        <v>15</v>
      </c>
      <c r="B197" t="s">
        <v>16</v>
      </c>
      <c r="C197">
        <v>6.7</v>
      </c>
      <c r="D197" t="s">
        <v>20</v>
      </c>
      <c r="E197">
        <v>5</v>
      </c>
      <c r="F197">
        <v>0.6</v>
      </c>
      <c r="G197">
        <v>2.75</v>
      </c>
      <c r="H197">
        <v>1.5</v>
      </c>
      <c r="I197" t="s">
        <v>19</v>
      </c>
      <c r="J197">
        <v>7</v>
      </c>
      <c r="K197">
        <v>4</v>
      </c>
      <c r="L197">
        <v>8</v>
      </c>
      <c r="M197">
        <v>0</v>
      </c>
    </row>
    <row r="198" spans="1:13" x14ac:dyDescent="0.35">
      <c r="A198">
        <v>15</v>
      </c>
      <c r="B198" t="s">
        <v>16</v>
      </c>
      <c r="C198">
        <v>2.2999999999999998</v>
      </c>
      <c r="D198" t="s">
        <v>14</v>
      </c>
      <c r="E198">
        <v>5.6</v>
      </c>
      <c r="F198">
        <v>2.9</v>
      </c>
      <c r="G198">
        <v>2.72</v>
      </c>
      <c r="H198">
        <v>1</v>
      </c>
      <c r="I198" t="s">
        <v>18</v>
      </c>
      <c r="J198">
        <v>6</v>
      </c>
      <c r="K198">
        <v>6</v>
      </c>
      <c r="L198">
        <v>2</v>
      </c>
      <c r="M198">
        <v>0</v>
      </c>
    </row>
    <row r="199" spans="1:13" x14ac:dyDescent="0.35">
      <c r="A199">
        <v>15</v>
      </c>
      <c r="B199" t="s">
        <v>16</v>
      </c>
      <c r="C199">
        <v>4.2</v>
      </c>
      <c r="D199" t="s">
        <v>20</v>
      </c>
      <c r="E199">
        <v>7.1</v>
      </c>
      <c r="F199">
        <v>2.1</v>
      </c>
      <c r="G199">
        <v>2.21</v>
      </c>
      <c r="H199">
        <v>1.8</v>
      </c>
      <c r="I199" t="s">
        <v>19</v>
      </c>
      <c r="J199">
        <v>4</v>
      </c>
      <c r="K199">
        <v>1</v>
      </c>
      <c r="L199">
        <v>3</v>
      </c>
      <c r="M199">
        <v>0</v>
      </c>
    </row>
    <row r="200" spans="1:13" x14ac:dyDescent="0.35">
      <c r="A200">
        <v>15</v>
      </c>
      <c r="B200" t="s">
        <v>16</v>
      </c>
      <c r="C200">
        <v>5.5</v>
      </c>
      <c r="D200" t="s">
        <v>17</v>
      </c>
      <c r="E200">
        <v>7.8</v>
      </c>
      <c r="F200">
        <v>1.5</v>
      </c>
      <c r="G200">
        <v>2.79</v>
      </c>
      <c r="H200">
        <v>0.7</v>
      </c>
      <c r="I200" t="s">
        <v>18</v>
      </c>
      <c r="J200">
        <v>9</v>
      </c>
      <c r="K200">
        <v>10</v>
      </c>
      <c r="L200">
        <v>7</v>
      </c>
      <c r="M200">
        <v>0</v>
      </c>
    </row>
    <row r="201" spans="1:13" x14ac:dyDescent="0.35">
      <c r="A201">
        <v>15</v>
      </c>
      <c r="B201" t="s">
        <v>16</v>
      </c>
      <c r="C201">
        <v>5.7</v>
      </c>
      <c r="D201" t="s">
        <v>14</v>
      </c>
      <c r="E201">
        <v>7.5</v>
      </c>
      <c r="F201">
        <v>2.4</v>
      </c>
      <c r="G201">
        <v>2.84</v>
      </c>
      <c r="H201">
        <v>1.3</v>
      </c>
      <c r="I201" t="s">
        <v>19</v>
      </c>
      <c r="J201">
        <v>10</v>
      </c>
      <c r="K201">
        <v>10</v>
      </c>
      <c r="L201">
        <v>2</v>
      </c>
      <c r="M201">
        <v>0</v>
      </c>
    </row>
    <row r="202" spans="1:13" x14ac:dyDescent="0.35">
      <c r="A202">
        <v>15</v>
      </c>
      <c r="B202" t="s">
        <v>16</v>
      </c>
      <c r="C202">
        <v>2.7</v>
      </c>
      <c r="D202" t="s">
        <v>20</v>
      </c>
      <c r="E202">
        <v>6.5</v>
      </c>
      <c r="F202">
        <v>1.6</v>
      </c>
      <c r="G202">
        <v>2.14</v>
      </c>
      <c r="H202">
        <v>0.4</v>
      </c>
      <c r="I202" t="s">
        <v>18</v>
      </c>
      <c r="J202">
        <v>6</v>
      </c>
      <c r="K202">
        <v>6</v>
      </c>
      <c r="L202">
        <v>6</v>
      </c>
      <c r="M202">
        <v>0</v>
      </c>
    </row>
    <row r="203" spans="1:13" x14ac:dyDescent="0.35">
      <c r="A203">
        <v>15</v>
      </c>
      <c r="B203" t="s">
        <v>16</v>
      </c>
      <c r="C203">
        <v>5.4</v>
      </c>
      <c r="D203" t="s">
        <v>17</v>
      </c>
      <c r="E203">
        <v>7</v>
      </c>
      <c r="F203">
        <v>1.8</v>
      </c>
      <c r="G203">
        <v>2.54</v>
      </c>
      <c r="H203">
        <v>0.1</v>
      </c>
      <c r="I203" t="s">
        <v>15</v>
      </c>
      <c r="J203">
        <v>1</v>
      </c>
      <c r="K203">
        <v>4</v>
      </c>
      <c r="L203">
        <v>4</v>
      </c>
      <c r="M203">
        <v>0</v>
      </c>
    </row>
    <row r="204" spans="1:13" x14ac:dyDescent="0.35">
      <c r="A204">
        <v>15</v>
      </c>
      <c r="B204" t="s">
        <v>16</v>
      </c>
      <c r="C204">
        <v>3.9</v>
      </c>
      <c r="D204" t="s">
        <v>14</v>
      </c>
      <c r="E204">
        <v>6.4</v>
      </c>
      <c r="F204">
        <v>1.7</v>
      </c>
      <c r="G204">
        <v>2.87</v>
      </c>
      <c r="H204">
        <v>1.8</v>
      </c>
      <c r="I204" t="s">
        <v>18</v>
      </c>
      <c r="J204">
        <v>6</v>
      </c>
      <c r="K204">
        <v>6</v>
      </c>
      <c r="L204">
        <v>6</v>
      </c>
      <c r="M204">
        <v>0</v>
      </c>
    </row>
    <row r="205" spans="1:13" x14ac:dyDescent="0.35">
      <c r="A205">
        <v>15</v>
      </c>
      <c r="B205" t="s">
        <v>16</v>
      </c>
      <c r="C205">
        <v>4.5999999999999996</v>
      </c>
      <c r="D205" t="s">
        <v>20</v>
      </c>
      <c r="E205">
        <v>8.6</v>
      </c>
      <c r="F205">
        <v>2</v>
      </c>
      <c r="G205">
        <v>3.01</v>
      </c>
      <c r="H205">
        <v>0</v>
      </c>
      <c r="I205" t="s">
        <v>15</v>
      </c>
      <c r="J205">
        <v>1</v>
      </c>
      <c r="K205">
        <v>8</v>
      </c>
      <c r="L205">
        <v>3</v>
      </c>
      <c r="M205">
        <v>0</v>
      </c>
    </row>
    <row r="206" spans="1:13" x14ac:dyDescent="0.35">
      <c r="A206">
        <v>15</v>
      </c>
      <c r="B206" t="s">
        <v>16</v>
      </c>
      <c r="C206">
        <v>5.8</v>
      </c>
      <c r="D206" t="s">
        <v>14</v>
      </c>
      <c r="E206">
        <v>7.1</v>
      </c>
      <c r="F206">
        <v>1.1000000000000001</v>
      </c>
      <c r="G206">
        <v>3.72</v>
      </c>
      <c r="H206">
        <v>1.5</v>
      </c>
      <c r="I206" t="s">
        <v>15</v>
      </c>
      <c r="J206">
        <v>9</v>
      </c>
      <c r="K206">
        <v>6</v>
      </c>
      <c r="L206">
        <v>6</v>
      </c>
      <c r="M206">
        <v>0</v>
      </c>
    </row>
    <row r="207" spans="1:13" x14ac:dyDescent="0.35">
      <c r="A207">
        <v>15</v>
      </c>
      <c r="B207" t="s">
        <v>16</v>
      </c>
      <c r="C207">
        <v>2</v>
      </c>
      <c r="D207" t="s">
        <v>14</v>
      </c>
      <c r="E207">
        <v>4.7</v>
      </c>
      <c r="F207">
        <v>1.3</v>
      </c>
      <c r="G207">
        <v>3.55</v>
      </c>
      <c r="H207">
        <v>1.3</v>
      </c>
      <c r="I207" t="s">
        <v>15</v>
      </c>
      <c r="J207">
        <v>2</v>
      </c>
      <c r="K207">
        <v>6</v>
      </c>
      <c r="L207">
        <v>5</v>
      </c>
      <c r="M207">
        <v>0</v>
      </c>
    </row>
    <row r="208" spans="1:13" x14ac:dyDescent="0.35">
      <c r="A208">
        <v>15</v>
      </c>
      <c r="B208" t="s">
        <v>16</v>
      </c>
      <c r="C208">
        <v>3.2</v>
      </c>
      <c r="D208" t="s">
        <v>14</v>
      </c>
      <c r="E208">
        <v>4</v>
      </c>
      <c r="F208">
        <v>2</v>
      </c>
      <c r="G208">
        <v>3.25</v>
      </c>
      <c r="H208">
        <v>0.7</v>
      </c>
      <c r="I208" t="s">
        <v>15</v>
      </c>
      <c r="J208">
        <v>8</v>
      </c>
      <c r="K208">
        <v>4</v>
      </c>
      <c r="L208">
        <v>8</v>
      </c>
      <c r="M208">
        <v>0</v>
      </c>
    </row>
    <row r="209" spans="1:13" x14ac:dyDescent="0.35">
      <c r="A209">
        <v>15</v>
      </c>
      <c r="B209" t="s">
        <v>16</v>
      </c>
      <c r="C209">
        <v>4.5</v>
      </c>
      <c r="D209" t="s">
        <v>14</v>
      </c>
      <c r="E209">
        <v>7.7</v>
      </c>
      <c r="F209">
        <v>0.9</v>
      </c>
      <c r="G209">
        <v>2.61</v>
      </c>
      <c r="H209">
        <v>1.1000000000000001</v>
      </c>
      <c r="I209" t="s">
        <v>19</v>
      </c>
      <c r="J209">
        <v>9</v>
      </c>
      <c r="K209">
        <v>10</v>
      </c>
      <c r="L209">
        <v>4</v>
      </c>
      <c r="M209">
        <v>0</v>
      </c>
    </row>
    <row r="210" spans="1:13" x14ac:dyDescent="0.35">
      <c r="A210">
        <v>15</v>
      </c>
      <c r="B210" t="s">
        <v>16</v>
      </c>
      <c r="C210">
        <v>5.7</v>
      </c>
      <c r="D210" t="s">
        <v>14</v>
      </c>
      <c r="E210">
        <v>6.1</v>
      </c>
      <c r="F210">
        <v>0.7</v>
      </c>
      <c r="G210">
        <v>3.08</v>
      </c>
      <c r="H210">
        <v>0.6</v>
      </c>
      <c r="I210" t="s">
        <v>19</v>
      </c>
      <c r="J210">
        <v>5</v>
      </c>
      <c r="K210">
        <v>9</v>
      </c>
      <c r="L210">
        <v>7</v>
      </c>
      <c r="M210">
        <v>0</v>
      </c>
    </row>
    <row r="211" spans="1:13" x14ac:dyDescent="0.35">
      <c r="A211">
        <v>15</v>
      </c>
      <c r="B211" t="s">
        <v>16</v>
      </c>
      <c r="C211">
        <v>6.9</v>
      </c>
      <c r="D211" t="s">
        <v>17</v>
      </c>
      <c r="E211">
        <v>8.3000000000000007</v>
      </c>
      <c r="F211">
        <v>2.4</v>
      </c>
      <c r="G211">
        <v>3.34</v>
      </c>
      <c r="H211">
        <v>1.2</v>
      </c>
      <c r="I211" t="s">
        <v>18</v>
      </c>
      <c r="J211">
        <v>2</v>
      </c>
      <c r="K211">
        <v>4</v>
      </c>
      <c r="L211">
        <v>9</v>
      </c>
      <c r="M211">
        <v>0</v>
      </c>
    </row>
    <row r="212" spans="1:13" x14ac:dyDescent="0.35">
      <c r="A212">
        <v>15</v>
      </c>
      <c r="B212" t="s">
        <v>16</v>
      </c>
      <c r="C212">
        <v>2.7</v>
      </c>
      <c r="D212" t="s">
        <v>20</v>
      </c>
      <c r="E212">
        <v>8.5</v>
      </c>
      <c r="F212">
        <v>0.8</v>
      </c>
      <c r="G212">
        <v>2.91</v>
      </c>
      <c r="H212">
        <v>1.3</v>
      </c>
      <c r="I212" t="s">
        <v>15</v>
      </c>
      <c r="J212">
        <v>6</v>
      </c>
      <c r="K212">
        <v>3</v>
      </c>
      <c r="L212">
        <v>1</v>
      </c>
      <c r="M212">
        <v>0</v>
      </c>
    </row>
    <row r="213" spans="1:13" x14ac:dyDescent="0.35">
      <c r="A213">
        <v>15</v>
      </c>
      <c r="B213" t="s">
        <v>16</v>
      </c>
      <c r="C213">
        <v>4.5</v>
      </c>
      <c r="D213" t="s">
        <v>20</v>
      </c>
      <c r="E213">
        <v>5.4</v>
      </c>
      <c r="F213">
        <v>1.2</v>
      </c>
      <c r="G213">
        <v>3.76</v>
      </c>
      <c r="H213">
        <v>1.7</v>
      </c>
      <c r="I213" t="s">
        <v>18</v>
      </c>
      <c r="J213">
        <v>1</v>
      </c>
      <c r="K213">
        <v>8</v>
      </c>
      <c r="L213">
        <v>7</v>
      </c>
      <c r="M213">
        <v>0</v>
      </c>
    </row>
    <row r="214" spans="1:13" x14ac:dyDescent="0.35">
      <c r="A214">
        <v>15</v>
      </c>
      <c r="B214" t="s">
        <v>16</v>
      </c>
      <c r="C214">
        <v>5</v>
      </c>
      <c r="D214" t="s">
        <v>14</v>
      </c>
      <c r="E214">
        <v>7.6</v>
      </c>
      <c r="F214">
        <v>1.8</v>
      </c>
      <c r="G214">
        <v>2.52</v>
      </c>
      <c r="H214">
        <v>1.4</v>
      </c>
      <c r="I214" t="s">
        <v>18</v>
      </c>
      <c r="J214">
        <v>1</v>
      </c>
      <c r="K214">
        <v>4</v>
      </c>
      <c r="L214">
        <v>3</v>
      </c>
      <c r="M214">
        <v>0</v>
      </c>
    </row>
    <row r="215" spans="1:13" x14ac:dyDescent="0.35">
      <c r="A215">
        <v>14</v>
      </c>
      <c r="B215" t="s">
        <v>16</v>
      </c>
      <c r="C215">
        <v>5.3</v>
      </c>
      <c r="D215" t="s">
        <v>20</v>
      </c>
      <c r="E215">
        <v>4.7</v>
      </c>
      <c r="F215">
        <v>1.1000000000000001</v>
      </c>
      <c r="G215">
        <v>3.68</v>
      </c>
      <c r="H215">
        <v>1.8</v>
      </c>
      <c r="I215" t="s">
        <v>18</v>
      </c>
      <c r="J215">
        <v>10</v>
      </c>
      <c r="K215">
        <v>8</v>
      </c>
      <c r="L215">
        <v>10</v>
      </c>
      <c r="M215">
        <v>1</v>
      </c>
    </row>
    <row r="216" spans="1:13" x14ac:dyDescent="0.35">
      <c r="A216">
        <v>15</v>
      </c>
      <c r="B216" t="s">
        <v>16</v>
      </c>
      <c r="C216">
        <v>6.2</v>
      </c>
      <c r="D216" t="s">
        <v>20</v>
      </c>
      <c r="E216">
        <v>5.2</v>
      </c>
      <c r="F216">
        <v>1</v>
      </c>
      <c r="G216">
        <v>3.94</v>
      </c>
      <c r="H216">
        <v>1.4</v>
      </c>
      <c r="I216" t="s">
        <v>15</v>
      </c>
      <c r="J216">
        <v>5</v>
      </c>
      <c r="K216">
        <v>2</v>
      </c>
      <c r="L216">
        <v>7</v>
      </c>
      <c r="M216">
        <v>0</v>
      </c>
    </row>
    <row r="217" spans="1:13" x14ac:dyDescent="0.35">
      <c r="A217">
        <v>15</v>
      </c>
      <c r="B217" t="s">
        <v>16</v>
      </c>
      <c r="C217">
        <v>5.5</v>
      </c>
      <c r="D217" t="s">
        <v>20</v>
      </c>
      <c r="E217">
        <v>7.3</v>
      </c>
      <c r="F217">
        <v>2.5</v>
      </c>
      <c r="G217">
        <v>3.67</v>
      </c>
      <c r="H217">
        <v>0.5</v>
      </c>
      <c r="I217" t="s">
        <v>15</v>
      </c>
      <c r="J217">
        <v>4</v>
      </c>
      <c r="K217">
        <v>3</v>
      </c>
      <c r="L217">
        <v>6</v>
      </c>
      <c r="M217">
        <v>0</v>
      </c>
    </row>
    <row r="218" spans="1:13" x14ac:dyDescent="0.35">
      <c r="A218">
        <v>14</v>
      </c>
      <c r="B218" t="s">
        <v>16</v>
      </c>
      <c r="C218">
        <v>5.5</v>
      </c>
      <c r="D218" t="s">
        <v>20</v>
      </c>
      <c r="E218">
        <v>5.7</v>
      </c>
      <c r="F218">
        <v>2.2999999999999998</v>
      </c>
      <c r="G218">
        <v>3.05</v>
      </c>
      <c r="H218">
        <v>1.3</v>
      </c>
      <c r="I218" t="s">
        <v>19</v>
      </c>
      <c r="J218">
        <v>7</v>
      </c>
      <c r="K218">
        <v>8</v>
      </c>
      <c r="L218">
        <v>5</v>
      </c>
      <c r="M218">
        <v>1</v>
      </c>
    </row>
    <row r="219" spans="1:13" x14ac:dyDescent="0.35">
      <c r="A219">
        <v>15</v>
      </c>
      <c r="B219" t="s">
        <v>16</v>
      </c>
      <c r="C219">
        <v>5.7</v>
      </c>
      <c r="D219" t="s">
        <v>14</v>
      </c>
      <c r="E219">
        <v>8.4</v>
      </c>
      <c r="F219">
        <v>1.3</v>
      </c>
      <c r="G219">
        <v>2.48</v>
      </c>
      <c r="H219">
        <v>0.9</v>
      </c>
      <c r="I219" t="s">
        <v>18</v>
      </c>
      <c r="J219">
        <v>5</v>
      </c>
      <c r="K219">
        <v>2</v>
      </c>
      <c r="L219">
        <v>4</v>
      </c>
      <c r="M219">
        <v>0</v>
      </c>
    </row>
    <row r="220" spans="1:13" x14ac:dyDescent="0.35">
      <c r="A220">
        <v>15</v>
      </c>
      <c r="B220" t="s">
        <v>16</v>
      </c>
      <c r="C220">
        <v>4.2</v>
      </c>
      <c r="D220" t="s">
        <v>17</v>
      </c>
      <c r="E220">
        <v>5.5</v>
      </c>
      <c r="F220">
        <v>1.3</v>
      </c>
      <c r="G220">
        <v>3.49</v>
      </c>
      <c r="H220">
        <v>0.5</v>
      </c>
      <c r="I220" t="s">
        <v>15</v>
      </c>
      <c r="J220">
        <v>2</v>
      </c>
      <c r="K220">
        <v>5</v>
      </c>
      <c r="L220">
        <v>2</v>
      </c>
      <c r="M220">
        <v>0</v>
      </c>
    </row>
    <row r="221" spans="1:13" x14ac:dyDescent="0.35">
      <c r="A221">
        <v>15</v>
      </c>
      <c r="B221" t="s">
        <v>16</v>
      </c>
      <c r="C221">
        <v>7.3</v>
      </c>
      <c r="D221" t="s">
        <v>17</v>
      </c>
      <c r="E221">
        <v>7.3</v>
      </c>
      <c r="F221">
        <v>2.8</v>
      </c>
      <c r="G221">
        <v>2.46</v>
      </c>
      <c r="H221">
        <v>0.3</v>
      </c>
      <c r="I221" t="s">
        <v>15</v>
      </c>
      <c r="J221">
        <v>2</v>
      </c>
      <c r="K221">
        <v>7</v>
      </c>
      <c r="L221">
        <v>5</v>
      </c>
      <c r="M221">
        <v>0</v>
      </c>
    </row>
    <row r="222" spans="1:13" x14ac:dyDescent="0.35">
      <c r="A222">
        <v>15</v>
      </c>
      <c r="B222" t="s">
        <v>16</v>
      </c>
      <c r="C222">
        <v>3.1</v>
      </c>
      <c r="D222" t="s">
        <v>20</v>
      </c>
      <c r="E222">
        <v>4.2</v>
      </c>
      <c r="F222">
        <v>2.1</v>
      </c>
      <c r="G222">
        <v>3.21</v>
      </c>
      <c r="H222">
        <v>1.1000000000000001</v>
      </c>
      <c r="I222" t="s">
        <v>19</v>
      </c>
      <c r="J222">
        <v>8</v>
      </c>
      <c r="K222">
        <v>2</v>
      </c>
      <c r="L222">
        <v>10</v>
      </c>
      <c r="M222">
        <v>0</v>
      </c>
    </row>
    <row r="223" spans="1:13" x14ac:dyDescent="0.35">
      <c r="A223">
        <v>15</v>
      </c>
      <c r="B223" t="s">
        <v>16</v>
      </c>
      <c r="C223">
        <v>8</v>
      </c>
      <c r="D223" t="s">
        <v>14</v>
      </c>
      <c r="E223">
        <v>4.4000000000000004</v>
      </c>
      <c r="F223">
        <v>0.7</v>
      </c>
      <c r="G223">
        <v>2.62</v>
      </c>
      <c r="H223">
        <v>1.6</v>
      </c>
      <c r="I223" t="s">
        <v>18</v>
      </c>
      <c r="J223">
        <v>6</v>
      </c>
      <c r="K223">
        <v>7</v>
      </c>
      <c r="L223">
        <v>2</v>
      </c>
      <c r="M223">
        <v>0</v>
      </c>
    </row>
    <row r="224" spans="1:13" x14ac:dyDescent="0.35">
      <c r="A224">
        <v>15</v>
      </c>
      <c r="B224" t="s">
        <v>16</v>
      </c>
      <c r="C224">
        <v>1.1000000000000001</v>
      </c>
      <c r="D224" t="s">
        <v>14</v>
      </c>
      <c r="E224">
        <v>4.5999999999999996</v>
      </c>
      <c r="F224">
        <v>1.8</v>
      </c>
      <c r="G224">
        <v>2.35</v>
      </c>
      <c r="H224">
        <v>1.1000000000000001</v>
      </c>
      <c r="I224" t="s">
        <v>19</v>
      </c>
      <c r="J224">
        <v>10</v>
      </c>
      <c r="K224">
        <v>6</v>
      </c>
      <c r="L224">
        <v>6</v>
      </c>
      <c r="M224">
        <v>0</v>
      </c>
    </row>
    <row r="225" spans="1:13" x14ac:dyDescent="0.35">
      <c r="A225">
        <v>15</v>
      </c>
      <c r="B225" t="s">
        <v>16</v>
      </c>
      <c r="C225">
        <v>2.7</v>
      </c>
      <c r="D225" t="s">
        <v>20</v>
      </c>
      <c r="E225">
        <v>7.8</v>
      </c>
      <c r="F225">
        <v>1.8</v>
      </c>
      <c r="G225">
        <v>3.9</v>
      </c>
      <c r="H225">
        <v>1.4</v>
      </c>
      <c r="I225" t="s">
        <v>15</v>
      </c>
      <c r="J225">
        <v>5</v>
      </c>
      <c r="K225">
        <v>8</v>
      </c>
      <c r="L225">
        <v>9</v>
      </c>
      <c r="M225">
        <v>0</v>
      </c>
    </row>
    <row r="226" spans="1:13" x14ac:dyDescent="0.35">
      <c r="A226">
        <v>15</v>
      </c>
      <c r="B226" t="s">
        <v>16</v>
      </c>
      <c r="C226">
        <v>2.9</v>
      </c>
      <c r="D226" t="s">
        <v>17</v>
      </c>
      <c r="E226">
        <v>6.4</v>
      </c>
      <c r="F226">
        <v>0.7</v>
      </c>
      <c r="G226">
        <v>3.41</v>
      </c>
      <c r="H226">
        <v>1.6</v>
      </c>
      <c r="I226" t="s">
        <v>15</v>
      </c>
      <c r="J226">
        <v>3</v>
      </c>
      <c r="K226">
        <v>10</v>
      </c>
      <c r="L226">
        <v>7</v>
      </c>
      <c r="M226">
        <v>0</v>
      </c>
    </row>
    <row r="227" spans="1:13" x14ac:dyDescent="0.35">
      <c r="A227">
        <v>15</v>
      </c>
      <c r="B227" t="s">
        <v>16</v>
      </c>
      <c r="C227">
        <v>1.3</v>
      </c>
      <c r="D227" t="s">
        <v>17</v>
      </c>
      <c r="E227">
        <v>7.6</v>
      </c>
      <c r="F227">
        <v>0.6</v>
      </c>
      <c r="G227">
        <v>3.46</v>
      </c>
      <c r="H227">
        <v>1.9</v>
      </c>
      <c r="I227" t="s">
        <v>15</v>
      </c>
      <c r="J227">
        <v>1</v>
      </c>
      <c r="K227">
        <v>1</v>
      </c>
      <c r="L227">
        <v>4</v>
      </c>
      <c r="M227">
        <v>0</v>
      </c>
    </row>
    <row r="228" spans="1:13" x14ac:dyDescent="0.35">
      <c r="A228">
        <v>15</v>
      </c>
      <c r="B228" t="s">
        <v>16</v>
      </c>
      <c r="C228">
        <v>6.4</v>
      </c>
      <c r="D228" t="s">
        <v>14</v>
      </c>
      <c r="E228">
        <v>5.9</v>
      </c>
      <c r="F228">
        <v>1.6</v>
      </c>
      <c r="G228">
        <v>3.97</v>
      </c>
      <c r="H228">
        <v>1</v>
      </c>
      <c r="I228" t="s">
        <v>18</v>
      </c>
      <c r="J228">
        <v>10</v>
      </c>
      <c r="K228">
        <v>2</v>
      </c>
      <c r="L228">
        <v>6</v>
      </c>
      <c r="M228">
        <v>0</v>
      </c>
    </row>
    <row r="229" spans="1:13" x14ac:dyDescent="0.35">
      <c r="A229">
        <v>15</v>
      </c>
      <c r="B229" t="s">
        <v>16</v>
      </c>
      <c r="C229">
        <v>4.4000000000000004</v>
      </c>
      <c r="D229" t="s">
        <v>17</v>
      </c>
      <c r="E229">
        <v>5.3</v>
      </c>
      <c r="F229">
        <v>0.9</v>
      </c>
      <c r="G229">
        <v>3.75</v>
      </c>
      <c r="H229">
        <v>0.5</v>
      </c>
      <c r="I229" t="s">
        <v>18</v>
      </c>
      <c r="J229">
        <v>10</v>
      </c>
      <c r="K229">
        <v>5</v>
      </c>
      <c r="L229">
        <v>5</v>
      </c>
      <c r="M229">
        <v>0</v>
      </c>
    </row>
    <row r="230" spans="1:13" x14ac:dyDescent="0.35">
      <c r="A230">
        <v>15</v>
      </c>
      <c r="B230" t="s">
        <v>16</v>
      </c>
      <c r="C230">
        <v>3.1</v>
      </c>
      <c r="D230" t="s">
        <v>17</v>
      </c>
      <c r="E230">
        <v>4.2</v>
      </c>
      <c r="F230">
        <v>2.4</v>
      </c>
      <c r="G230">
        <v>3.41</v>
      </c>
      <c r="H230">
        <v>0.2</v>
      </c>
      <c r="I230" t="s">
        <v>15</v>
      </c>
      <c r="J230">
        <v>3</v>
      </c>
      <c r="K230">
        <v>7</v>
      </c>
      <c r="L230">
        <v>5</v>
      </c>
      <c r="M230">
        <v>0</v>
      </c>
    </row>
    <row r="231" spans="1:13" x14ac:dyDescent="0.35">
      <c r="A231">
        <v>15</v>
      </c>
      <c r="B231" t="s">
        <v>16</v>
      </c>
      <c r="C231">
        <v>2.8</v>
      </c>
      <c r="D231" t="s">
        <v>14</v>
      </c>
      <c r="E231">
        <v>7.7</v>
      </c>
      <c r="F231">
        <v>1</v>
      </c>
      <c r="G231">
        <v>3.73</v>
      </c>
      <c r="H231">
        <v>0.5</v>
      </c>
      <c r="I231" t="s">
        <v>19</v>
      </c>
      <c r="J231">
        <v>6</v>
      </c>
      <c r="K231">
        <v>10</v>
      </c>
      <c r="L231">
        <v>1</v>
      </c>
      <c r="M231">
        <v>0</v>
      </c>
    </row>
    <row r="232" spans="1:13" x14ac:dyDescent="0.35">
      <c r="A232">
        <v>15</v>
      </c>
      <c r="B232" t="s">
        <v>16</v>
      </c>
      <c r="C232">
        <v>4.8</v>
      </c>
      <c r="D232" t="s">
        <v>17</v>
      </c>
      <c r="E232">
        <v>7.3</v>
      </c>
      <c r="F232">
        <v>1.9</v>
      </c>
      <c r="G232">
        <v>2.76</v>
      </c>
      <c r="H232">
        <v>0.9</v>
      </c>
      <c r="I232" t="s">
        <v>18</v>
      </c>
      <c r="J232">
        <v>2</v>
      </c>
      <c r="K232">
        <v>10</v>
      </c>
      <c r="L232">
        <v>1</v>
      </c>
      <c r="M232">
        <v>0</v>
      </c>
    </row>
    <row r="233" spans="1:13" x14ac:dyDescent="0.35">
      <c r="A233">
        <v>15</v>
      </c>
      <c r="B233" t="s">
        <v>16</v>
      </c>
      <c r="C233">
        <v>3.9</v>
      </c>
      <c r="D233" t="s">
        <v>20</v>
      </c>
      <c r="E233">
        <v>8.6999999999999993</v>
      </c>
      <c r="F233">
        <v>1.1000000000000001</v>
      </c>
      <c r="G233">
        <v>2.82</v>
      </c>
      <c r="H233">
        <v>0.3</v>
      </c>
      <c r="I233" t="s">
        <v>18</v>
      </c>
      <c r="J233">
        <v>5</v>
      </c>
      <c r="K233">
        <v>10</v>
      </c>
      <c r="L233">
        <v>6</v>
      </c>
      <c r="M233">
        <v>0</v>
      </c>
    </row>
    <row r="234" spans="1:13" x14ac:dyDescent="0.35">
      <c r="A234">
        <v>15</v>
      </c>
      <c r="B234" t="s">
        <v>16</v>
      </c>
      <c r="C234">
        <v>4.2</v>
      </c>
      <c r="D234" t="s">
        <v>17</v>
      </c>
      <c r="E234">
        <v>6.8</v>
      </c>
      <c r="F234">
        <v>1.4</v>
      </c>
      <c r="G234">
        <v>2.0099999999999998</v>
      </c>
      <c r="H234">
        <v>1</v>
      </c>
      <c r="I234" t="s">
        <v>15</v>
      </c>
      <c r="J234">
        <v>6</v>
      </c>
      <c r="K234">
        <v>6</v>
      </c>
      <c r="L234">
        <v>4</v>
      </c>
      <c r="M234">
        <v>0</v>
      </c>
    </row>
    <row r="235" spans="1:13" x14ac:dyDescent="0.35">
      <c r="A235">
        <v>15</v>
      </c>
      <c r="B235" t="s">
        <v>16</v>
      </c>
      <c r="C235">
        <v>2.7</v>
      </c>
      <c r="D235" t="s">
        <v>17</v>
      </c>
      <c r="E235">
        <v>7.6</v>
      </c>
      <c r="F235">
        <v>2.5</v>
      </c>
      <c r="G235">
        <v>2.37</v>
      </c>
      <c r="H235">
        <v>1.9</v>
      </c>
      <c r="I235" t="s">
        <v>18</v>
      </c>
      <c r="J235">
        <v>1</v>
      </c>
      <c r="K235">
        <v>8</v>
      </c>
      <c r="L235">
        <v>7</v>
      </c>
      <c r="M235">
        <v>0</v>
      </c>
    </row>
    <row r="236" spans="1:13" x14ac:dyDescent="0.35">
      <c r="A236">
        <v>15</v>
      </c>
      <c r="B236" t="s">
        <v>16</v>
      </c>
      <c r="C236">
        <v>3.3</v>
      </c>
      <c r="D236" t="s">
        <v>14</v>
      </c>
      <c r="E236">
        <v>6.5</v>
      </c>
      <c r="F236">
        <v>1.3</v>
      </c>
      <c r="G236">
        <v>2.44</v>
      </c>
      <c r="H236">
        <v>0.3</v>
      </c>
      <c r="I236" t="s">
        <v>19</v>
      </c>
      <c r="J236">
        <v>7</v>
      </c>
      <c r="K236">
        <v>6</v>
      </c>
      <c r="L236">
        <v>7</v>
      </c>
      <c r="M236">
        <v>0</v>
      </c>
    </row>
    <row r="237" spans="1:13" x14ac:dyDescent="0.35">
      <c r="A237">
        <v>15</v>
      </c>
      <c r="B237" t="s">
        <v>16</v>
      </c>
      <c r="C237">
        <v>7.3</v>
      </c>
      <c r="D237" t="s">
        <v>20</v>
      </c>
      <c r="E237">
        <v>7.6</v>
      </c>
      <c r="F237">
        <v>1.9</v>
      </c>
      <c r="G237">
        <v>2.31</v>
      </c>
      <c r="H237">
        <v>0.8</v>
      </c>
      <c r="I237" t="s">
        <v>19</v>
      </c>
      <c r="J237">
        <v>8</v>
      </c>
      <c r="K237">
        <v>7</v>
      </c>
      <c r="L237">
        <v>5</v>
      </c>
      <c r="M237">
        <v>0</v>
      </c>
    </row>
    <row r="238" spans="1:13" x14ac:dyDescent="0.35">
      <c r="A238">
        <v>15</v>
      </c>
      <c r="B238" t="s">
        <v>16</v>
      </c>
      <c r="C238">
        <v>4.5999999999999996</v>
      </c>
      <c r="D238" t="s">
        <v>17</v>
      </c>
      <c r="E238">
        <v>5.3</v>
      </c>
      <c r="F238">
        <v>3</v>
      </c>
      <c r="G238">
        <v>3.25</v>
      </c>
      <c r="H238">
        <v>0.2</v>
      </c>
      <c r="I238" t="s">
        <v>15</v>
      </c>
      <c r="J238">
        <v>1</v>
      </c>
      <c r="K238">
        <v>8</v>
      </c>
      <c r="L238">
        <v>7</v>
      </c>
      <c r="M238">
        <v>0</v>
      </c>
    </row>
    <row r="239" spans="1:13" x14ac:dyDescent="0.35">
      <c r="A239">
        <v>15</v>
      </c>
      <c r="B239" t="s">
        <v>16</v>
      </c>
      <c r="C239">
        <v>2.6</v>
      </c>
      <c r="D239" t="s">
        <v>20</v>
      </c>
      <c r="E239">
        <v>7.9</v>
      </c>
      <c r="F239">
        <v>1.8</v>
      </c>
      <c r="G239">
        <v>3.91</v>
      </c>
      <c r="H239">
        <v>0.5</v>
      </c>
      <c r="I239" t="s">
        <v>19</v>
      </c>
      <c r="J239">
        <v>4</v>
      </c>
      <c r="K239">
        <v>5</v>
      </c>
      <c r="L239">
        <v>6</v>
      </c>
      <c r="M239">
        <v>0</v>
      </c>
    </row>
    <row r="240" spans="1:13" x14ac:dyDescent="0.35">
      <c r="A240">
        <v>15</v>
      </c>
      <c r="B240" t="s">
        <v>16</v>
      </c>
      <c r="C240">
        <v>1.8</v>
      </c>
      <c r="D240" t="s">
        <v>14</v>
      </c>
      <c r="E240">
        <v>5.5</v>
      </c>
      <c r="F240">
        <v>1.6</v>
      </c>
      <c r="G240">
        <v>3.29</v>
      </c>
      <c r="H240">
        <v>1.3</v>
      </c>
      <c r="I240" t="s">
        <v>19</v>
      </c>
      <c r="J240">
        <v>6</v>
      </c>
      <c r="K240">
        <v>5</v>
      </c>
      <c r="L240">
        <v>9</v>
      </c>
      <c r="M240">
        <v>0</v>
      </c>
    </row>
    <row r="241" spans="1:13" x14ac:dyDescent="0.35">
      <c r="A241">
        <v>15</v>
      </c>
      <c r="B241" t="s">
        <v>16</v>
      </c>
      <c r="C241">
        <v>7.4</v>
      </c>
      <c r="D241" t="s">
        <v>20</v>
      </c>
      <c r="E241">
        <v>8.4</v>
      </c>
      <c r="F241">
        <v>1.9</v>
      </c>
      <c r="G241">
        <v>3.73</v>
      </c>
      <c r="H241">
        <v>0.8</v>
      </c>
      <c r="I241" t="s">
        <v>18</v>
      </c>
      <c r="J241">
        <v>9</v>
      </c>
      <c r="K241">
        <v>9</v>
      </c>
      <c r="L241">
        <v>4</v>
      </c>
      <c r="M241">
        <v>0</v>
      </c>
    </row>
    <row r="242" spans="1:13" x14ac:dyDescent="0.35">
      <c r="A242">
        <v>15</v>
      </c>
      <c r="B242" t="s">
        <v>16</v>
      </c>
      <c r="C242">
        <v>3</v>
      </c>
      <c r="D242" t="s">
        <v>17</v>
      </c>
      <c r="E242">
        <v>6.6</v>
      </c>
      <c r="F242">
        <v>0.9</v>
      </c>
      <c r="G242">
        <v>2.69</v>
      </c>
      <c r="H242">
        <v>1.8</v>
      </c>
      <c r="I242" t="s">
        <v>19</v>
      </c>
      <c r="J242">
        <v>1</v>
      </c>
      <c r="K242">
        <v>2</v>
      </c>
      <c r="L242">
        <v>2</v>
      </c>
      <c r="M242">
        <v>0</v>
      </c>
    </row>
    <row r="243" spans="1:13" x14ac:dyDescent="0.35">
      <c r="A243">
        <v>15</v>
      </c>
      <c r="B243" t="s">
        <v>16</v>
      </c>
      <c r="C243">
        <v>5.6</v>
      </c>
      <c r="D243" t="s">
        <v>20</v>
      </c>
      <c r="E243">
        <v>5.9</v>
      </c>
      <c r="F243">
        <v>2</v>
      </c>
      <c r="G243">
        <v>2.97</v>
      </c>
      <c r="H243">
        <v>0.6</v>
      </c>
      <c r="I243" t="s">
        <v>15</v>
      </c>
      <c r="J243">
        <v>9</v>
      </c>
      <c r="K243">
        <v>3</v>
      </c>
      <c r="L243">
        <v>3</v>
      </c>
      <c r="M243">
        <v>0</v>
      </c>
    </row>
    <row r="244" spans="1:13" x14ac:dyDescent="0.35">
      <c r="A244">
        <v>15</v>
      </c>
      <c r="B244" t="s">
        <v>16</v>
      </c>
      <c r="C244">
        <v>5.7</v>
      </c>
      <c r="D244" t="s">
        <v>14</v>
      </c>
      <c r="E244">
        <v>7.2</v>
      </c>
      <c r="F244">
        <v>2.4</v>
      </c>
      <c r="G244">
        <v>2.1800000000000002</v>
      </c>
      <c r="H244">
        <v>1.6</v>
      </c>
      <c r="I244" t="s">
        <v>19</v>
      </c>
      <c r="J244">
        <v>5</v>
      </c>
      <c r="K244">
        <v>1</v>
      </c>
      <c r="L244">
        <v>7</v>
      </c>
      <c r="M244">
        <v>0</v>
      </c>
    </row>
    <row r="245" spans="1:13" x14ac:dyDescent="0.35">
      <c r="A245">
        <v>15</v>
      </c>
      <c r="B245" t="s">
        <v>16</v>
      </c>
      <c r="C245">
        <v>5</v>
      </c>
      <c r="D245" t="s">
        <v>17</v>
      </c>
      <c r="E245">
        <v>6.3</v>
      </c>
      <c r="F245">
        <v>1.5</v>
      </c>
      <c r="G245">
        <v>2.67</v>
      </c>
      <c r="H245">
        <v>1.1000000000000001</v>
      </c>
      <c r="I245" t="s">
        <v>18</v>
      </c>
      <c r="J245">
        <v>6</v>
      </c>
      <c r="K245">
        <v>2</v>
      </c>
      <c r="L245">
        <v>5</v>
      </c>
      <c r="M245">
        <v>0</v>
      </c>
    </row>
    <row r="246" spans="1:13" x14ac:dyDescent="0.35">
      <c r="A246">
        <v>14</v>
      </c>
      <c r="B246" t="s">
        <v>13</v>
      </c>
      <c r="C246">
        <v>6.2</v>
      </c>
      <c r="D246" t="s">
        <v>17</v>
      </c>
      <c r="E246">
        <v>4.4000000000000004</v>
      </c>
      <c r="F246">
        <v>0.7</v>
      </c>
      <c r="G246">
        <v>3.45</v>
      </c>
      <c r="H246">
        <v>0.5</v>
      </c>
      <c r="I246" t="s">
        <v>19</v>
      </c>
      <c r="J246">
        <v>9</v>
      </c>
      <c r="K246">
        <v>10</v>
      </c>
      <c r="L246">
        <v>3</v>
      </c>
      <c r="M246">
        <v>1</v>
      </c>
    </row>
    <row r="247" spans="1:13" x14ac:dyDescent="0.35">
      <c r="A247">
        <v>15</v>
      </c>
      <c r="B247" t="s">
        <v>16</v>
      </c>
      <c r="C247">
        <v>2.2000000000000002</v>
      </c>
      <c r="D247" t="s">
        <v>14</v>
      </c>
      <c r="E247">
        <v>7.5</v>
      </c>
      <c r="F247">
        <v>1.4</v>
      </c>
      <c r="G247">
        <v>3.19</v>
      </c>
      <c r="H247">
        <v>1.8</v>
      </c>
      <c r="I247" t="s">
        <v>15</v>
      </c>
      <c r="J247">
        <v>6</v>
      </c>
      <c r="K247">
        <v>1</v>
      </c>
      <c r="L247">
        <v>7</v>
      </c>
      <c r="M247">
        <v>0</v>
      </c>
    </row>
    <row r="248" spans="1:13" x14ac:dyDescent="0.35">
      <c r="A248">
        <v>15</v>
      </c>
      <c r="B248" t="s">
        <v>16</v>
      </c>
      <c r="C248">
        <v>5.5</v>
      </c>
      <c r="D248" t="s">
        <v>20</v>
      </c>
      <c r="E248">
        <v>4</v>
      </c>
      <c r="F248">
        <v>2.4</v>
      </c>
      <c r="G248">
        <v>3.01</v>
      </c>
      <c r="H248">
        <v>0.9</v>
      </c>
      <c r="I248" t="s">
        <v>15</v>
      </c>
      <c r="J248">
        <v>10</v>
      </c>
      <c r="K248">
        <v>3</v>
      </c>
      <c r="L248">
        <v>2</v>
      </c>
      <c r="M248">
        <v>0</v>
      </c>
    </row>
    <row r="249" spans="1:13" x14ac:dyDescent="0.35">
      <c r="A249">
        <v>15</v>
      </c>
      <c r="B249" t="s">
        <v>16</v>
      </c>
      <c r="C249">
        <v>3.6</v>
      </c>
      <c r="D249" t="s">
        <v>17</v>
      </c>
      <c r="E249">
        <v>7.1</v>
      </c>
      <c r="F249">
        <v>0.9</v>
      </c>
      <c r="G249">
        <v>2.84</v>
      </c>
      <c r="H249">
        <v>0.3</v>
      </c>
      <c r="I249" t="s">
        <v>15</v>
      </c>
      <c r="J249">
        <v>1</v>
      </c>
      <c r="K249">
        <v>9</v>
      </c>
      <c r="L249">
        <v>4</v>
      </c>
      <c r="M249">
        <v>0</v>
      </c>
    </row>
    <row r="250" spans="1:13" x14ac:dyDescent="0.35">
      <c r="A250">
        <v>15</v>
      </c>
      <c r="B250" t="s">
        <v>16</v>
      </c>
      <c r="C250">
        <v>7.3</v>
      </c>
      <c r="D250" t="s">
        <v>20</v>
      </c>
      <c r="E250">
        <v>5.7</v>
      </c>
      <c r="F250">
        <v>2.9</v>
      </c>
      <c r="G250">
        <v>3.48</v>
      </c>
      <c r="H250">
        <v>1.8</v>
      </c>
      <c r="I250" t="s">
        <v>19</v>
      </c>
      <c r="J250">
        <v>2</v>
      </c>
      <c r="K250">
        <v>7</v>
      </c>
      <c r="L250">
        <v>8</v>
      </c>
      <c r="M250">
        <v>0</v>
      </c>
    </row>
    <row r="251" spans="1:13" x14ac:dyDescent="0.35">
      <c r="A251">
        <v>15</v>
      </c>
      <c r="B251" t="s">
        <v>16</v>
      </c>
      <c r="C251">
        <v>6.4</v>
      </c>
      <c r="D251" t="s">
        <v>20</v>
      </c>
      <c r="E251">
        <v>7.7</v>
      </c>
      <c r="F251">
        <v>0.7</v>
      </c>
      <c r="G251">
        <v>3.86</v>
      </c>
      <c r="H251">
        <v>1.5</v>
      </c>
      <c r="I251" t="s">
        <v>18</v>
      </c>
      <c r="J251">
        <v>10</v>
      </c>
      <c r="K251">
        <v>2</v>
      </c>
      <c r="L251">
        <v>7</v>
      </c>
      <c r="M251">
        <v>0</v>
      </c>
    </row>
    <row r="252" spans="1:13" x14ac:dyDescent="0.35">
      <c r="A252">
        <v>15</v>
      </c>
      <c r="B252" t="s">
        <v>16</v>
      </c>
      <c r="C252">
        <v>7.8</v>
      </c>
      <c r="D252" t="s">
        <v>17</v>
      </c>
      <c r="E252">
        <v>5.3</v>
      </c>
      <c r="F252">
        <v>0.5</v>
      </c>
      <c r="G252">
        <v>2.3199999999999998</v>
      </c>
      <c r="H252">
        <v>0.8</v>
      </c>
      <c r="I252" t="s">
        <v>15</v>
      </c>
      <c r="J252">
        <v>8</v>
      </c>
      <c r="K252">
        <v>9</v>
      </c>
      <c r="L252">
        <v>3</v>
      </c>
      <c r="M252">
        <v>1</v>
      </c>
    </row>
    <row r="253" spans="1:13" x14ac:dyDescent="0.35">
      <c r="A253">
        <v>15</v>
      </c>
      <c r="B253" t="s">
        <v>16</v>
      </c>
      <c r="C253">
        <v>5.2</v>
      </c>
      <c r="D253" t="s">
        <v>17</v>
      </c>
      <c r="E253">
        <v>7.5</v>
      </c>
      <c r="F253">
        <v>1.1000000000000001</v>
      </c>
      <c r="G253">
        <v>3.61</v>
      </c>
      <c r="H253">
        <v>0.1</v>
      </c>
      <c r="I253" t="s">
        <v>15</v>
      </c>
      <c r="J253">
        <v>4</v>
      </c>
      <c r="K253">
        <v>6</v>
      </c>
      <c r="L253">
        <v>7</v>
      </c>
      <c r="M253">
        <v>0</v>
      </c>
    </row>
    <row r="254" spans="1:13" x14ac:dyDescent="0.35">
      <c r="A254">
        <v>15</v>
      </c>
      <c r="B254" t="s">
        <v>16</v>
      </c>
      <c r="C254">
        <v>3.5</v>
      </c>
      <c r="D254" t="s">
        <v>14</v>
      </c>
      <c r="E254">
        <v>8</v>
      </c>
      <c r="F254">
        <v>1.9</v>
      </c>
      <c r="G254">
        <v>3.45</v>
      </c>
      <c r="H254">
        <v>1.5</v>
      </c>
      <c r="I254" t="s">
        <v>18</v>
      </c>
      <c r="J254">
        <v>10</v>
      </c>
      <c r="K254">
        <v>4</v>
      </c>
      <c r="L254">
        <v>1</v>
      </c>
      <c r="M254">
        <v>0</v>
      </c>
    </row>
    <row r="255" spans="1:13" x14ac:dyDescent="0.35">
      <c r="A255">
        <v>15</v>
      </c>
      <c r="B255" t="s">
        <v>16</v>
      </c>
      <c r="C255">
        <v>1.1000000000000001</v>
      </c>
      <c r="D255" t="s">
        <v>14</v>
      </c>
      <c r="E255">
        <v>9</v>
      </c>
      <c r="F255">
        <v>1.2</v>
      </c>
      <c r="G255">
        <v>2.9</v>
      </c>
      <c r="H255">
        <v>1.8</v>
      </c>
      <c r="I255" t="s">
        <v>19</v>
      </c>
      <c r="J255">
        <v>5</v>
      </c>
      <c r="K255">
        <v>10</v>
      </c>
      <c r="L255">
        <v>2</v>
      </c>
      <c r="M255">
        <v>0</v>
      </c>
    </row>
    <row r="256" spans="1:13" x14ac:dyDescent="0.35">
      <c r="A256">
        <v>15</v>
      </c>
      <c r="B256" t="s">
        <v>16</v>
      </c>
      <c r="C256">
        <v>1.7</v>
      </c>
      <c r="D256" t="s">
        <v>14</v>
      </c>
      <c r="E256">
        <v>5.3</v>
      </c>
      <c r="F256">
        <v>1.5</v>
      </c>
      <c r="G256">
        <v>3.6</v>
      </c>
      <c r="H256">
        <v>1.5</v>
      </c>
      <c r="I256" t="s">
        <v>18</v>
      </c>
      <c r="J256">
        <v>6</v>
      </c>
      <c r="K256">
        <v>4</v>
      </c>
      <c r="L256">
        <v>3</v>
      </c>
      <c r="M256">
        <v>0</v>
      </c>
    </row>
    <row r="257" spans="1:13" x14ac:dyDescent="0.35">
      <c r="A257">
        <v>15</v>
      </c>
      <c r="B257" t="s">
        <v>16</v>
      </c>
      <c r="C257">
        <v>5.2</v>
      </c>
      <c r="D257" t="s">
        <v>14</v>
      </c>
      <c r="E257">
        <v>6.7</v>
      </c>
      <c r="F257">
        <v>3</v>
      </c>
      <c r="G257">
        <v>3.18</v>
      </c>
      <c r="H257">
        <v>0.6</v>
      </c>
      <c r="I257" t="s">
        <v>15</v>
      </c>
      <c r="J257">
        <v>9</v>
      </c>
      <c r="K257">
        <v>7</v>
      </c>
      <c r="L257">
        <v>9</v>
      </c>
      <c r="M257">
        <v>0</v>
      </c>
    </row>
    <row r="258" spans="1:13" x14ac:dyDescent="0.35">
      <c r="A258">
        <v>15</v>
      </c>
      <c r="B258" t="s">
        <v>16</v>
      </c>
      <c r="C258">
        <v>7.4</v>
      </c>
      <c r="D258" t="s">
        <v>17</v>
      </c>
      <c r="E258">
        <v>8.6</v>
      </c>
      <c r="F258">
        <v>1.4</v>
      </c>
      <c r="G258">
        <v>2.19</v>
      </c>
      <c r="H258">
        <v>1.8</v>
      </c>
      <c r="I258" t="s">
        <v>15</v>
      </c>
      <c r="J258">
        <v>10</v>
      </c>
      <c r="K258">
        <v>10</v>
      </c>
      <c r="L258">
        <v>1</v>
      </c>
      <c r="M258">
        <v>0</v>
      </c>
    </row>
    <row r="259" spans="1:13" x14ac:dyDescent="0.35">
      <c r="A259">
        <v>15</v>
      </c>
      <c r="B259" t="s">
        <v>16</v>
      </c>
      <c r="C259">
        <v>7.4</v>
      </c>
      <c r="D259" t="s">
        <v>17</v>
      </c>
      <c r="E259">
        <v>8.9</v>
      </c>
      <c r="F259">
        <v>2.9</v>
      </c>
      <c r="G259">
        <v>3.39</v>
      </c>
      <c r="H259">
        <v>1.1000000000000001</v>
      </c>
      <c r="I259" t="s">
        <v>18</v>
      </c>
      <c r="J259">
        <v>4</v>
      </c>
      <c r="K259">
        <v>9</v>
      </c>
      <c r="L259">
        <v>1</v>
      </c>
      <c r="M259">
        <v>0</v>
      </c>
    </row>
    <row r="260" spans="1:13" x14ac:dyDescent="0.35">
      <c r="A260">
        <v>15</v>
      </c>
      <c r="B260" t="s">
        <v>16</v>
      </c>
      <c r="C260">
        <v>1.1000000000000001</v>
      </c>
      <c r="D260" t="s">
        <v>17</v>
      </c>
      <c r="E260">
        <v>8.6</v>
      </c>
      <c r="F260">
        <v>2.2999999999999998</v>
      </c>
      <c r="G260">
        <v>3.68</v>
      </c>
      <c r="H260">
        <v>0.5</v>
      </c>
      <c r="I260" t="s">
        <v>15</v>
      </c>
      <c r="J260">
        <v>1</v>
      </c>
      <c r="K260">
        <v>2</v>
      </c>
      <c r="L260">
        <v>7</v>
      </c>
      <c r="M260">
        <v>0</v>
      </c>
    </row>
    <row r="261" spans="1:13" x14ac:dyDescent="0.35">
      <c r="A261">
        <v>15</v>
      </c>
      <c r="B261" t="s">
        <v>16</v>
      </c>
      <c r="C261">
        <v>7.9</v>
      </c>
      <c r="D261" t="s">
        <v>17</v>
      </c>
      <c r="E261">
        <v>4.7</v>
      </c>
      <c r="F261">
        <v>1.5</v>
      </c>
      <c r="G261">
        <v>3.3</v>
      </c>
      <c r="H261">
        <v>0</v>
      </c>
      <c r="I261" t="s">
        <v>15</v>
      </c>
      <c r="J261">
        <v>5</v>
      </c>
      <c r="K261">
        <v>8</v>
      </c>
      <c r="L261">
        <v>5</v>
      </c>
      <c r="M261">
        <v>0</v>
      </c>
    </row>
    <row r="262" spans="1:13" x14ac:dyDescent="0.35">
      <c r="A262">
        <v>16</v>
      </c>
      <c r="B262" t="s">
        <v>16</v>
      </c>
      <c r="C262">
        <v>6.7</v>
      </c>
      <c r="D262" t="s">
        <v>20</v>
      </c>
      <c r="E262">
        <v>6.8</v>
      </c>
      <c r="F262">
        <v>1.9</v>
      </c>
      <c r="G262">
        <v>3.08</v>
      </c>
      <c r="H262">
        <v>1.4</v>
      </c>
      <c r="I262" t="s">
        <v>18</v>
      </c>
      <c r="J262">
        <v>10</v>
      </c>
      <c r="K262">
        <v>9</v>
      </c>
      <c r="L262">
        <v>1</v>
      </c>
      <c r="M262">
        <v>0</v>
      </c>
    </row>
    <row r="263" spans="1:13" x14ac:dyDescent="0.35">
      <c r="A263">
        <v>16</v>
      </c>
      <c r="B263" t="s">
        <v>16</v>
      </c>
      <c r="C263">
        <v>3.4</v>
      </c>
      <c r="D263" t="s">
        <v>17</v>
      </c>
      <c r="E263">
        <v>7.8</v>
      </c>
      <c r="F263">
        <v>2.8</v>
      </c>
      <c r="G263">
        <v>3.83</v>
      </c>
      <c r="H263">
        <v>1.8</v>
      </c>
      <c r="I263" t="s">
        <v>19</v>
      </c>
      <c r="J263">
        <v>6</v>
      </c>
      <c r="K263">
        <v>6</v>
      </c>
      <c r="L263">
        <v>4</v>
      </c>
      <c r="M263">
        <v>0</v>
      </c>
    </row>
    <row r="264" spans="1:13" x14ac:dyDescent="0.35">
      <c r="A264">
        <v>16</v>
      </c>
      <c r="B264" t="s">
        <v>16</v>
      </c>
      <c r="C264">
        <v>3.1</v>
      </c>
      <c r="D264" t="s">
        <v>17</v>
      </c>
      <c r="E264">
        <v>5</v>
      </c>
      <c r="F264">
        <v>1.1000000000000001</v>
      </c>
      <c r="G264">
        <v>2.73</v>
      </c>
      <c r="H264">
        <v>1.6</v>
      </c>
      <c r="I264" t="s">
        <v>15</v>
      </c>
      <c r="J264">
        <v>2</v>
      </c>
      <c r="K264">
        <v>8</v>
      </c>
      <c r="L264">
        <v>1</v>
      </c>
      <c r="M264">
        <v>0</v>
      </c>
    </row>
    <row r="265" spans="1:13" x14ac:dyDescent="0.35">
      <c r="A265">
        <v>16</v>
      </c>
      <c r="B265" t="s">
        <v>16</v>
      </c>
      <c r="C265">
        <v>2</v>
      </c>
      <c r="D265" t="s">
        <v>14</v>
      </c>
      <c r="E265">
        <v>8.6999999999999993</v>
      </c>
      <c r="F265">
        <v>1.2</v>
      </c>
      <c r="G265">
        <v>3</v>
      </c>
      <c r="H265">
        <v>0</v>
      </c>
      <c r="I265" t="s">
        <v>15</v>
      </c>
      <c r="J265">
        <v>8</v>
      </c>
      <c r="K265">
        <v>8</v>
      </c>
      <c r="L265">
        <v>4</v>
      </c>
      <c r="M265">
        <v>0</v>
      </c>
    </row>
    <row r="266" spans="1:13" x14ac:dyDescent="0.35">
      <c r="A266">
        <v>16</v>
      </c>
      <c r="B266" t="s">
        <v>16</v>
      </c>
      <c r="C266">
        <v>2.6</v>
      </c>
      <c r="D266" t="s">
        <v>20</v>
      </c>
      <c r="E266">
        <v>8.6</v>
      </c>
      <c r="F266">
        <v>1.3</v>
      </c>
      <c r="G266">
        <v>3.64</v>
      </c>
      <c r="H266">
        <v>1.6</v>
      </c>
      <c r="I266" t="s">
        <v>18</v>
      </c>
      <c r="J266">
        <v>5</v>
      </c>
      <c r="K266">
        <v>3</v>
      </c>
      <c r="L266">
        <v>1</v>
      </c>
      <c r="M266">
        <v>0</v>
      </c>
    </row>
    <row r="267" spans="1:13" x14ac:dyDescent="0.35">
      <c r="A267">
        <v>16</v>
      </c>
      <c r="B267" t="s">
        <v>16</v>
      </c>
      <c r="C267">
        <v>2.6</v>
      </c>
      <c r="D267" t="s">
        <v>17</v>
      </c>
      <c r="E267">
        <v>8.8000000000000007</v>
      </c>
      <c r="F267">
        <v>1.7</v>
      </c>
      <c r="G267">
        <v>2.39</v>
      </c>
      <c r="H267">
        <v>1</v>
      </c>
      <c r="I267" t="s">
        <v>19</v>
      </c>
      <c r="J267">
        <v>5</v>
      </c>
      <c r="K267">
        <v>2</v>
      </c>
      <c r="L267">
        <v>6</v>
      </c>
      <c r="M267">
        <v>0</v>
      </c>
    </row>
    <row r="268" spans="1:13" x14ac:dyDescent="0.35">
      <c r="A268">
        <v>16</v>
      </c>
      <c r="B268" t="s">
        <v>16</v>
      </c>
      <c r="C268">
        <v>6.1</v>
      </c>
      <c r="D268" t="s">
        <v>20</v>
      </c>
      <c r="E268">
        <v>8.8000000000000007</v>
      </c>
      <c r="F268">
        <v>1.7</v>
      </c>
      <c r="G268">
        <v>3.55</v>
      </c>
      <c r="H268">
        <v>1.3</v>
      </c>
      <c r="I268" t="s">
        <v>19</v>
      </c>
      <c r="J268">
        <v>6</v>
      </c>
      <c r="K268">
        <v>10</v>
      </c>
      <c r="L268">
        <v>9</v>
      </c>
      <c r="M268">
        <v>0</v>
      </c>
    </row>
    <row r="269" spans="1:13" x14ac:dyDescent="0.35">
      <c r="A269">
        <v>16</v>
      </c>
      <c r="B269" t="s">
        <v>16</v>
      </c>
      <c r="C269">
        <v>6.8</v>
      </c>
      <c r="D269" t="s">
        <v>17</v>
      </c>
      <c r="E269">
        <v>7.2</v>
      </c>
      <c r="F269">
        <v>2.5</v>
      </c>
      <c r="G269">
        <v>3.61</v>
      </c>
      <c r="H269">
        <v>0.5</v>
      </c>
      <c r="I269" t="s">
        <v>19</v>
      </c>
      <c r="J269">
        <v>10</v>
      </c>
      <c r="K269">
        <v>1</v>
      </c>
      <c r="L269">
        <v>9</v>
      </c>
      <c r="M269">
        <v>0</v>
      </c>
    </row>
    <row r="270" spans="1:13" x14ac:dyDescent="0.35">
      <c r="A270">
        <v>16</v>
      </c>
      <c r="B270" t="s">
        <v>16</v>
      </c>
      <c r="C270">
        <v>4.2</v>
      </c>
      <c r="D270" t="s">
        <v>20</v>
      </c>
      <c r="E270">
        <v>7.3</v>
      </c>
      <c r="F270">
        <v>1.1000000000000001</v>
      </c>
      <c r="G270">
        <v>3.1</v>
      </c>
      <c r="H270">
        <v>1.6</v>
      </c>
      <c r="I270" t="s">
        <v>19</v>
      </c>
      <c r="J270">
        <v>1</v>
      </c>
      <c r="K270">
        <v>6</v>
      </c>
      <c r="L270">
        <v>2</v>
      </c>
      <c r="M270">
        <v>0</v>
      </c>
    </row>
    <row r="271" spans="1:13" x14ac:dyDescent="0.35">
      <c r="A271">
        <v>16</v>
      </c>
      <c r="B271" t="s">
        <v>16</v>
      </c>
      <c r="C271">
        <v>3.8</v>
      </c>
      <c r="D271" t="s">
        <v>17</v>
      </c>
      <c r="E271">
        <v>6</v>
      </c>
      <c r="F271">
        <v>3</v>
      </c>
      <c r="G271">
        <v>2.1</v>
      </c>
      <c r="H271">
        <v>0.2</v>
      </c>
      <c r="I271" t="s">
        <v>15</v>
      </c>
      <c r="J271">
        <v>7</v>
      </c>
      <c r="K271">
        <v>9</v>
      </c>
      <c r="L271">
        <v>1</v>
      </c>
      <c r="M271">
        <v>0</v>
      </c>
    </row>
    <row r="272" spans="1:13" x14ac:dyDescent="0.35">
      <c r="A272">
        <v>16</v>
      </c>
      <c r="B272" t="s">
        <v>16</v>
      </c>
      <c r="C272">
        <v>4</v>
      </c>
      <c r="D272" t="s">
        <v>14</v>
      </c>
      <c r="E272">
        <v>7.9</v>
      </c>
      <c r="F272">
        <v>1.9</v>
      </c>
      <c r="G272">
        <v>2.56</v>
      </c>
      <c r="H272">
        <v>0.1</v>
      </c>
      <c r="I272" t="s">
        <v>18</v>
      </c>
      <c r="J272">
        <v>4</v>
      </c>
      <c r="K272">
        <v>9</v>
      </c>
      <c r="L272">
        <v>9</v>
      </c>
      <c r="M272">
        <v>0</v>
      </c>
    </row>
    <row r="273" spans="1:13" x14ac:dyDescent="0.35">
      <c r="A273">
        <v>16</v>
      </c>
      <c r="B273" t="s">
        <v>16</v>
      </c>
      <c r="C273">
        <v>2.5</v>
      </c>
      <c r="D273" t="s">
        <v>17</v>
      </c>
      <c r="E273">
        <v>8.9</v>
      </c>
      <c r="F273">
        <v>2.9</v>
      </c>
      <c r="G273">
        <v>2.5299999999999998</v>
      </c>
      <c r="H273">
        <v>0.1</v>
      </c>
      <c r="I273" t="s">
        <v>18</v>
      </c>
      <c r="J273">
        <v>8</v>
      </c>
      <c r="K273">
        <v>7</v>
      </c>
      <c r="L273">
        <v>3</v>
      </c>
      <c r="M273">
        <v>0</v>
      </c>
    </row>
    <row r="274" spans="1:13" x14ac:dyDescent="0.35">
      <c r="A274">
        <v>16</v>
      </c>
      <c r="B274" t="s">
        <v>16</v>
      </c>
      <c r="C274">
        <v>2.4</v>
      </c>
      <c r="D274" t="s">
        <v>20</v>
      </c>
      <c r="E274">
        <v>6.2</v>
      </c>
      <c r="F274">
        <v>1.6</v>
      </c>
      <c r="G274">
        <v>2.38</v>
      </c>
      <c r="H274">
        <v>0</v>
      </c>
      <c r="I274" t="s">
        <v>19</v>
      </c>
      <c r="J274">
        <v>8</v>
      </c>
      <c r="K274">
        <v>4</v>
      </c>
      <c r="L274">
        <v>10</v>
      </c>
      <c r="M274">
        <v>0</v>
      </c>
    </row>
    <row r="275" spans="1:13" x14ac:dyDescent="0.35">
      <c r="A275">
        <v>16</v>
      </c>
      <c r="B275" t="s">
        <v>16</v>
      </c>
      <c r="C275">
        <v>7.8</v>
      </c>
      <c r="D275" t="s">
        <v>17</v>
      </c>
      <c r="E275">
        <v>4.7</v>
      </c>
      <c r="F275">
        <v>2.1</v>
      </c>
      <c r="G275">
        <v>2.48</v>
      </c>
      <c r="H275">
        <v>2</v>
      </c>
      <c r="I275" t="s">
        <v>15</v>
      </c>
      <c r="J275">
        <v>8</v>
      </c>
      <c r="K275">
        <v>3</v>
      </c>
      <c r="L275">
        <v>1</v>
      </c>
      <c r="M275">
        <v>0</v>
      </c>
    </row>
    <row r="276" spans="1:13" x14ac:dyDescent="0.35">
      <c r="A276">
        <v>16</v>
      </c>
      <c r="B276" t="s">
        <v>16</v>
      </c>
      <c r="C276">
        <v>6.1</v>
      </c>
      <c r="D276" t="s">
        <v>14</v>
      </c>
      <c r="E276">
        <v>8.1</v>
      </c>
      <c r="F276">
        <v>1.4</v>
      </c>
      <c r="G276">
        <v>3.27</v>
      </c>
      <c r="H276">
        <v>1.6</v>
      </c>
      <c r="I276" t="s">
        <v>15</v>
      </c>
      <c r="J276">
        <v>10</v>
      </c>
      <c r="K276">
        <v>1</v>
      </c>
      <c r="L276">
        <v>4</v>
      </c>
      <c r="M276">
        <v>0</v>
      </c>
    </row>
    <row r="277" spans="1:13" x14ac:dyDescent="0.35">
      <c r="A277">
        <v>16</v>
      </c>
      <c r="B277" t="s">
        <v>16</v>
      </c>
      <c r="C277">
        <v>1.4</v>
      </c>
      <c r="D277" t="s">
        <v>20</v>
      </c>
      <c r="E277">
        <v>5.2</v>
      </c>
      <c r="F277">
        <v>1.7</v>
      </c>
      <c r="G277">
        <v>3.82</v>
      </c>
      <c r="H277">
        <v>0.7</v>
      </c>
      <c r="I277" t="s">
        <v>15</v>
      </c>
      <c r="J277">
        <v>10</v>
      </c>
      <c r="K277">
        <v>4</v>
      </c>
      <c r="L277">
        <v>3</v>
      </c>
      <c r="M277">
        <v>0</v>
      </c>
    </row>
    <row r="278" spans="1:13" x14ac:dyDescent="0.35">
      <c r="A278">
        <v>16</v>
      </c>
      <c r="B278" t="s">
        <v>16</v>
      </c>
      <c r="C278">
        <v>7.3</v>
      </c>
      <c r="D278" t="s">
        <v>20</v>
      </c>
      <c r="E278">
        <v>7.2</v>
      </c>
      <c r="F278">
        <v>0.5</v>
      </c>
      <c r="G278">
        <v>2.78</v>
      </c>
      <c r="H278">
        <v>1.9</v>
      </c>
      <c r="I278" t="s">
        <v>15</v>
      </c>
      <c r="J278">
        <v>7</v>
      </c>
      <c r="K278">
        <v>3</v>
      </c>
      <c r="L278">
        <v>9</v>
      </c>
      <c r="M278">
        <v>0</v>
      </c>
    </row>
    <row r="279" spans="1:13" x14ac:dyDescent="0.35">
      <c r="A279">
        <v>16</v>
      </c>
      <c r="B279" t="s">
        <v>16</v>
      </c>
      <c r="C279">
        <v>5.7</v>
      </c>
      <c r="D279" t="s">
        <v>20</v>
      </c>
      <c r="E279">
        <v>4.2</v>
      </c>
      <c r="F279">
        <v>1.4</v>
      </c>
      <c r="G279">
        <v>2.56</v>
      </c>
      <c r="H279">
        <v>0.1</v>
      </c>
      <c r="I279" t="s">
        <v>18</v>
      </c>
      <c r="J279">
        <v>4</v>
      </c>
      <c r="K279">
        <v>3</v>
      </c>
      <c r="L279">
        <v>1</v>
      </c>
      <c r="M279">
        <v>0</v>
      </c>
    </row>
    <row r="280" spans="1:13" x14ac:dyDescent="0.35">
      <c r="A280">
        <v>16</v>
      </c>
      <c r="B280" t="s">
        <v>16</v>
      </c>
      <c r="C280">
        <v>4.3</v>
      </c>
      <c r="D280" t="s">
        <v>14</v>
      </c>
      <c r="E280">
        <v>6</v>
      </c>
      <c r="F280">
        <v>1.4</v>
      </c>
      <c r="G280">
        <v>2.98</v>
      </c>
      <c r="H280">
        <v>1.7</v>
      </c>
      <c r="I280" t="s">
        <v>15</v>
      </c>
      <c r="J280">
        <v>8</v>
      </c>
      <c r="K280">
        <v>7</v>
      </c>
      <c r="L280">
        <v>4</v>
      </c>
      <c r="M280">
        <v>0</v>
      </c>
    </row>
    <row r="281" spans="1:13" x14ac:dyDescent="0.35">
      <c r="A281">
        <v>16</v>
      </c>
      <c r="B281" t="s">
        <v>16</v>
      </c>
      <c r="C281">
        <v>2.9</v>
      </c>
      <c r="D281" t="s">
        <v>17</v>
      </c>
      <c r="E281">
        <v>6.3</v>
      </c>
      <c r="F281">
        <v>3</v>
      </c>
      <c r="G281">
        <v>2.6</v>
      </c>
      <c r="H281">
        <v>0.4</v>
      </c>
      <c r="I281" t="s">
        <v>19</v>
      </c>
      <c r="J281">
        <v>9</v>
      </c>
      <c r="K281">
        <v>7</v>
      </c>
      <c r="L281">
        <v>3</v>
      </c>
      <c r="M281">
        <v>0</v>
      </c>
    </row>
    <row r="282" spans="1:13" x14ac:dyDescent="0.35">
      <c r="A282">
        <v>16</v>
      </c>
      <c r="B282" t="s">
        <v>16</v>
      </c>
      <c r="C282">
        <v>6.5</v>
      </c>
      <c r="D282" t="s">
        <v>17</v>
      </c>
      <c r="E282">
        <v>5.3</v>
      </c>
      <c r="F282">
        <v>1.8</v>
      </c>
      <c r="G282">
        <v>2.29</v>
      </c>
      <c r="H282">
        <v>0.2</v>
      </c>
      <c r="I282" t="s">
        <v>18</v>
      </c>
      <c r="J282">
        <v>4</v>
      </c>
      <c r="K282">
        <v>10</v>
      </c>
      <c r="L282">
        <v>2</v>
      </c>
      <c r="M282">
        <v>0</v>
      </c>
    </row>
    <row r="283" spans="1:13" x14ac:dyDescent="0.35">
      <c r="A283">
        <v>16</v>
      </c>
      <c r="B283" t="s">
        <v>16</v>
      </c>
      <c r="C283">
        <v>7.5</v>
      </c>
      <c r="D283" t="s">
        <v>17</v>
      </c>
      <c r="E283">
        <v>7.8</v>
      </c>
      <c r="F283">
        <v>1.3</v>
      </c>
      <c r="G283">
        <v>2.73</v>
      </c>
      <c r="H283">
        <v>1.5</v>
      </c>
      <c r="I283" t="s">
        <v>19</v>
      </c>
      <c r="J283">
        <v>4</v>
      </c>
      <c r="K283">
        <v>5</v>
      </c>
      <c r="L283">
        <v>8</v>
      </c>
      <c r="M283">
        <v>0</v>
      </c>
    </row>
    <row r="284" spans="1:13" x14ac:dyDescent="0.35">
      <c r="A284">
        <v>16</v>
      </c>
      <c r="B284" t="s">
        <v>16</v>
      </c>
      <c r="C284">
        <v>3.1</v>
      </c>
      <c r="D284" t="s">
        <v>14</v>
      </c>
      <c r="E284">
        <v>7.9</v>
      </c>
      <c r="F284">
        <v>1.2</v>
      </c>
      <c r="G284">
        <v>2.85</v>
      </c>
      <c r="H284">
        <v>0.7</v>
      </c>
      <c r="I284" t="s">
        <v>18</v>
      </c>
      <c r="J284">
        <v>2</v>
      </c>
      <c r="K284">
        <v>2</v>
      </c>
      <c r="L284">
        <v>5</v>
      </c>
      <c r="M284">
        <v>0</v>
      </c>
    </row>
    <row r="285" spans="1:13" x14ac:dyDescent="0.35">
      <c r="A285">
        <v>16</v>
      </c>
      <c r="B285" t="s">
        <v>16</v>
      </c>
      <c r="C285">
        <v>7.8</v>
      </c>
      <c r="D285" t="s">
        <v>20</v>
      </c>
      <c r="E285">
        <v>7.4</v>
      </c>
      <c r="F285">
        <v>0.7</v>
      </c>
      <c r="G285">
        <v>2.54</v>
      </c>
      <c r="H285">
        <v>1.2</v>
      </c>
      <c r="I285" t="s">
        <v>19</v>
      </c>
      <c r="J285">
        <v>10</v>
      </c>
      <c r="K285">
        <v>4</v>
      </c>
      <c r="L285">
        <v>9</v>
      </c>
      <c r="M285">
        <v>0</v>
      </c>
    </row>
    <row r="286" spans="1:13" x14ac:dyDescent="0.35">
      <c r="A286">
        <v>16</v>
      </c>
      <c r="B286" t="s">
        <v>16</v>
      </c>
      <c r="C286">
        <v>1</v>
      </c>
      <c r="D286" t="s">
        <v>20</v>
      </c>
      <c r="E286">
        <v>4.0999999999999996</v>
      </c>
      <c r="F286">
        <v>1.3</v>
      </c>
      <c r="G286">
        <v>2.2200000000000002</v>
      </c>
      <c r="H286">
        <v>0.4</v>
      </c>
      <c r="I286" t="s">
        <v>15</v>
      </c>
      <c r="J286">
        <v>2</v>
      </c>
      <c r="K286">
        <v>1</v>
      </c>
      <c r="L286">
        <v>8</v>
      </c>
      <c r="M286">
        <v>0</v>
      </c>
    </row>
    <row r="287" spans="1:13" x14ac:dyDescent="0.35">
      <c r="A287">
        <v>16</v>
      </c>
      <c r="B287" t="s">
        <v>16</v>
      </c>
      <c r="C287">
        <v>6.3</v>
      </c>
      <c r="D287" t="s">
        <v>14</v>
      </c>
      <c r="E287">
        <v>6.9</v>
      </c>
      <c r="F287">
        <v>1.3</v>
      </c>
      <c r="G287">
        <v>2.15</v>
      </c>
      <c r="H287">
        <v>1.4</v>
      </c>
      <c r="I287" t="s">
        <v>15</v>
      </c>
      <c r="J287">
        <v>9</v>
      </c>
      <c r="K287">
        <v>2</v>
      </c>
      <c r="L287">
        <v>10</v>
      </c>
      <c r="M287">
        <v>0</v>
      </c>
    </row>
    <row r="288" spans="1:13" x14ac:dyDescent="0.35">
      <c r="A288">
        <v>16</v>
      </c>
      <c r="B288" t="s">
        <v>16</v>
      </c>
      <c r="C288">
        <v>1.3</v>
      </c>
      <c r="D288" t="s">
        <v>14</v>
      </c>
      <c r="E288">
        <v>4.9000000000000004</v>
      </c>
      <c r="F288">
        <v>2.6</v>
      </c>
      <c r="G288">
        <v>2.89</v>
      </c>
      <c r="H288">
        <v>0.2</v>
      </c>
      <c r="I288" t="s">
        <v>15</v>
      </c>
      <c r="J288">
        <v>2</v>
      </c>
      <c r="K288">
        <v>5</v>
      </c>
      <c r="L288">
        <v>2</v>
      </c>
      <c r="M288">
        <v>0</v>
      </c>
    </row>
    <row r="289" spans="1:13" x14ac:dyDescent="0.35">
      <c r="A289">
        <v>16</v>
      </c>
      <c r="B289" t="s">
        <v>16</v>
      </c>
      <c r="C289">
        <v>4.8</v>
      </c>
      <c r="D289" t="s">
        <v>14</v>
      </c>
      <c r="E289">
        <v>6.7</v>
      </c>
      <c r="F289">
        <v>1.4</v>
      </c>
      <c r="G289">
        <v>2.44</v>
      </c>
      <c r="H289">
        <v>0.3</v>
      </c>
      <c r="I289" t="s">
        <v>15</v>
      </c>
      <c r="J289">
        <v>1</v>
      </c>
      <c r="K289">
        <v>3</v>
      </c>
      <c r="L289">
        <v>1</v>
      </c>
      <c r="M289">
        <v>0</v>
      </c>
    </row>
    <row r="290" spans="1:13" x14ac:dyDescent="0.35">
      <c r="A290">
        <v>16</v>
      </c>
      <c r="B290" t="s">
        <v>16</v>
      </c>
      <c r="C290">
        <v>5.2</v>
      </c>
      <c r="D290" t="s">
        <v>20</v>
      </c>
      <c r="E290">
        <v>4</v>
      </c>
      <c r="F290">
        <v>2.4</v>
      </c>
      <c r="G290">
        <v>2.35</v>
      </c>
      <c r="H290">
        <v>1.6</v>
      </c>
      <c r="I290" t="s">
        <v>15</v>
      </c>
      <c r="J290">
        <v>10</v>
      </c>
      <c r="K290">
        <v>5</v>
      </c>
      <c r="L290">
        <v>2</v>
      </c>
      <c r="M290">
        <v>0</v>
      </c>
    </row>
    <row r="291" spans="1:13" x14ac:dyDescent="0.35">
      <c r="A291">
        <v>16</v>
      </c>
      <c r="B291" t="s">
        <v>16</v>
      </c>
      <c r="C291">
        <v>2.1</v>
      </c>
      <c r="D291" t="s">
        <v>17</v>
      </c>
      <c r="E291">
        <v>8.1999999999999993</v>
      </c>
      <c r="F291">
        <v>2.4</v>
      </c>
      <c r="G291">
        <v>3.25</v>
      </c>
      <c r="H291">
        <v>0.1</v>
      </c>
      <c r="I291" t="s">
        <v>18</v>
      </c>
      <c r="J291">
        <v>1</v>
      </c>
      <c r="K291">
        <v>1</v>
      </c>
      <c r="L291">
        <v>8</v>
      </c>
      <c r="M291">
        <v>0</v>
      </c>
    </row>
    <row r="292" spans="1:13" x14ac:dyDescent="0.35">
      <c r="A292">
        <v>16</v>
      </c>
      <c r="B292" t="s">
        <v>16</v>
      </c>
      <c r="C292">
        <v>6.4</v>
      </c>
      <c r="D292" t="s">
        <v>17</v>
      </c>
      <c r="E292">
        <v>5.9</v>
      </c>
      <c r="F292">
        <v>2.8</v>
      </c>
      <c r="G292">
        <v>3.81</v>
      </c>
      <c r="H292">
        <v>1.3</v>
      </c>
      <c r="I292" t="s">
        <v>18</v>
      </c>
      <c r="J292">
        <v>1</v>
      </c>
      <c r="K292">
        <v>3</v>
      </c>
      <c r="L292">
        <v>7</v>
      </c>
      <c r="M292">
        <v>0</v>
      </c>
    </row>
    <row r="293" spans="1:13" x14ac:dyDescent="0.35">
      <c r="A293">
        <v>16</v>
      </c>
      <c r="B293" t="s">
        <v>16</v>
      </c>
      <c r="C293">
        <v>2.8</v>
      </c>
      <c r="D293" t="s">
        <v>17</v>
      </c>
      <c r="E293">
        <v>7.1</v>
      </c>
      <c r="F293">
        <v>1.4</v>
      </c>
      <c r="G293">
        <v>3.85</v>
      </c>
      <c r="H293">
        <v>0.4</v>
      </c>
      <c r="I293" t="s">
        <v>18</v>
      </c>
      <c r="J293">
        <v>7</v>
      </c>
      <c r="K293">
        <v>9</v>
      </c>
      <c r="L293">
        <v>8</v>
      </c>
      <c r="M293">
        <v>0</v>
      </c>
    </row>
    <row r="294" spans="1:13" x14ac:dyDescent="0.35">
      <c r="A294">
        <v>16</v>
      </c>
      <c r="B294" t="s">
        <v>16</v>
      </c>
      <c r="C294">
        <v>1.5</v>
      </c>
      <c r="D294" t="s">
        <v>14</v>
      </c>
      <c r="E294">
        <v>8</v>
      </c>
      <c r="F294">
        <v>0.7</v>
      </c>
      <c r="G294">
        <v>2.1800000000000002</v>
      </c>
      <c r="H294">
        <v>0.6</v>
      </c>
      <c r="I294" t="s">
        <v>19</v>
      </c>
      <c r="J294">
        <v>4</v>
      </c>
      <c r="K294">
        <v>7</v>
      </c>
      <c r="L294">
        <v>5</v>
      </c>
      <c r="M294">
        <v>0</v>
      </c>
    </row>
    <row r="295" spans="1:13" x14ac:dyDescent="0.35">
      <c r="A295">
        <v>16</v>
      </c>
      <c r="B295" t="s">
        <v>16</v>
      </c>
      <c r="C295">
        <v>3.5</v>
      </c>
      <c r="D295" t="s">
        <v>20</v>
      </c>
      <c r="E295">
        <v>4.2</v>
      </c>
      <c r="F295">
        <v>1.5</v>
      </c>
      <c r="G295">
        <v>3.98</v>
      </c>
      <c r="H295">
        <v>0.4</v>
      </c>
      <c r="I295" t="s">
        <v>19</v>
      </c>
      <c r="J295">
        <v>1</v>
      </c>
      <c r="K295">
        <v>7</v>
      </c>
      <c r="L295">
        <v>2</v>
      </c>
      <c r="M295">
        <v>0</v>
      </c>
    </row>
    <row r="296" spans="1:13" x14ac:dyDescent="0.35">
      <c r="A296">
        <v>15</v>
      </c>
      <c r="B296" t="s">
        <v>16</v>
      </c>
      <c r="C296">
        <v>5.2</v>
      </c>
      <c r="D296" t="s">
        <v>17</v>
      </c>
      <c r="E296">
        <v>5.6</v>
      </c>
      <c r="F296">
        <v>1.5</v>
      </c>
      <c r="G296">
        <v>3.13</v>
      </c>
      <c r="H296">
        <v>0.1</v>
      </c>
      <c r="I296" t="s">
        <v>15</v>
      </c>
      <c r="J296">
        <v>7</v>
      </c>
      <c r="K296">
        <v>9</v>
      </c>
      <c r="L296">
        <v>4</v>
      </c>
      <c r="M296">
        <v>1</v>
      </c>
    </row>
    <row r="297" spans="1:13" x14ac:dyDescent="0.35">
      <c r="A297">
        <v>16</v>
      </c>
      <c r="B297" t="s">
        <v>16</v>
      </c>
      <c r="C297">
        <v>5.6</v>
      </c>
      <c r="D297" t="s">
        <v>17</v>
      </c>
      <c r="E297">
        <v>7.9</v>
      </c>
      <c r="F297">
        <v>2</v>
      </c>
      <c r="G297">
        <v>3.91</v>
      </c>
      <c r="H297">
        <v>0.6</v>
      </c>
      <c r="I297" t="s">
        <v>19</v>
      </c>
      <c r="J297">
        <v>7</v>
      </c>
      <c r="K297">
        <v>3</v>
      </c>
      <c r="L297">
        <v>10</v>
      </c>
      <c r="M297">
        <v>0</v>
      </c>
    </row>
    <row r="298" spans="1:13" x14ac:dyDescent="0.35">
      <c r="A298">
        <v>16</v>
      </c>
      <c r="B298" t="s">
        <v>16</v>
      </c>
      <c r="C298">
        <v>5.2</v>
      </c>
      <c r="D298" t="s">
        <v>17</v>
      </c>
      <c r="E298">
        <v>8.1</v>
      </c>
      <c r="F298">
        <v>2.1</v>
      </c>
      <c r="G298">
        <v>2.67</v>
      </c>
      <c r="H298">
        <v>1.7</v>
      </c>
      <c r="I298" t="s">
        <v>19</v>
      </c>
      <c r="J298">
        <v>9</v>
      </c>
      <c r="K298">
        <v>10</v>
      </c>
      <c r="L298">
        <v>10</v>
      </c>
      <c r="M298">
        <v>0</v>
      </c>
    </row>
    <row r="299" spans="1:13" x14ac:dyDescent="0.35">
      <c r="A299">
        <v>16</v>
      </c>
      <c r="B299" t="s">
        <v>16</v>
      </c>
      <c r="C299">
        <v>7.1</v>
      </c>
      <c r="D299" t="s">
        <v>17</v>
      </c>
      <c r="E299">
        <v>8.8000000000000007</v>
      </c>
      <c r="F299">
        <v>1.8</v>
      </c>
      <c r="G299">
        <v>3.99</v>
      </c>
      <c r="H299">
        <v>0.8</v>
      </c>
      <c r="I299" t="s">
        <v>15</v>
      </c>
      <c r="J299">
        <v>6</v>
      </c>
      <c r="K299">
        <v>10</v>
      </c>
      <c r="L299">
        <v>8</v>
      </c>
      <c r="M299">
        <v>0</v>
      </c>
    </row>
    <row r="300" spans="1:13" x14ac:dyDescent="0.35">
      <c r="A300">
        <v>16</v>
      </c>
      <c r="B300" t="s">
        <v>16</v>
      </c>
      <c r="C300">
        <v>3.8</v>
      </c>
      <c r="D300" t="s">
        <v>17</v>
      </c>
      <c r="E300">
        <v>5.3</v>
      </c>
      <c r="F300">
        <v>1.5</v>
      </c>
      <c r="G300">
        <v>2.04</v>
      </c>
      <c r="H300">
        <v>1.5</v>
      </c>
      <c r="I300" t="s">
        <v>18</v>
      </c>
      <c r="J300">
        <v>5</v>
      </c>
      <c r="K300">
        <v>10</v>
      </c>
      <c r="L300">
        <v>5</v>
      </c>
      <c r="M300">
        <v>0</v>
      </c>
    </row>
    <row r="301" spans="1:13" x14ac:dyDescent="0.35">
      <c r="A301">
        <v>16</v>
      </c>
      <c r="B301" t="s">
        <v>16</v>
      </c>
      <c r="C301">
        <v>6</v>
      </c>
      <c r="D301" t="s">
        <v>20</v>
      </c>
      <c r="E301">
        <v>8.6999999999999993</v>
      </c>
      <c r="F301">
        <v>1.5</v>
      </c>
      <c r="G301">
        <v>3.76</v>
      </c>
      <c r="H301">
        <v>0.1</v>
      </c>
      <c r="I301" t="s">
        <v>19</v>
      </c>
      <c r="J301">
        <v>2</v>
      </c>
      <c r="K301">
        <v>5</v>
      </c>
      <c r="L301">
        <v>4</v>
      </c>
      <c r="M301">
        <v>0</v>
      </c>
    </row>
    <row r="302" spans="1:13" x14ac:dyDescent="0.35">
      <c r="A302">
        <v>16</v>
      </c>
      <c r="B302" t="s">
        <v>16</v>
      </c>
      <c r="C302">
        <v>3.6</v>
      </c>
      <c r="D302" t="s">
        <v>14</v>
      </c>
      <c r="E302">
        <v>6.1</v>
      </c>
      <c r="F302">
        <v>2.8</v>
      </c>
      <c r="G302">
        <v>3.8</v>
      </c>
      <c r="H302">
        <v>0.1</v>
      </c>
      <c r="I302" t="s">
        <v>18</v>
      </c>
      <c r="J302">
        <v>2</v>
      </c>
      <c r="K302">
        <v>1</v>
      </c>
      <c r="L302">
        <v>7</v>
      </c>
      <c r="M302">
        <v>0</v>
      </c>
    </row>
    <row r="303" spans="1:13" x14ac:dyDescent="0.35">
      <c r="A303">
        <v>15</v>
      </c>
      <c r="B303" t="s">
        <v>16</v>
      </c>
      <c r="C303">
        <v>8</v>
      </c>
      <c r="D303" t="s">
        <v>20</v>
      </c>
      <c r="E303">
        <v>5.7</v>
      </c>
      <c r="F303">
        <v>1.3</v>
      </c>
      <c r="G303">
        <v>3.54</v>
      </c>
      <c r="H303">
        <v>0.1</v>
      </c>
      <c r="I303" t="s">
        <v>18</v>
      </c>
      <c r="J303">
        <v>9</v>
      </c>
      <c r="K303">
        <v>7</v>
      </c>
      <c r="L303">
        <v>5</v>
      </c>
      <c r="M303">
        <v>1</v>
      </c>
    </row>
    <row r="304" spans="1:13" x14ac:dyDescent="0.35">
      <c r="A304">
        <v>16</v>
      </c>
      <c r="B304" t="s">
        <v>16</v>
      </c>
      <c r="C304">
        <v>7.4</v>
      </c>
      <c r="D304" t="s">
        <v>14</v>
      </c>
      <c r="E304">
        <v>7.4</v>
      </c>
      <c r="F304">
        <v>0.9</v>
      </c>
      <c r="G304">
        <v>3.7</v>
      </c>
      <c r="H304">
        <v>1.3</v>
      </c>
      <c r="I304" t="s">
        <v>19</v>
      </c>
      <c r="J304">
        <v>10</v>
      </c>
      <c r="K304">
        <v>6</v>
      </c>
      <c r="L304">
        <v>2</v>
      </c>
      <c r="M304">
        <v>0</v>
      </c>
    </row>
    <row r="305" spans="1:13" x14ac:dyDescent="0.35">
      <c r="A305">
        <v>16</v>
      </c>
      <c r="B305" t="s">
        <v>16</v>
      </c>
      <c r="C305">
        <v>2.8</v>
      </c>
      <c r="D305" t="s">
        <v>17</v>
      </c>
      <c r="E305">
        <v>7.4</v>
      </c>
      <c r="F305">
        <v>2</v>
      </c>
      <c r="G305">
        <v>3.4</v>
      </c>
      <c r="H305">
        <v>1.6</v>
      </c>
      <c r="I305" t="s">
        <v>15</v>
      </c>
      <c r="J305">
        <v>4</v>
      </c>
      <c r="K305">
        <v>1</v>
      </c>
      <c r="L305">
        <v>1</v>
      </c>
      <c r="M305">
        <v>0</v>
      </c>
    </row>
    <row r="306" spans="1:13" x14ac:dyDescent="0.35">
      <c r="A306">
        <v>16</v>
      </c>
      <c r="B306" t="s">
        <v>16</v>
      </c>
      <c r="C306">
        <v>3.4</v>
      </c>
      <c r="D306" t="s">
        <v>14</v>
      </c>
      <c r="E306">
        <v>5.3</v>
      </c>
      <c r="F306">
        <v>1.8</v>
      </c>
      <c r="G306">
        <v>3.33</v>
      </c>
      <c r="H306">
        <v>0.3</v>
      </c>
      <c r="I306" t="s">
        <v>15</v>
      </c>
      <c r="J306">
        <v>9</v>
      </c>
      <c r="K306">
        <v>2</v>
      </c>
      <c r="L306">
        <v>4</v>
      </c>
      <c r="M306">
        <v>0</v>
      </c>
    </row>
    <row r="307" spans="1:13" x14ac:dyDescent="0.35">
      <c r="A307">
        <v>16</v>
      </c>
      <c r="B307" t="s">
        <v>16</v>
      </c>
      <c r="C307">
        <v>4</v>
      </c>
      <c r="D307" t="s">
        <v>17</v>
      </c>
      <c r="E307">
        <v>5.4</v>
      </c>
      <c r="F307">
        <v>2.7</v>
      </c>
      <c r="G307">
        <v>2.88</v>
      </c>
      <c r="H307">
        <v>1.2</v>
      </c>
      <c r="I307" t="s">
        <v>19</v>
      </c>
      <c r="J307">
        <v>4</v>
      </c>
      <c r="K307">
        <v>10</v>
      </c>
      <c r="L307">
        <v>1</v>
      </c>
      <c r="M307">
        <v>0</v>
      </c>
    </row>
    <row r="308" spans="1:13" x14ac:dyDescent="0.35">
      <c r="A308">
        <v>16</v>
      </c>
      <c r="B308" t="s">
        <v>16</v>
      </c>
      <c r="C308">
        <v>2.5</v>
      </c>
      <c r="D308" t="s">
        <v>14</v>
      </c>
      <c r="E308">
        <v>5.4</v>
      </c>
      <c r="F308">
        <v>2.2999999999999998</v>
      </c>
      <c r="G308">
        <v>3.43</v>
      </c>
      <c r="H308">
        <v>0.5</v>
      </c>
      <c r="I308" t="s">
        <v>18</v>
      </c>
      <c r="J308">
        <v>9</v>
      </c>
      <c r="K308">
        <v>1</v>
      </c>
      <c r="L308">
        <v>2</v>
      </c>
      <c r="M308">
        <v>0</v>
      </c>
    </row>
    <row r="309" spans="1:13" x14ac:dyDescent="0.35">
      <c r="A309">
        <v>16</v>
      </c>
      <c r="B309" t="s">
        <v>16</v>
      </c>
      <c r="C309">
        <v>3.2</v>
      </c>
      <c r="D309" t="s">
        <v>20</v>
      </c>
      <c r="E309">
        <v>4.5999999999999996</v>
      </c>
      <c r="F309">
        <v>2.5</v>
      </c>
      <c r="G309">
        <v>2.62</v>
      </c>
      <c r="H309">
        <v>1.8</v>
      </c>
      <c r="I309" t="s">
        <v>15</v>
      </c>
      <c r="J309">
        <v>9</v>
      </c>
      <c r="K309">
        <v>5</v>
      </c>
      <c r="L309">
        <v>1</v>
      </c>
      <c r="M309">
        <v>0</v>
      </c>
    </row>
    <row r="310" spans="1:13" x14ac:dyDescent="0.35">
      <c r="A310">
        <v>16</v>
      </c>
      <c r="B310" t="s">
        <v>16</v>
      </c>
      <c r="C310">
        <v>4.8</v>
      </c>
      <c r="D310" t="s">
        <v>20</v>
      </c>
      <c r="E310">
        <v>5.0999999999999996</v>
      </c>
      <c r="F310">
        <v>2.1</v>
      </c>
      <c r="G310">
        <v>2.4900000000000002</v>
      </c>
      <c r="H310">
        <v>1.6</v>
      </c>
      <c r="I310" t="s">
        <v>15</v>
      </c>
      <c r="J310">
        <v>4</v>
      </c>
      <c r="K310">
        <v>9</v>
      </c>
      <c r="L310">
        <v>1</v>
      </c>
      <c r="M310">
        <v>0</v>
      </c>
    </row>
    <row r="311" spans="1:13" x14ac:dyDescent="0.35">
      <c r="A311">
        <v>16</v>
      </c>
      <c r="B311" t="s">
        <v>16</v>
      </c>
      <c r="C311">
        <v>7.6</v>
      </c>
      <c r="D311" t="s">
        <v>17</v>
      </c>
      <c r="E311">
        <v>4.2</v>
      </c>
      <c r="F311">
        <v>2.8</v>
      </c>
      <c r="G311">
        <v>3.87</v>
      </c>
      <c r="H311">
        <v>0.7</v>
      </c>
      <c r="I311" t="s">
        <v>18</v>
      </c>
      <c r="J311">
        <v>10</v>
      </c>
      <c r="K311">
        <v>2</v>
      </c>
      <c r="L311">
        <v>9</v>
      </c>
      <c r="M311">
        <v>0</v>
      </c>
    </row>
    <row r="312" spans="1:13" x14ac:dyDescent="0.35">
      <c r="A312">
        <v>16</v>
      </c>
      <c r="B312" t="s">
        <v>16</v>
      </c>
      <c r="C312">
        <v>7.8</v>
      </c>
      <c r="D312" t="s">
        <v>17</v>
      </c>
      <c r="E312">
        <v>4.7</v>
      </c>
      <c r="F312">
        <v>1.1000000000000001</v>
      </c>
      <c r="G312">
        <v>3.53</v>
      </c>
      <c r="H312">
        <v>2</v>
      </c>
      <c r="I312" t="s">
        <v>19</v>
      </c>
      <c r="J312">
        <v>9</v>
      </c>
      <c r="K312">
        <v>3</v>
      </c>
      <c r="L312">
        <v>8</v>
      </c>
      <c r="M312">
        <v>0</v>
      </c>
    </row>
    <row r="313" spans="1:13" x14ac:dyDescent="0.35">
      <c r="A313">
        <v>16</v>
      </c>
      <c r="B313" t="s">
        <v>16</v>
      </c>
      <c r="C313">
        <v>7.4</v>
      </c>
      <c r="D313" t="s">
        <v>17</v>
      </c>
      <c r="E313">
        <v>4.5999999999999996</v>
      </c>
      <c r="F313">
        <v>1</v>
      </c>
      <c r="G313">
        <v>2.23</v>
      </c>
      <c r="H313">
        <v>1.1000000000000001</v>
      </c>
      <c r="I313" t="s">
        <v>15</v>
      </c>
      <c r="J313">
        <v>2</v>
      </c>
      <c r="K313">
        <v>4</v>
      </c>
      <c r="L313">
        <v>5</v>
      </c>
      <c r="M313">
        <v>0</v>
      </c>
    </row>
    <row r="314" spans="1:13" x14ac:dyDescent="0.35">
      <c r="A314">
        <v>16</v>
      </c>
      <c r="B314" t="s">
        <v>16</v>
      </c>
      <c r="C314">
        <v>3.6</v>
      </c>
      <c r="D314" t="s">
        <v>20</v>
      </c>
      <c r="E314">
        <v>4.4000000000000004</v>
      </c>
      <c r="F314">
        <v>2.4</v>
      </c>
      <c r="G314">
        <v>2.5299999999999998</v>
      </c>
      <c r="H314">
        <v>0.7</v>
      </c>
      <c r="I314" t="s">
        <v>19</v>
      </c>
      <c r="J314">
        <v>1</v>
      </c>
      <c r="K314">
        <v>7</v>
      </c>
      <c r="L314">
        <v>5</v>
      </c>
      <c r="M314">
        <v>0</v>
      </c>
    </row>
    <row r="315" spans="1:13" x14ac:dyDescent="0.35">
      <c r="A315">
        <v>15</v>
      </c>
      <c r="B315" t="s">
        <v>16</v>
      </c>
      <c r="C315">
        <v>7.3</v>
      </c>
      <c r="D315" t="s">
        <v>14</v>
      </c>
      <c r="E315">
        <v>4.0999999999999996</v>
      </c>
      <c r="F315">
        <v>2.1</v>
      </c>
      <c r="G315">
        <v>2.87</v>
      </c>
      <c r="H315">
        <v>0.4</v>
      </c>
      <c r="I315" t="s">
        <v>15</v>
      </c>
      <c r="J315">
        <v>10</v>
      </c>
      <c r="K315">
        <v>10</v>
      </c>
      <c r="L315">
        <v>1</v>
      </c>
      <c r="M315">
        <v>1</v>
      </c>
    </row>
    <row r="316" spans="1:13" x14ac:dyDescent="0.35">
      <c r="A316">
        <v>16</v>
      </c>
      <c r="B316" t="s">
        <v>16</v>
      </c>
      <c r="C316">
        <v>4.2</v>
      </c>
      <c r="D316" t="s">
        <v>17</v>
      </c>
      <c r="E316">
        <v>6.3</v>
      </c>
      <c r="F316">
        <v>1.2</v>
      </c>
      <c r="G316">
        <v>3.72</v>
      </c>
      <c r="H316">
        <v>1.9</v>
      </c>
      <c r="I316" t="s">
        <v>15</v>
      </c>
      <c r="J316">
        <v>5</v>
      </c>
      <c r="K316">
        <v>3</v>
      </c>
      <c r="L316">
        <v>7</v>
      </c>
      <c r="M316">
        <v>0</v>
      </c>
    </row>
    <row r="317" spans="1:13" x14ac:dyDescent="0.35">
      <c r="A317">
        <v>16</v>
      </c>
      <c r="B317" t="s">
        <v>16</v>
      </c>
      <c r="C317">
        <v>7.7</v>
      </c>
      <c r="D317" t="s">
        <v>14</v>
      </c>
      <c r="E317">
        <v>4.7</v>
      </c>
      <c r="F317">
        <v>2.9</v>
      </c>
      <c r="G317">
        <v>2.17</v>
      </c>
      <c r="H317">
        <v>1.2</v>
      </c>
      <c r="I317" t="s">
        <v>19</v>
      </c>
      <c r="J317">
        <v>5</v>
      </c>
      <c r="K317">
        <v>7</v>
      </c>
      <c r="L317">
        <v>6</v>
      </c>
      <c r="M317">
        <v>0</v>
      </c>
    </row>
    <row r="318" spans="1:13" x14ac:dyDescent="0.35">
      <c r="A318">
        <v>16</v>
      </c>
      <c r="B318" t="s">
        <v>16</v>
      </c>
      <c r="C318">
        <v>3.5</v>
      </c>
      <c r="D318" t="s">
        <v>17</v>
      </c>
      <c r="E318">
        <v>6.1</v>
      </c>
      <c r="F318">
        <v>2.7</v>
      </c>
      <c r="G318">
        <v>3.83</v>
      </c>
      <c r="H318">
        <v>0.1</v>
      </c>
      <c r="I318" t="s">
        <v>19</v>
      </c>
      <c r="J318">
        <v>4</v>
      </c>
      <c r="K318">
        <v>5</v>
      </c>
      <c r="L318">
        <v>10</v>
      </c>
      <c r="M318">
        <v>0</v>
      </c>
    </row>
    <row r="319" spans="1:13" x14ac:dyDescent="0.35">
      <c r="A319">
        <v>16</v>
      </c>
      <c r="B319" t="s">
        <v>16</v>
      </c>
      <c r="C319">
        <v>2.1</v>
      </c>
      <c r="D319" t="s">
        <v>14</v>
      </c>
      <c r="E319">
        <v>4.8</v>
      </c>
      <c r="F319">
        <v>1.3</v>
      </c>
      <c r="G319">
        <v>2.29</v>
      </c>
      <c r="H319">
        <v>1.8</v>
      </c>
      <c r="I319" t="s">
        <v>18</v>
      </c>
      <c r="J319">
        <v>6</v>
      </c>
      <c r="K319">
        <v>9</v>
      </c>
      <c r="L319">
        <v>2</v>
      </c>
      <c r="M319">
        <v>0</v>
      </c>
    </row>
    <row r="320" spans="1:13" x14ac:dyDescent="0.35">
      <c r="A320">
        <v>16</v>
      </c>
      <c r="B320" t="s">
        <v>16</v>
      </c>
      <c r="C320">
        <v>1.4</v>
      </c>
      <c r="D320" t="s">
        <v>20</v>
      </c>
      <c r="E320">
        <v>5.7</v>
      </c>
      <c r="F320">
        <v>1.8</v>
      </c>
      <c r="G320">
        <v>2</v>
      </c>
      <c r="H320">
        <v>1.4</v>
      </c>
      <c r="I320" t="s">
        <v>15</v>
      </c>
      <c r="J320">
        <v>4</v>
      </c>
      <c r="K320">
        <v>8</v>
      </c>
      <c r="L320">
        <v>7</v>
      </c>
      <c r="M320">
        <v>0</v>
      </c>
    </row>
    <row r="321" spans="1:13" x14ac:dyDescent="0.35">
      <c r="A321">
        <v>15</v>
      </c>
      <c r="B321" t="s">
        <v>16</v>
      </c>
      <c r="C321">
        <v>7.8</v>
      </c>
      <c r="D321" t="s">
        <v>14</v>
      </c>
      <c r="E321">
        <v>4.5999999999999996</v>
      </c>
      <c r="F321">
        <v>3</v>
      </c>
      <c r="G321">
        <v>2.44</v>
      </c>
      <c r="H321">
        <v>1.4</v>
      </c>
      <c r="I321" t="s">
        <v>19</v>
      </c>
      <c r="J321">
        <v>8</v>
      </c>
      <c r="K321">
        <v>10</v>
      </c>
      <c r="L321">
        <v>6</v>
      </c>
      <c r="M321">
        <v>1</v>
      </c>
    </row>
    <row r="322" spans="1:13" x14ac:dyDescent="0.35">
      <c r="A322">
        <v>16</v>
      </c>
      <c r="B322" t="s">
        <v>16</v>
      </c>
      <c r="C322">
        <v>2.5</v>
      </c>
      <c r="D322" t="s">
        <v>17</v>
      </c>
      <c r="E322">
        <v>8.9</v>
      </c>
      <c r="F322">
        <v>1.2</v>
      </c>
      <c r="G322">
        <v>3.33</v>
      </c>
      <c r="H322">
        <v>1.5</v>
      </c>
      <c r="I322" t="s">
        <v>18</v>
      </c>
      <c r="J322">
        <v>4</v>
      </c>
      <c r="K322">
        <v>4</v>
      </c>
      <c r="L322">
        <v>10</v>
      </c>
      <c r="M322">
        <v>0</v>
      </c>
    </row>
    <row r="323" spans="1:13" x14ac:dyDescent="0.35">
      <c r="A323">
        <v>16</v>
      </c>
      <c r="B323" t="s">
        <v>16</v>
      </c>
      <c r="C323">
        <v>6.6</v>
      </c>
      <c r="D323" t="s">
        <v>14</v>
      </c>
      <c r="E323">
        <v>6.1</v>
      </c>
      <c r="F323">
        <v>1.7</v>
      </c>
      <c r="G323">
        <v>2.67</v>
      </c>
      <c r="H323">
        <v>1.8</v>
      </c>
      <c r="I323" t="s">
        <v>15</v>
      </c>
      <c r="J323">
        <v>10</v>
      </c>
      <c r="K323">
        <v>8</v>
      </c>
      <c r="L323">
        <v>2</v>
      </c>
      <c r="M323">
        <v>0</v>
      </c>
    </row>
    <row r="324" spans="1:13" x14ac:dyDescent="0.35">
      <c r="A324">
        <v>16</v>
      </c>
      <c r="B324" t="s">
        <v>16</v>
      </c>
      <c r="C324">
        <v>6</v>
      </c>
      <c r="D324" t="s">
        <v>20</v>
      </c>
      <c r="E324">
        <v>4.0999999999999996</v>
      </c>
      <c r="F324">
        <v>2.4</v>
      </c>
      <c r="G324">
        <v>2.61</v>
      </c>
      <c r="H324">
        <v>1.1000000000000001</v>
      </c>
      <c r="I324" t="s">
        <v>18</v>
      </c>
      <c r="J324">
        <v>1</v>
      </c>
      <c r="K324">
        <v>6</v>
      </c>
      <c r="L324">
        <v>3</v>
      </c>
      <c r="M324">
        <v>0</v>
      </c>
    </row>
    <row r="325" spans="1:13" x14ac:dyDescent="0.35">
      <c r="A325">
        <v>16</v>
      </c>
      <c r="B325" t="s">
        <v>16</v>
      </c>
      <c r="C325">
        <v>2.1</v>
      </c>
      <c r="D325" t="s">
        <v>20</v>
      </c>
      <c r="E325">
        <v>4.5999999999999996</v>
      </c>
      <c r="F325">
        <v>2</v>
      </c>
      <c r="G325">
        <v>2.5499999999999998</v>
      </c>
      <c r="H325">
        <v>1.8</v>
      </c>
      <c r="I325" t="s">
        <v>18</v>
      </c>
      <c r="J325">
        <v>5</v>
      </c>
      <c r="K325">
        <v>4</v>
      </c>
      <c r="L325">
        <v>4</v>
      </c>
      <c r="M325">
        <v>0</v>
      </c>
    </row>
    <row r="326" spans="1:13" x14ac:dyDescent="0.35">
      <c r="A326">
        <v>16</v>
      </c>
      <c r="B326" t="s">
        <v>16</v>
      </c>
      <c r="C326">
        <v>3.6</v>
      </c>
      <c r="D326" t="s">
        <v>17</v>
      </c>
      <c r="E326">
        <v>8.8000000000000007</v>
      </c>
      <c r="F326">
        <v>1.2</v>
      </c>
      <c r="G326">
        <v>2.3199999999999998</v>
      </c>
      <c r="H326">
        <v>0.5</v>
      </c>
      <c r="I326" t="s">
        <v>15</v>
      </c>
      <c r="J326">
        <v>2</v>
      </c>
      <c r="K326">
        <v>4</v>
      </c>
      <c r="L326">
        <v>5</v>
      </c>
      <c r="M326">
        <v>0</v>
      </c>
    </row>
    <row r="327" spans="1:13" x14ac:dyDescent="0.35">
      <c r="A327">
        <v>16</v>
      </c>
      <c r="B327" t="s">
        <v>16</v>
      </c>
      <c r="C327">
        <v>7.5</v>
      </c>
      <c r="D327" t="s">
        <v>20</v>
      </c>
      <c r="E327">
        <v>4</v>
      </c>
      <c r="F327">
        <v>0.5</v>
      </c>
      <c r="G327">
        <v>3.72</v>
      </c>
      <c r="H327">
        <v>1.1000000000000001</v>
      </c>
      <c r="I327" t="s">
        <v>19</v>
      </c>
      <c r="J327">
        <v>4</v>
      </c>
      <c r="K327">
        <v>5</v>
      </c>
      <c r="L327">
        <v>7</v>
      </c>
      <c r="M327">
        <v>0</v>
      </c>
    </row>
    <row r="328" spans="1:13" x14ac:dyDescent="0.35">
      <c r="A328">
        <v>16</v>
      </c>
      <c r="B328" t="s">
        <v>16</v>
      </c>
      <c r="C328">
        <v>6.8</v>
      </c>
      <c r="D328" t="s">
        <v>17</v>
      </c>
      <c r="E328">
        <v>7.1</v>
      </c>
      <c r="F328">
        <v>2.9</v>
      </c>
      <c r="G328">
        <v>3.26</v>
      </c>
      <c r="H328">
        <v>0.6</v>
      </c>
      <c r="I328" t="s">
        <v>15</v>
      </c>
      <c r="J328">
        <v>6</v>
      </c>
      <c r="K328">
        <v>10</v>
      </c>
      <c r="L328">
        <v>4</v>
      </c>
      <c r="M328">
        <v>0</v>
      </c>
    </row>
    <row r="329" spans="1:13" x14ac:dyDescent="0.35">
      <c r="A329">
        <v>16</v>
      </c>
      <c r="B329" t="s">
        <v>16</v>
      </c>
      <c r="C329">
        <v>7.6</v>
      </c>
      <c r="D329" t="s">
        <v>17</v>
      </c>
      <c r="E329">
        <v>7.6</v>
      </c>
      <c r="F329">
        <v>2.4</v>
      </c>
      <c r="G329">
        <v>2.2400000000000002</v>
      </c>
      <c r="H329">
        <v>1.1000000000000001</v>
      </c>
      <c r="I329" t="s">
        <v>19</v>
      </c>
      <c r="J329">
        <v>1</v>
      </c>
      <c r="K329">
        <v>5</v>
      </c>
      <c r="L329">
        <v>5</v>
      </c>
      <c r="M329">
        <v>0</v>
      </c>
    </row>
    <row r="330" spans="1:13" x14ac:dyDescent="0.35">
      <c r="A330">
        <v>16</v>
      </c>
      <c r="B330" t="s">
        <v>16</v>
      </c>
      <c r="C330">
        <v>6.8</v>
      </c>
      <c r="D330" t="s">
        <v>14</v>
      </c>
      <c r="E330">
        <v>7.2</v>
      </c>
      <c r="F330">
        <v>1.1000000000000001</v>
      </c>
      <c r="G330">
        <v>2.29</v>
      </c>
      <c r="H330">
        <v>1.9</v>
      </c>
      <c r="I330" t="s">
        <v>15</v>
      </c>
      <c r="J330">
        <v>8</v>
      </c>
      <c r="K330">
        <v>5</v>
      </c>
      <c r="L330">
        <v>9</v>
      </c>
      <c r="M330">
        <v>0</v>
      </c>
    </row>
    <row r="331" spans="1:13" x14ac:dyDescent="0.35">
      <c r="A331">
        <v>16</v>
      </c>
      <c r="B331" t="s">
        <v>16</v>
      </c>
      <c r="C331">
        <v>5.9</v>
      </c>
      <c r="D331" t="s">
        <v>17</v>
      </c>
      <c r="E331">
        <v>7</v>
      </c>
      <c r="F331">
        <v>0.8</v>
      </c>
      <c r="G331">
        <v>2.29</v>
      </c>
      <c r="H331">
        <v>1.6</v>
      </c>
      <c r="I331" t="s">
        <v>15</v>
      </c>
      <c r="J331">
        <v>6</v>
      </c>
      <c r="K331">
        <v>8</v>
      </c>
      <c r="L331">
        <v>1</v>
      </c>
      <c r="M331">
        <v>0</v>
      </c>
    </row>
    <row r="332" spans="1:13" x14ac:dyDescent="0.35">
      <c r="A332">
        <v>16</v>
      </c>
      <c r="B332" t="s">
        <v>16</v>
      </c>
      <c r="C332">
        <v>3.7</v>
      </c>
      <c r="D332" t="s">
        <v>17</v>
      </c>
      <c r="E332">
        <v>9</v>
      </c>
      <c r="F332">
        <v>1.5</v>
      </c>
      <c r="G332">
        <v>3.37</v>
      </c>
      <c r="H332">
        <v>1.9</v>
      </c>
      <c r="I332" t="s">
        <v>15</v>
      </c>
      <c r="J332">
        <v>4</v>
      </c>
      <c r="K332">
        <v>3</v>
      </c>
      <c r="L332">
        <v>1</v>
      </c>
      <c r="M332">
        <v>0</v>
      </c>
    </row>
    <row r="333" spans="1:13" x14ac:dyDescent="0.35">
      <c r="A333">
        <v>16</v>
      </c>
      <c r="B333" t="s">
        <v>16</v>
      </c>
      <c r="C333">
        <v>4.4000000000000004</v>
      </c>
      <c r="D333" t="s">
        <v>20</v>
      </c>
      <c r="E333">
        <v>4.2</v>
      </c>
      <c r="F333">
        <v>2</v>
      </c>
      <c r="G333">
        <v>3.89</v>
      </c>
      <c r="H333">
        <v>1.1000000000000001</v>
      </c>
      <c r="I333" t="s">
        <v>19</v>
      </c>
      <c r="J333">
        <v>2</v>
      </c>
      <c r="K333">
        <v>9</v>
      </c>
      <c r="L333">
        <v>8</v>
      </c>
      <c r="M333">
        <v>0</v>
      </c>
    </row>
    <row r="334" spans="1:13" x14ac:dyDescent="0.35">
      <c r="A334">
        <v>16</v>
      </c>
      <c r="B334" t="s">
        <v>16</v>
      </c>
      <c r="C334">
        <v>7.9</v>
      </c>
      <c r="D334" t="s">
        <v>14</v>
      </c>
      <c r="E334">
        <v>6.3</v>
      </c>
      <c r="F334">
        <v>2.7</v>
      </c>
      <c r="G334">
        <v>2.88</v>
      </c>
      <c r="H334">
        <v>0.2</v>
      </c>
      <c r="I334" t="s">
        <v>18</v>
      </c>
      <c r="J334">
        <v>2</v>
      </c>
      <c r="K334">
        <v>7</v>
      </c>
      <c r="L334">
        <v>5</v>
      </c>
      <c r="M334">
        <v>0</v>
      </c>
    </row>
    <row r="335" spans="1:13" x14ac:dyDescent="0.35">
      <c r="A335">
        <v>16</v>
      </c>
      <c r="B335" t="s">
        <v>16</v>
      </c>
      <c r="C335">
        <v>6.1</v>
      </c>
      <c r="D335" t="s">
        <v>20</v>
      </c>
      <c r="E335">
        <v>7.5</v>
      </c>
      <c r="F335">
        <v>2.5</v>
      </c>
      <c r="G335">
        <v>3.14</v>
      </c>
      <c r="H335">
        <v>0.5</v>
      </c>
      <c r="I335" t="s">
        <v>15</v>
      </c>
      <c r="J335">
        <v>9</v>
      </c>
      <c r="K335">
        <v>6</v>
      </c>
      <c r="L335">
        <v>10</v>
      </c>
      <c r="M335">
        <v>0</v>
      </c>
    </row>
    <row r="336" spans="1:13" x14ac:dyDescent="0.35">
      <c r="A336">
        <v>16</v>
      </c>
      <c r="B336" t="s">
        <v>16</v>
      </c>
      <c r="C336">
        <v>6.5</v>
      </c>
      <c r="D336" t="s">
        <v>17</v>
      </c>
      <c r="E336">
        <v>4.5999999999999996</v>
      </c>
      <c r="F336">
        <v>1.8</v>
      </c>
      <c r="G336">
        <v>2.2000000000000002</v>
      </c>
      <c r="H336">
        <v>1.2</v>
      </c>
      <c r="I336" t="s">
        <v>15</v>
      </c>
      <c r="J336">
        <v>7</v>
      </c>
      <c r="K336">
        <v>4</v>
      </c>
      <c r="L336">
        <v>4</v>
      </c>
      <c r="M336">
        <v>0</v>
      </c>
    </row>
    <row r="337" spans="1:13" x14ac:dyDescent="0.35">
      <c r="A337">
        <v>16</v>
      </c>
      <c r="B337" t="s">
        <v>16</v>
      </c>
      <c r="C337">
        <v>5.5</v>
      </c>
      <c r="D337" t="s">
        <v>20</v>
      </c>
      <c r="E337">
        <v>5.8</v>
      </c>
      <c r="F337">
        <v>2.5</v>
      </c>
      <c r="G337">
        <v>2.34</v>
      </c>
      <c r="H337">
        <v>1</v>
      </c>
      <c r="I337" t="s">
        <v>15</v>
      </c>
      <c r="J337">
        <v>5</v>
      </c>
      <c r="K337">
        <v>2</v>
      </c>
      <c r="L337">
        <v>8</v>
      </c>
      <c r="M337">
        <v>0</v>
      </c>
    </row>
    <row r="338" spans="1:13" x14ac:dyDescent="0.35">
      <c r="A338">
        <v>16</v>
      </c>
      <c r="B338" t="s">
        <v>16</v>
      </c>
      <c r="C338">
        <v>4.7</v>
      </c>
      <c r="D338" t="s">
        <v>17</v>
      </c>
      <c r="E338">
        <v>6.5</v>
      </c>
      <c r="F338">
        <v>1</v>
      </c>
      <c r="G338">
        <v>2.91</v>
      </c>
      <c r="H338">
        <v>0.9</v>
      </c>
      <c r="I338" t="s">
        <v>19</v>
      </c>
      <c r="J338">
        <v>5</v>
      </c>
      <c r="K338">
        <v>7</v>
      </c>
      <c r="L338">
        <v>3</v>
      </c>
      <c r="M338">
        <v>0</v>
      </c>
    </row>
    <row r="339" spans="1:13" x14ac:dyDescent="0.35">
      <c r="A339">
        <v>17</v>
      </c>
      <c r="B339" t="s">
        <v>16</v>
      </c>
      <c r="C339">
        <v>1.3</v>
      </c>
      <c r="D339" t="s">
        <v>14</v>
      </c>
      <c r="E339">
        <v>7.6</v>
      </c>
      <c r="F339">
        <v>0.5</v>
      </c>
      <c r="G339">
        <v>3.92</v>
      </c>
      <c r="H339">
        <v>0</v>
      </c>
      <c r="I339" t="s">
        <v>18</v>
      </c>
      <c r="J339">
        <v>2</v>
      </c>
      <c r="K339">
        <v>4</v>
      </c>
      <c r="L339">
        <v>2</v>
      </c>
      <c r="M339">
        <v>0</v>
      </c>
    </row>
    <row r="340" spans="1:13" x14ac:dyDescent="0.35">
      <c r="A340">
        <v>17</v>
      </c>
      <c r="B340" t="s">
        <v>16</v>
      </c>
      <c r="C340">
        <v>6.8</v>
      </c>
      <c r="D340" t="s">
        <v>17</v>
      </c>
      <c r="E340">
        <v>5.7</v>
      </c>
      <c r="F340">
        <v>1.1000000000000001</v>
      </c>
      <c r="G340">
        <v>3.29</v>
      </c>
      <c r="H340">
        <v>1.3</v>
      </c>
      <c r="I340" t="s">
        <v>19</v>
      </c>
      <c r="J340">
        <v>1</v>
      </c>
      <c r="K340">
        <v>10</v>
      </c>
      <c r="L340">
        <v>10</v>
      </c>
      <c r="M340">
        <v>0</v>
      </c>
    </row>
    <row r="341" spans="1:13" x14ac:dyDescent="0.35">
      <c r="A341">
        <v>17</v>
      </c>
      <c r="B341" t="s">
        <v>16</v>
      </c>
      <c r="C341">
        <v>5</v>
      </c>
      <c r="D341" t="s">
        <v>20</v>
      </c>
      <c r="E341">
        <v>4.9000000000000004</v>
      </c>
      <c r="F341">
        <v>2.1</v>
      </c>
      <c r="G341">
        <v>2.0099999999999998</v>
      </c>
      <c r="H341">
        <v>1</v>
      </c>
      <c r="I341" t="s">
        <v>15</v>
      </c>
      <c r="J341">
        <v>9</v>
      </c>
      <c r="K341">
        <v>4</v>
      </c>
      <c r="L341">
        <v>9</v>
      </c>
      <c r="M341">
        <v>0</v>
      </c>
    </row>
    <row r="342" spans="1:13" x14ac:dyDescent="0.35">
      <c r="A342">
        <v>17</v>
      </c>
      <c r="B342" t="s">
        <v>16</v>
      </c>
      <c r="C342">
        <v>4.8</v>
      </c>
      <c r="D342" t="s">
        <v>14</v>
      </c>
      <c r="E342">
        <v>4.4000000000000004</v>
      </c>
      <c r="F342">
        <v>1.3</v>
      </c>
      <c r="G342">
        <v>2.02</v>
      </c>
      <c r="H342">
        <v>0.5</v>
      </c>
      <c r="I342" t="s">
        <v>15</v>
      </c>
      <c r="J342">
        <v>5</v>
      </c>
      <c r="K342">
        <v>10</v>
      </c>
      <c r="L342">
        <v>6</v>
      </c>
      <c r="M342">
        <v>0</v>
      </c>
    </row>
    <row r="343" spans="1:13" x14ac:dyDescent="0.35">
      <c r="A343">
        <v>17</v>
      </c>
      <c r="B343" t="s">
        <v>16</v>
      </c>
      <c r="C343">
        <v>1.3</v>
      </c>
      <c r="D343" t="s">
        <v>17</v>
      </c>
      <c r="E343">
        <v>8</v>
      </c>
      <c r="F343">
        <v>2</v>
      </c>
      <c r="G343">
        <v>2.84</v>
      </c>
      <c r="H343">
        <v>1.8</v>
      </c>
      <c r="I343" t="s">
        <v>18</v>
      </c>
      <c r="J343">
        <v>1</v>
      </c>
      <c r="K343">
        <v>7</v>
      </c>
      <c r="L343">
        <v>8</v>
      </c>
      <c r="M343">
        <v>0</v>
      </c>
    </row>
    <row r="344" spans="1:13" x14ac:dyDescent="0.35">
      <c r="A344">
        <v>17</v>
      </c>
      <c r="B344" t="s">
        <v>16</v>
      </c>
      <c r="C344">
        <v>6.3</v>
      </c>
      <c r="D344" t="s">
        <v>14</v>
      </c>
      <c r="E344">
        <v>4</v>
      </c>
      <c r="F344">
        <v>1</v>
      </c>
      <c r="G344">
        <v>2.4300000000000002</v>
      </c>
      <c r="H344">
        <v>1.2</v>
      </c>
      <c r="I344" t="s">
        <v>18</v>
      </c>
      <c r="J344">
        <v>1</v>
      </c>
      <c r="K344">
        <v>10</v>
      </c>
      <c r="L344">
        <v>9</v>
      </c>
      <c r="M344">
        <v>0</v>
      </c>
    </row>
    <row r="345" spans="1:13" x14ac:dyDescent="0.35">
      <c r="A345">
        <v>17</v>
      </c>
      <c r="B345" t="s">
        <v>16</v>
      </c>
      <c r="C345">
        <v>7.1</v>
      </c>
      <c r="D345" t="s">
        <v>14</v>
      </c>
      <c r="E345">
        <v>5.6</v>
      </c>
      <c r="F345">
        <v>0.6</v>
      </c>
      <c r="G345">
        <v>3.07</v>
      </c>
      <c r="H345">
        <v>1</v>
      </c>
      <c r="I345" t="s">
        <v>19</v>
      </c>
      <c r="J345">
        <v>1</v>
      </c>
      <c r="K345">
        <v>3</v>
      </c>
      <c r="L345">
        <v>7</v>
      </c>
      <c r="M345">
        <v>0</v>
      </c>
    </row>
    <row r="346" spans="1:13" x14ac:dyDescent="0.35">
      <c r="A346">
        <v>17</v>
      </c>
      <c r="B346" t="s">
        <v>16</v>
      </c>
      <c r="C346">
        <v>6.9</v>
      </c>
      <c r="D346" t="s">
        <v>14</v>
      </c>
      <c r="E346">
        <v>8.1999999999999993</v>
      </c>
      <c r="F346">
        <v>0.8</v>
      </c>
      <c r="G346">
        <v>2.36</v>
      </c>
      <c r="H346">
        <v>0</v>
      </c>
      <c r="I346" t="s">
        <v>19</v>
      </c>
      <c r="J346">
        <v>10</v>
      </c>
      <c r="K346">
        <v>10</v>
      </c>
      <c r="L346">
        <v>7</v>
      </c>
      <c r="M346">
        <v>0</v>
      </c>
    </row>
    <row r="347" spans="1:13" x14ac:dyDescent="0.35">
      <c r="A347">
        <v>17</v>
      </c>
      <c r="B347" t="s">
        <v>16</v>
      </c>
      <c r="C347">
        <v>5</v>
      </c>
      <c r="D347" t="s">
        <v>20</v>
      </c>
      <c r="E347">
        <v>9</v>
      </c>
      <c r="F347">
        <v>2.5</v>
      </c>
      <c r="G347">
        <v>3.4</v>
      </c>
      <c r="H347">
        <v>0.9</v>
      </c>
      <c r="I347" t="s">
        <v>18</v>
      </c>
      <c r="J347">
        <v>8</v>
      </c>
      <c r="K347">
        <v>10</v>
      </c>
      <c r="L347">
        <v>5</v>
      </c>
      <c r="M347">
        <v>0</v>
      </c>
    </row>
    <row r="348" spans="1:13" x14ac:dyDescent="0.35">
      <c r="A348">
        <v>17</v>
      </c>
      <c r="B348" t="s">
        <v>16</v>
      </c>
      <c r="C348">
        <v>5.4</v>
      </c>
      <c r="D348" t="s">
        <v>20</v>
      </c>
      <c r="E348">
        <v>5.7</v>
      </c>
      <c r="F348">
        <v>2.5</v>
      </c>
      <c r="G348">
        <v>3.13</v>
      </c>
      <c r="H348">
        <v>1.9</v>
      </c>
      <c r="I348" t="s">
        <v>19</v>
      </c>
      <c r="J348">
        <v>5</v>
      </c>
      <c r="K348">
        <v>10</v>
      </c>
      <c r="L348">
        <v>3</v>
      </c>
      <c r="M348">
        <v>0</v>
      </c>
    </row>
    <row r="349" spans="1:13" x14ac:dyDescent="0.35">
      <c r="A349">
        <v>17</v>
      </c>
      <c r="B349" t="s">
        <v>16</v>
      </c>
      <c r="C349">
        <v>5.6</v>
      </c>
      <c r="D349" t="s">
        <v>14</v>
      </c>
      <c r="E349">
        <v>5.3</v>
      </c>
      <c r="F349">
        <v>1.7</v>
      </c>
      <c r="G349">
        <v>2.77</v>
      </c>
      <c r="H349">
        <v>0.9</v>
      </c>
      <c r="I349" t="s">
        <v>19</v>
      </c>
      <c r="J349">
        <v>8</v>
      </c>
      <c r="K349">
        <v>4</v>
      </c>
      <c r="L349">
        <v>8</v>
      </c>
      <c r="M349">
        <v>0</v>
      </c>
    </row>
    <row r="350" spans="1:13" x14ac:dyDescent="0.35">
      <c r="A350">
        <v>17</v>
      </c>
      <c r="B350" t="s">
        <v>16</v>
      </c>
      <c r="C350">
        <v>4.7</v>
      </c>
      <c r="D350" t="s">
        <v>14</v>
      </c>
      <c r="E350">
        <v>4.7</v>
      </c>
      <c r="F350">
        <v>2.4</v>
      </c>
      <c r="G350">
        <v>3.94</v>
      </c>
      <c r="H350">
        <v>0</v>
      </c>
      <c r="I350" t="s">
        <v>19</v>
      </c>
      <c r="J350">
        <v>10</v>
      </c>
      <c r="K350">
        <v>5</v>
      </c>
      <c r="L350">
        <v>8</v>
      </c>
      <c r="M350">
        <v>0</v>
      </c>
    </row>
    <row r="351" spans="1:13" x14ac:dyDescent="0.35">
      <c r="A351">
        <v>17</v>
      </c>
      <c r="B351" t="s">
        <v>16</v>
      </c>
      <c r="C351">
        <v>5.6</v>
      </c>
      <c r="D351" t="s">
        <v>17</v>
      </c>
      <c r="E351">
        <v>6.8</v>
      </c>
      <c r="F351">
        <v>2</v>
      </c>
      <c r="G351">
        <v>2.2200000000000002</v>
      </c>
      <c r="H351">
        <v>1</v>
      </c>
      <c r="I351" t="s">
        <v>19</v>
      </c>
      <c r="J351">
        <v>6</v>
      </c>
      <c r="K351">
        <v>9</v>
      </c>
      <c r="L351">
        <v>8</v>
      </c>
      <c r="M351">
        <v>0</v>
      </c>
    </row>
    <row r="352" spans="1:13" x14ac:dyDescent="0.35">
      <c r="A352">
        <v>17</v>
      </c>
      <c r="B352" t="s">
        <v>16</v>
      </c>
      <c r="C352">
        <v>5.2</v>
      </c>
      <c r="D352" t="s">
        <v>20</v>
      </c>
      <c r="E352">
        <v>6</v>
      </c>
      <c r="F352">
        <v>0.6</v>
      </c>
      <c r="G352">
        <v>3.07</v>
      </c>
      <c r="H352">
        <v>0.6</v>
      </c>
      <c r="I352" t="s">
        <v>19</v>
      </c>
      <c r="J352">
        <v>6</v>
      </c>
      <c r="K352">
        <v>2</v>
      </c>
      <c r="L352">
        <v>9</v>
      </c>
      <c r="M352">
        <v>0</v>
      </c>
    </row>
    <row r="353" spans="1:13" x14ac:dyDescent="0.35">
      <c r="A353">
        <v>17</v>
      </c>
      <c r="B353" t="s">
        <v>16</v>
      </c>
      <c r="C353">
        <v>4.0999999999999996</v>
      </c>
      <c r="D353" t="s">
        <v>14</v>
      </c>
      <c r="E353">
        <v>8.6</v>
      </c>
      <c r="F353">
        <v>3</v>
      </c>
      <c r="G353">
        <v>2.77</v>
      </c>
      <c r="H353">
        <v>0.1</v>
      </c>
      <c r="I353" t="s">
        <v>19</v>
      </c>
      <c r="J353">
        <v>3</v>
      </c>
      <c r="K353">
        <v>6</v>
      </c>
      <c r="L353">
        <v>1</v>
      </c>
      <c r="M353">
        <v>0</v>
      </c>
    </row>
    <row r="354" spans="1:13" x14ac:dyDescent="0.35">
      <c r="A354">
        <v>17</v>
      </c>
      <c r="B354" t="s">
        <v>16</v>
      </c>
      <c r="C354">
        <v>3.2</v>
      </c>
      <c r="D354" t="s">
        <v>17</v>
      </c>
      <c r="E354">
        <v>4.2</v>
      </c>
      <c r="F354">
        <v>0.6</v>
      </c>
      <c r="G354">
        <v>2.21</v>
      </c>
      <c r="H354">
        <v>1.4</v>
      </c>
      <c r="I354" t="s">
        <v>19</v>
      </c>
      <c r="J354">
        <v>6</v>
      </c>
      <c r="K354">
        <v>6</v>
      </c>
      <c r="L354">
        <v>3</v>
      </c>
      <c r="M354">
        <v>0</v>
      </c>
    </row>
    <row r="355" spans="1:13" x14ac:dyDescent="0.35">
      <c r="A355">
        <v>17</v>
      </c>
      <c r="B355" t="s">
        <v>16</v>
      </c>
      <c r="C355">
        <v>6</v>
      </c>
      <c r="D355" t="s">
        <v>20</v>
      </c>
      <c r="E355">
        <v>8.8000000000000007</v>
      </c>
      <c r="F355">
        <v>1.3</v>
      </c>
      <c r="G355">
        <v>4</v>
      </c>
      <c r="H355">
        <v>0.9</v>
      </c>
      <c r="I355" t="s">
        <v>19</v>
      </c>
      <c r="J355">
        <v>8</v>
      </c>
      <c r="K355">
        <v>10</v>
      </c>
      <c r="L355">
        <v>7</v>
      </c>
      <c r="M355">
        <v>0</v>
      </c>
    </row>
    <row r="356" spans="1:13" x14ac:dyDescent="0.35">
      <c r="A356">
        <v>17</v>
      </c>
      <c r="B356" t="s">
        <v>16</v>
      </c>
      <c r="C356">
        <v>2.1</v>
      </c>
      <c r="D356" t="s">
        <v>20</v>
      </c>
      <c r="E356">
        <v>7.8</v>
      </c>
      <c r="F356">
        <v>2.1</v>
      </c>
      <c r="G356">
        <v>3.29</v>
      </c>
      <c r="H356">
        <v>1.5</v>
      </c>
      <c r="I356" t="s">
        <v>15</v>
      </c>
      <c r="J356">
        <v>8</v>
      </c>
      <c r="K356">
        <v>1</v>
      </c>
      <c r="L356">
        <v>7</v>
      </c>
      <c r="M356">
        <v>0</v>
      </c>
    </row>
    <row r="357" spans="1:13" x14ac:dyDescent="0.35">
      <c r="A357">
        <v>17</v>
      </c>
      <c r="B357" t="s">
        <v>16</v>
      </c>
      <c r="C357">
        <v>3.9</v>
      </c>
      <c r="D357" t="s">
        <v>14</v>
      </c>
      <c r="E357">
        <v>8.1999999999999993</v>
      </c>
      <c r="F357">
        <v>1.3</v>
      </c>
      <c r="G357">
        <v>3.21</v>
      </c>
      <c r="H357">
        <v>1.8</v>
      </c>
      <c r="I357" t="s">
        <v>19</v>
      </c>
      <c r="J357">
        <v>3</v>
      </c>
      <c r="K357">
        <v>7</v>
      </c>
      <c r="L357">
        <v>7</v>
      </c>
      <c r="M357">
        <v>0</v>
      </c>
    </row>
    <row r="358" spans="1:13" x14ac:dyDescent="0.35">
      <c r="A358">
        <v>17</v>
      </c>
      <c r="B358" t="s">
        <v>16</v>
      </c>
      <c r="C358">
        <v>1.4</v>
      </c>
      <c r="D358" t="s">
        <v>14</v>
      </c>
      <c r="E358">
        <v>6.9</v>
      </c>
      <c r="F358">
        <v>2.4</v>
      </c>
      <c r="G358">
        <v>3.06</v>
      </c>
      <c r="H358">
        <v>1.9</v>
      </c>
      <c r="I358" t="s">
        <v>19</v>
      </c>
      <c r="J358">
        <v>4</v>
      </c>
      <c r="K358">
        <v>10</v>
      </c>
      <c r="L358">
        <v>8</v>
      </c>
      <c r="M358">
        <v>0</v>
      </c>
    </row>
    <row r="359" spans="1:13" x14ac:dyDescent="0.35">
      <c r="A359">
        <v>17</v>
      </c>
      <c r="B359" t="s">
        <v>16</v>
      </c>
      <c r="C359">
        <v>6.6</v>
      </c>
      <c r="D359" t="s">
        <v>14</v>
      </c>
      <c r="E359">
        <v>8</v>
      </c>
      <c r="F359">
        <v>2.2000000000000002</v>
      </c>
      <c r="G359">
        <v>2.21</v>
      </c>
      <c r="H359">
        <v>1</v>
      </c>
      <c r="I359" t="s">
        <v>18</v>
      </c>
      <c r="J359">
        <v>10</v>
      </c>
      <c r="K359">
        <v>8</v>
      </c>
      <c r="L359">
        <v>10</v>
      </c>
      <c r="M359">
        <v>0</v>
      </c>
    </row>
    <row r="360" spans="1:13" x14ac:dyDescent="0.35">
      <c r="A360">
        <v>17</v>
      </c>
      <c r="B360" t="s">
        <v>16</v>
      </c>
      <c r="C360">
        <v>5.4</v>
      </c>
      <c r="D360" t="s">
        <v>20</v>
      </c>
      <c r="E360">
        <v>6.3</v>
      </c>
      <c r="F360">
        <v>2.8</v>
      </c>
      <c r="G360">
        <v>3.06</v>
      </c>
      <c r="H360">
        <v>0.8</v>
      </c>
      <c r="I360" t="s">
        <v>15</v>
      </c>
      <c r="J360">
        <v>3</v>
      </c>
      <c r="K360">
        <v>7</v>
      </c>
      <c r="L360">
        <v>9</v>
      </c>
      <c r="M360">
        <v>0</v>
      </c>
    </row>
    <row r="361" spans="1:13" x14ac:dyDescent="0.35">
      <c r="A361">
        <v>17</v>
      </c>
      <c r="B361" t="s">
        <v>16</v>
      </c>
      <c r="C361">
        <v>7.5</v>
      </c>
      <c r="D361" t="s">
        <v>14</v>
      </c>
      <c r="E361">
        <v>5.9</v>
      </c>
      <c r="F361">
        <v>2.9</v>
      </c>
      <c r="G361">
        <v>3.71</v>
      </c>
      <c r="H361">
        <v>1.7</v>
      </c>
      <c r="I361" t="s">
        <v>15</v>
      </c>
      <c r="J361">
        <v>3</v>
      </c>
      <c r="K361">
        <v>1</v>
      </c>
      <c r="L361">
        <v>10</v>
      </c>
      <c r="M361">
        <v>0</v>
      </c>
    </row>
    <row r="362" spans="1:13" x14ac:dyDescent="0.35">
      <c r="A362">
        <v>17</v>
      </c>
      <c r="B362" t="s">
        <v>16</v>
      </c>
      <c r="C362">
        <v>1.7</v>
      </c>
      <c r="D362" t="s">
        <v>20</v>
      </c>
      <c r="E362">
        <v>6.3</v>
      </c>
      <c r="F362">
        <v>1.5</v>
      </c>
      <c r="G362">
        <v>2.66</v>
      </c>
      <c r="H362">
        <v>1.8</v>
      </c>
      <c r="I362" t="s">
        <v>15</v>
      </c>
      <c r="J362">
        <v>1</v>
      </c>
      <c r="K362">
        <v>4</v>
      </c>
      <c r="L362">
        <v>10</v>
      </c>
      <c r="M362">
        <v>0</v>
      </c>
    </row>
    <row r="363" spans="1:13" x14ac:dyDescent="0.35">
      <c r="A363">
        <v>17</v>
      </c>
      <c r="B363" t="s">
        <v>16</v>
      </c>
      <c r="C363">
        <v>6.2</v>
      </c>
      <c r="D363" t="s">
        <v>20</v>
      </c>
      <c r="E363">
        <v>5.0999999999999996</v>
      </c>
      <c r="F363">
        <v>2</v>
      </c>
      <c r="G363">
        <v>3.82</v>
      </c>
      <c r="H363">
        <v>1.7</v>
      </c>
      <c r="I363" t="s">
        <v>19</v>
      </c>
      <c r="J363">
        <v>7</v>
      </c>
      <c r="K363">
        <v>3</v>
      </c>
      <c r="L363">
        <v>5</v>
      </c>
      <c r="M363">
        <v>0</v>
      </c>
    </row>
    <row r="364" spans="1:13" x14ac:dyDescent="0.35">
      <c r="A364">
        <v>17</v>
      </c>
      <c r="B364" t="s">
        <v>16</v>
      </c>
      <c r="C364">
        <v>6.5</v>
      </c>
      <c r="D364" t="s">
        <v>17</v>
      </c>
      <c r="E364">
        <v>6.4</v>
      </c>
      <c r="F364">
        <v>0.7</v>
      </c>
      <c r="G364">
        <v>3.57</v>
      </c>
      <c r="H364">
        <v>1.1000000000000001</v>
      </c>
      <c r="I364" t="s">
        <v>15</v>
      </c>
      <c r="J364">
        <v>2</v>
      </c>
      <c r="K364">
        <v>9</v>
      </c>
      <c r="L364">
        <v>6</v>
      </c>
      <c r="M364">
        <v>0</v>
      </c>
    </row>
    <row r="365" spans="1:13" x14ac:dyDescent="0.35">
      <c r="A365">
        <v>17</v>
      </c>
      <c r="B365" t="s">
        <v>16</v>
      </c>
      <c r="C365">
        <v>7.3</v>
      </c>
      <c r="D365" t="s">
        <v>14</v>
      </c>
      <c r="E365">
        <v>6.2</v>
      </c>
      <c r="F365">
        <v>1</v>
      </c>
      <c r="G365">
        <v>2.02</v>
      </c>
      <c r="H365">
        <v>0.2</v>
      </c>
      <c r="I365" t="s">
        <v>15</v>
      </c>
      <c r="J365">
        <v>1</v>
      </c>
      <c r="K365">
        <v>6</v>
      </c>
      <c r="L365">
        <v>3</v>
      </c>
      <c r="M365">
        <v>0</v>
      </c>
    </row>
    <row r="366" spans="1:13" x14ac:dyDescent="0.35">
      <c r="A366">
        <v>17</v>
      </c>
      <c r="B366" t="s">
        <v>16</v>
      </c>
      <c r="C366">
        <v>5.3</v>
      </c>
      <c r="D366" t="s">
        <v>14</v>
      </c>
      <c r="E366">
        <v>7.4</v>
      </c>
      <c r="F366">
        <v>1.2</v>
      </c>
      <c r="G366">
        <v>3.41</v>
      </c>
      <c r="H366">
        <v>1.1000000000000001</v>
      </c>
      <c r="I366" t="s">
        <v>18</v>
      </c>
      <c r="J366">
        <v>6</v>
      </c>
      <c r="K366">
        <v>3</v>
      </c>
      <c r="L366">
        <v>7</v>
      </c>
      <c r="M366">
        <v>0</v>
      </c>
    </row>
    <row r="367" spans="1:13" x14ac:dyDescent="0.35">
      <c r="A367">
        <v>17</v>
      </c>
      <c r="B367" t="s">
        <v>16</v>
      </c>
      <c r="C367">
        <v>3</v>
      </c>
      <c r="D367" t="s">
        <v>14</v>
      </c>
      <c r="E367">
        <v>6.9</v>
      </c>
      <c r="F367">
        <v>2.2999999999999998</v>
      </c>
      <c r="G367">
        <v>3.34</v>
      </c>
      <c r="H367">
        <v>0.6</v>
      </c>
      <c r="I367" t="s">
        <v>15</v>
      </c>
      <c r="J367">
        <v>5</v>
      </c>
      <c r="K367">
        <v>2</v>
      </c>
      <c r="L367">
        <v>9</v>
      </c>
      <c r="M367">
        <v>0</v>
      </c>
    </row>
    <row r="368" spans="1:13" x14ac:dyDescent="0.35">
      <c r="A368">
        <v>17</v>
      </c>
      <c r="B368" t="s">
        <v>16</v>
      </c>
      <c r="C368">
        <v>3.7</v>
      </c>
      <c r="D368" t="s">
        <v>17</v>
      </c>
      <c r="E368">
        <v>5.3</v>
      </c>
      <c r="F368">
        <v>0.7</v>
      </c>
      <c r="G368">
        <v>2.09</v>
      </c>
      <c r="H368">
        <v>0.8</v>
      </c>
      <c r="I368" t="s">
        <v>18</v>
      </c>
      <c r="J368">
        <v>8</v>
      </c>
      <c r="K368">
        <v>8</v>
      </c>
      <c r="L368">
        <v>10</v>
      </c>
      <c r="M368">
        <v>0</v>
      </c>
    </row>
    <row r="369" spans="1:13" x14ac:dyDescent="0.35">
      <c r="A369">
        <v>17</v>
      </c>
      <c r="B369" t="s">
        <v>16</v>
      </c>
      <c r="C369">
        <v>1.1000000000000001</v>
      </c>
      <c r="D369" t="s">
        <v>14</v>
      </c>
      <c r="E369">
        <v>9</v>
      </c>
      <c r="F369">
        <v>2.9</v>
      </c>
      <c r="G369">
        <v>2.74</v>
      </c>
      <c r="H369">
        <v>1</v>
      </c>
      <c r="I369" t="s">
        <v>19</v>
      </c>
      <c r="J369">
        <v>2</v>
      </c>
      <c r="K369">
        <v>8</v>
      </c>
      <c r="L369">
        <v>2</v>
      </c>
      <c r="M369">
        <v>0</v>
      </c>
    </row>
    <row r="370" spans="1:13" x14ac:dyDescent="0.35">
      <c r="A370">
        <v>17</v>
      </c>
      <c r="B370" t="s">
        <v>16</v>
      </c>
      <c r="C370">
        <v>4.4000000000000004</v>
      </c>
      <c r="D370" t="s">
        <v>14</v>
      </c>
      <c r="E370">
        <v>6</v>
      </c>
      <c r="F370">
        <v>1.2</v>
      </c>
      <c r="G370">
        <v>2.48</v>
      </c>
      <c r="H370">
        <v>0.9</v>
      </c>
      <c r="I370" t="s">
        <v>19</v>
      </c>
      <c r="J370">
        <v>6</v>
      </c>
      <c r="K370">
        <v>2</v>
      </c>
      <c r="L370">
        <v>6</v>
      </c>
      <c r="M370">
        <v>0</v>
      </c>
    </row>
    <row r="371" spans="1:13" x14ac:dyDescent="0.35">
      <c r="A371">
        <v>17</v>
      </c>
      <c r="B371" t="s">
        <v>16</v>
      </c>
      <c r="C371">
        <v>7.5</v>
      </c>
      <c r="D371" t="s">
        <v>17</v>
      </c>
      <c r="E371">
        <v>6.7</v>
      </c>
      <c r="F371">
        <v>1.1000000000000001</v>
      </c>
      <c r="G371">
        <v>3.77</v>
      </c>
      <c r="H371">
        <v>0.6</v>
      </c>
      <c r="I371" t="s">
        <v>18</v>
      </c>
      <c r="J371">
        <v>3</v>
      </c>
      <c r="K371">
        <v>8</v>
      </c>
      <c r="L371">
        <v>6</v>
      </c>
      <c r="M371">
        <v>0</v>
      </c>
    </row>
    <row r="372" spans="1:13" x14ac:dyDescent="0.35">
      <c r="A372">
        <v>17</v>
      </c>
      <c r="B372" t="s">
        <v>16</v>
      </c>
      <c r="C372">
        <v>2.7</v>
      </c>
      <c r="D372" t="s">
        <v>14</v>
      </c>
      <c r="E372">
        <v>5.4</v>
      </c>
      <c r="F372">
        <v>2.6</v>
      </c>
      <c r="G372">
        <v>2.0699999999999998</v>
      </c>
      <c r="H372">
        <v>0</v>
      </c>
      <c r="I372" t="s">
        <v>19</v>
      </c>
      <c r="J372">
        <v>6</v>
      </c>
      <c r="K372">
        <v>5</v>
      </c>
      <c r="L372">
        <v>6</v>
      </c>
      <c r="M372">
        <v>0</v>
      </c>
    </row>
    <row r="373" spans="1:13" x14ac:dyDescent="0.35">
      <c r="A373">
        <v>17</v>
      </c>
      <c r="B373" t="s">
        <v>16</v>
      </c>
      <c r="C373">
        <v>4.5</v>
      </c>
      <c r="D373" t="s">
        <v>20</v>
      </c>
      <c r="E373">
        <v>7.3</v>
      </c>
      <c r="F373">
        <v>0.9</v>
      </c>
      <c r="G373">
        <v>2.34</v>
      </c>
      <c r="H373">
        <v>0.9</v>
      </c>
      <c r="I373" t="s">
        <v>19</v>
      </c>
      <c r="J373">
        <v>7</v>
      </c>
      <c r="K373">
        <v>3</v>
      </c>
      <c r="L373">
        <v>8</v>
      </c>
      <c r="M373">
        <v>0</v>
      </c>
    </row>
    <row r="374" spans="1:13" x14ac:dyDescent="0.35">
      <c r="A374">
        <v>17</v>
      </c>
      <c r="B374" t="s">
        <v>16</v>
      </c>
      <c r="C374">
        <v>3.2</v>
      </c>
      <c r="D374" t="s">
        <v>14</v>
      </c>
      <c r="E374">
        <v>6.2</v>
      </c>
      <c r="F374">
        <v>2.2000000000000002</v>
      </c>
      <c r="G374">
        <v>2.96</v>
      </c>
      <c r="H374">
        <v>1.6</v>
      </c>
      <c r="I374" t="s">
        <v>15</v>
      </c>
      <c r="J374">
        <v>8</v>
      </c>
      <c r="K374">
        <v>10</v>
      </c>
      <c r="L374">
        <v>9</v>
      </c>
      <c r="M374">
        <v>0</v>
      </c>
    </row>
    <row r="375" spans="1:13" x14ac:dyDescent="0.35">
      <c r="A375">
        <v>17</v>
      </c>
      <c r="B375" t="s">
        <v>16</v>
      </c>
      <c r="C375">
        <v>3.3</v>
      </c>
      <c r="D375" t="s">
        <v>14</v>
      </c>
      <c r="E375">
        <v>8.6</v>
      </c>
      <c r="F375">
        <v>1.1000000000000001</v>
      </c>
      <c r="G375">
        <v>2.62</v>
      </c>
      <c r="H375">
        <v>0.4</v>
      </c>
      <c r="I375" t="s">
        <v>15</v>
      </c>
      <c r="J375">
        <v>4</v>
      </c>
      <c r="K375">
        <v>7</v>
      </c>
      <c r="L375">
        <v>9</v>
      </c>
      <c r="M375">
        <v>0</v>
      </c>
    </row>
    <row r="376" spans="1:13" x14ac:dyDescent="0.35">
      <c r="A376">
        <v>17</v>
      </c>
      <c r="B376" t="s">
        <v>16</v>
      </c>
      <c r="C376">
        <v>7.6</v>
      </c>
      <c r="D376" t="s">
        <v>14</v>
      </c>
      <c r="E376">
        <v>5.9</v>
      </c>
      <c r="F376">
        <v>2</v>
      </c>
      <c r="G376">
        <v>2.52</v>
      </c>
      <c r="H376">
        <v>1.5</v>
      </c>
      <c r="I376" t="s">
        <v>19</v>
      </c>
      <c r="J376">
        <v>1</v>
      </c>
      <c r="K376">
        <v>5</v>
      </c>
      <c r="L376">
        <v>1</v>
      </c>
      <c r="M376">
        <v>0</v>
      </c>
    </row>
    <row r="377" spans="1:13" x14ac:dyDescent="0.35">
      <c r="A377">
        <v>17</v>
      </c>
      <c r="B377" t="s">
        <v>16</v>
      </c>
      <c r="C377">
        <v>2.2999999999999998</v>
      </c>
      <c r="D377" t="s">
        <v>17</v>
      </c>
      <c r="E377">
        <v>6.4</v>
      </c>
      <c r="F377">
        <v>2.4</v>
      </c>
      <c r="G377">
        <v>3.61</v>
      </c>
      <c r="H377">
        <v>0.6</v>
      </c>
      <c r="I377" t="s">
        <v>19</v>
      </c>
      <c r="J377">
        <v>2</v>
      </c>
      <c r="K377">
        <v>1</v>
      </c>
      <c r="L377">
        <v>1</v>
      </c>
      <c r="M377">
        <v>0</v>
      </c>
    </row>
    <row r="378" spans="1:13" x14ac:dyDescent="0.35">
      <c r="A378">
        <v>17</v>
      </c>
      <c r="B378" t="s">
        <v>16</v>
      </c>
      <c r="C378">
        <v>3.3</v>
      </c>
      <c r="D378" t="s">
        <v>17</v>
      </c>
      <c r="E378">
        <v>8.4</v>
      </c>
      <c r="F378">
        <v>2.1</v>
      </c>
      <c r="G378">
        <v>3.4</v>
      </c>
      <c r="H378">
        <v>0.2</v>
      </c>
      <c r="I378" t="s">
        <v>18</v>
      </c>
      <c r="J378">
        <v>1</v>
      </c>
      <c r="K378">
        <v>3</v>
      </c>
      <c r="L378">
        <v>10</v>
      </c>
      <c r="M378">
        <v>0</v>
      </c>
    </row>
    <row r="379" spans="1:13" x14ac:dyDescent="0.35">
      <c r="A379">
        <v>17</v>
      </c>
      <c r="B379" t="s">
        <v>16</v>
      </c>
      <c r="C379">
        <v>8</v>
      </c>
      <c r="D379" t="s">
        <v>14</v>
      </c>
      <c r="E379">
        <v>8.1</v>
      </c>
      <c r="F379">
        <v>1.2</v>
      </c>
      <c r="G379">
        <v>2.13</v>
      </c>
      <c r="H379">
        <v>1</v>
      </c>
      <c r="I379" t="s">
        <v>15</v>
      </c>
      <c r="J379">
        <v>1</v>
      </c>
      <c r="K379">
        <v>8</v>
      </c>
      <c r="L379">
        <v>7</v>
      </c>
      <c r="M379">
        <v>0</v>
      </c>
    </row>
    <row r="380" spans="1:13" x14ac:dyDescent="0.35">
      <c r="A380">
        <v>17</v>
      </c>
      <c r="B380" t="s">
        <v>16</v>
      </c>
      <c r="C380">
        <v>2.8</v>
      </c>
      <c r="D380" t="s">
        <v>20</v>
      </c>
      <c r="E380">
        <v>6.2</v>
      </c>
      <c r="F380">
        <v>2.4</v>
      </c>
      <c r="G380">
        <v>2.58</v>
      </c>
      <c r="H380">
        <v>0.4</v>
      </c>
      <c r="I380" t="s">
        <v>18</v>
      </c>
      <c r="J380">
        <v>4</v>
      </c>
      <c r="K380">
        <v>10</v>
      </c>
      <c r="L380">
        <v>9</v>
      </c>
      <c r="M380">
        <v>0</v>
      </c>
    </row>
    <row r="381" spans="1:13" x14ac:dyDescent="0.35">
      <c r="A381">
        <v>17</v>
      </c>
      <c r="B381" t="s">
        <v>16</v>
      </c>
      <c r="C381">
        <v>7.2</v>
      </c>
      <c r="D381" t="s">
        <v>17</v>
      </c>
      <c r="E381">
        <v>7</v>
      </c>
      <c r="F381">
        <v>1.3</v>
      </c>
      <c r="G381">
        <v>3.86</v>
      </c>
      <c r="H381">
        <v>0.9</v>
      </c>
      <c r="I381" t="s">
        <v>15</v>
      </c>
      <c r="J381">
        <v>7</v>
      </c>
      <c r="K381">
        <v>8</v>
      </c>
      <c r="L381">
        <v>4</v>
      </c>
      <c r="M381">
        <v>0</v>
      </c>
    </row>
    <row r="382" spans="1:13" x14ac:dyDescent="0.35">
      <c r="A382">
        <v>17</v>
      </c>
      <c r="B382" t="s">
        <v>16</v>
      </c>
      <c r="C382">
        <v>5.8</v>
      </c>
      <c r="D382" t="s">
        <v>14</v>
      </c>
      <c r="E382">
        <v>4.0999999999999996</v>
      </c>
      <c r="F382">
        <v>2.9</v>
      </c>
      <c r="G382">
        <v>2.33</v>
      </c>
      <c r="H382">
        <v>0.4</v>
      </c>
      <c r="I382" t="s">
        <v>18</v>
      </c>
      <c r="J382">
        <v>9</v>
      </c>
      <c r="K382">
        <v>6</v>
      </c>
      <c r="L382">
        <v>8</v>
      </c>
      <c r="M382">
        <v>0</v>
      </c>
    </row>
    <row r="383" spans="1:13" x14ac:dyDescent="0.35">
      <c r="A383">
        <v>17</v>
      </c>
      <c r="B383" t="s">
        <v>16</v>
      </c>
      <c r="C383">
        <v>5.5</v>
      </c>
      <c r="D383" t="s">
        <v>14</v>
      </c>
      <c r="E383">
        <v>4.9000000000000004</v>
      </c>
      <c r="F383">
        <v>2.6</v>
      </c>
      <c r="G383">
        <v>3.64</v>
      </c>
      <c r="H383">
        <v>0.8</v>
      </c>
      <c r="I383" t="s">
        <v>19</v>
      </c>
      <c r="J383">
        <v>6</v>
      </c>
      <c r="K383">
        <v>8</v>
      </c>
      <c r="L383">
        <v>3</v>
      </c>
      <c r="M383">
        <v>0</v>
      </c>
    </row>
    <row r="384" spans="1:13" x14ac:dyDescent="0.35">
      <c r="A384">
        <v>17</v>
      </c>
      <c r="B384" t="s">
        <v>16</v>
      </c>
      <c r="C384">
        <v>2.2000000000000002</v>
      </c>
      <c r="D384" t="s">
        <v>20</v>
      </c>
      <c r="E384">
        <v>7.5</v>
      </c>
      <c r="F384">
        <v>2.2000000000000002</v>
      </c>
      <c r="G384">
        <v>2.95</v>
      </c>
      <c r="H384">
        <v>1.6</v>
      </c>
      <c r="I384" t="s">
        <v>15</v>
      </c>
      <c r="J384">
        <v>9</v>
      </c>
      <c r="K384">
        <v>7</v>
      </c>
      <c r="L384">
        <v>4</v>
      </c>
      <c r="M384">
        <v>0</v>
      </c>
    </row>
    <row r="385" spans="1:13" x14ac:dyDescent="0.35">
      <c r="A385">
        <v>17</v>
      </c>
      <c r="B385" t="s">
        <v>16</v>
      </c>
      <c r="C385">
        <v>1.8</v>
      </c>
      <c r="D385" t="s">
        <v>17</v>
      </c>
      <c r="E385">
        <v>5.9</v>
      </c>
      <c r="F385">
        <v>1.9</v>
      </c>
      <c r="G385">
        <v>2.89</v>
      </c>
      <c r="H385">
        <v>0.6</v>
      </c>
      <c r="I385" t="s">
        <v>15</v>
      </c>
      <c r="J385">
        <v>8</v>
      </c>
      <c r="K385">
        <v>8</v>
      </c>
      <c r="L385">
        <v>5</v>
      </c>
      <c r="M385">
        <v>0</v>
      </c>
    </row>
    <row r="386" spans="1:13" x14ac:dyDescent="0.35">
      <c r="A386">
        <v>17</v>
      </c>
      <c r="B386" t="s">
        <v>16</v>
      </c>
      <c r="C386">
        <v>6.4</v>
      </c>
      <c r="D386" t="s">
        <v>17</v>
      </c>
      <c r="E386">
        <v>4.9000000000000004</v>
      </c>
      <c r="F386">
        <v>2.1</v>
      </c>
      <c r="G386">
        <v>2.78</v>
      </c>
      <c r="H386">
        <v>1</v>
      </c>
      <c r="I386" t="s">
        <v>18</v>
      </c>
      <c r="J386">
        <v>2</v>
      </c>
      <c r="K386">
        <v>2</v>
      </c>
      <c r="L386">
        <v>6</v>
      </c>
      <c r="M386">
        <v>0</v>
      </c>
    </row>
    <row r="387" spans="1:13" x14ac:dyDescent="0.35">
      <c r="A387">
        <v>17</v>
      </c>
      <c r="B387" t="s">
        <v>16</v>
      </c>
      <c r="C387">
        <v>2.2000000000000002</v>
      </c>
      <c r="D387" t="s">
        <v>17</v>
      </c>
      <c r="E387">
        <v>6.5</v>
      </c>
      <c r="F387">
        <v>3</v>
      </c>
      <c r="G387">
        <v>2.4900000000000002</v>
      </c>
      <c r="H387">
        <v>0.2</v>
      </c>
      <c r="I387" t="s">
        <v>19</v>
      </c>
      <c r="J387">
        <v>5</v>
      </c>
      <c r="K387">
        <v>8</v>
      </c>
      <c r="L387">
        <v>4</v>
      </c>
      <c r="M387">
        <v>0</v>
      </c>
    </row>
    <row r="388" spans="1:13" x14ac:dyDescent="0.35">
      <c r="A388">
        <v>17</v>
      </c>
      <c r="B388" t="s">
        <v>16</v>
      </c>
      <c r="C388">
        <v>6.6</v>
      </c>
      <c r="D388" t="s">
        <v>20</v>
      </c>
      <c r="E388">
        <v>7.4</v>
      </c>
      <c r="F388">
        <v>2.2000000000000002</v>
      </c>
      <c r="G388">
        <v>2.63</v>
      </c>
      <c r="H388">
        <v>0.6</v>
      </c>
      <c r="I388" t="s">
        <v>18</v>
      </c>
      <c r="J388">
        <v>7</v>
      </c>
      <c r="K388">
        <v>4</v>
      </c>
      <c r="L388">
        <v>9</v>
      </c>
      <c r="M388">
        <v>0</v>
      </c>
    </row>
    <row r="389" spans="1:13" x14ac:dyDescent="0.35">
      <c r="A389">
        <v>17</v>
      </c>
      <c r="B389" t="s">
        <v>16</v>
      </c>
      <c r="C389">
        <v>1.3</v>
      </c>
      <c r="D389" t="s">
        <v>14</v>
      </c>
      <c r="E389">
        <v>5.0999999999999996</v>
      </c>
      <c r="F389">
        <v>2.2000000000000002</v>
      </c>
      <c r="G389">
        <v>3.44</v>
      </c>
      <c r="H389">
        <v>0.6</v>
      </c>
      <c r="I389" t="s">
        <v>18</v>
      </c>
      <c r="J389">
        <v>7</v>
      </c>
      <c r="K389">
        <v>8</v>
      </c>
      <c r="L389">
        <v>6</v>
      </c>
      <c r="M389">
        <v>0</v>
      </c>
    </row>
    <row r="390" spans="1:13" x14ac:dyDescent="0.35">
      <c r="A390">
        <v>17</v>
      </c>
      <c r="B390" t="s">
        <v>16</v>
      </c>
      <c r="C390">
        <v>6.7</v>
      </c>
      <c r="D390" t="s">
        <v>20</v>
      </c>
      <c r="E390">
        <v>7.9</v>
      </c>
      <c r="F390">
        <v>1.4</v>
      </c>
      <c r="G390">
        <v>3.91</v>
      </c>
      <c r="H390">
        <v>0.4</v>
      </c>
      <c r="I390" t="s">
        <v>18</v>
      </c>
      <c r="J390">
        <v>3</v>
      </c>
      <c r="K390">
        <v>3</v>
      </c>
      <c r="L390">
        <v>1</v>
      </c>
      <c r="M390">
        <v>0</v>
      </c>
    </row>
    <row r="391" spans="1:13" x14ac:dyDescent="0.35">
      <c r="A391">
        <v>17</v>
      </c>
      <c r="B391" t="s">
        <v>16</v>
      </c>
      <c r="C391">
        <v>2.2000000000000002</v>
      </c>
      <c r="D391" t="s">
        <v>20</v>
      </c>
      <c r="E391">
        <v>7.2</v>
      </c>
      <c r="F391">
        <v>0.5</v>
      </c>
      <c r="G391">
        <v>2.38</v>
      </c>
      <c r="H391">
        <v>1.2</v>
      </c>
      <c r="I391" t="s">
        <v>19</v>
      </c>
      <c r="J391">
        <v>10</v>
      </c>
      <c r="K391">
        <v>4</v>
      </c>
      <c r="L391">
        <v>8</v>
      </c>
      <c r="M391">
        <v>0</v>
      </c>
    </row>
    <row r="392" spans="1:13" x14ac:dyDescent="0.35">
      <c r="A392">
        <v>17</v>
      </c>
      <c r="B392" t="s">
        <v>16</v>
      </c>
      <c r="C392">
        <v>1.1000000000000001</v>
      </c>
      <c r="D392" t="s">
        <v>17</v>
      </c>
      <c r="E392">
        <v>6.8</v>
      </c>
      <c r="F392">
        <v>0.6</v>
      </c>
      <c r="G392">
        <v>2.2799999999999998</v>
      </c>
      <c r="H392">
        <v>1.6</v>
      </c>
      <c r="I392" t="s">
        <v>19</v>
      </c>
      <c r="J392">
        <v>9</v>
      </c>
      <c r="K392">
        <v>3</v>
      </c>
      <c r="L392">
        <v>7</v>
      </c>
      <c r="M392">
        <v>0</v>
      </c>
    </row>
    <row r="393" spans="1:13" x14ac:dyDescent="0.35">
      <c r="A393">
        <v>17</v>
      </c>
      <c r="B393" t="s">
        <v>16</v>
      </c>
      <c r="C393">
        <v>5.0999999999999996</v>
      </c>
      <c r="D393" t="s">
        <v>17</v>
      </c>
      <c r="E393">
        <v>8.6</v>
      </c>
      <c r="F393">
        <v>1.9</v>
      </c>
      <c r="G393">
        <v>3.33</v>
      </c>
      <c r="H393">
        <v>1.1000000000000001</v>
      </c>
      <c r="I393" t="s">
        <v>15</v>
      </c>
      <c r="J393">
        <v>1</v>
      </c>
      <c r="K393">
        <v>7</v>
      </c>
      <c r="L393">
        <v>8</v>
      </c>
      <c r="M393">
        <v>0</v>
      </c>
    </row>
    <row r="394" spans="1:13" x14ac:dyDescent="0.35">
      <c r="A394">
        <v>17</v>
      </c>
      <c r="B394" t="s">
        <v>16</v>
      </c>
      <c r="C394">
        <v>5</v>
      </c>
      <c r="D394" t="s">
        <v>17</v>
      </c>
      <c r="E394">
        <v>7.3</v>
      </c>
      <c r="F394">
        <v>1.9</v>
      </c>
      <c r="G394">
        <v>3.83</v>
      </c>
      <c r="H394">
        <v>0.4</v>
      </c>
      <c r="I394" t="s">
        <v>18</v>
      </c>
      <c r="J394">
        <v>8</v>
      </c>
      <c r="K394">
        <v>9</v>
      </c>
      <c r="L394">
        <v>9</v>
      </c>
      <c r="M394">
        <v>0</v>
      </c>
    </row>
    <row r="395" spans="1:13" x14ac:dyDescent="0.35">
      <c r="A395">
        <v>17</v>
      </c>
      <c r="B395" t="s">
        <v>16</v>
      </c>
      <c r="C395">
        <v>5.3</v>
      </c>
      <c r="D395" t="s">
        <v>20</v>
      </c>
      <c r="E395">
        <v>6.8</v>
      </c>
      <c r="F395">
        <v>1.9</v>
      </c>
      <c r="G395">
        <v>3.39</v>
      </c>
      <c r="H395">
        <v>1.6</v>
      </c>
      <c r="I395" t="s">
        <v>15</v>
      </c>
      <c r="J395">
        <v>10</v>
      </c>
      <c r="K395">
        <v>6</v>
      </c>
      <c r="L395">
        <v>8</v>
      </c>
      <c r="M395">
        <v>0</v>
      </c>
    </row>
    <row r="396" spans="1:13" x14ac:dyDescent="0.35">
      <c r="A396">
        <v>17</v>
      </c>
      <c r="B396" t="s">
        <v>16</v>
      </c>
      <c r="C396">
        <v>7.3</v>
      </c>
      <c r="D396" t="s">
        <v>20</v>
      </c>
      <c r="E396">
        <v>7.8</v>
      </c>
      <c r="F396">
        <v>1.1000000000000001</v>
      </c>
      <c r="G396">
        <v>2.0299999999999998</v>
      </c>
      <c r="H396">
        <v>1.1000000000000001</v>
      </c>
      <c r="I396" t="s">
        <v>15</v>
      </c>
      <c r="J396">
        <v>3</v>
      </c>
      <c r="K396">
        <v>10</v>
      </c>
      <c r="L396">
        <v>6</v>
      </c>
      <c r="M396">
        <v>0</v>
      </c>
    </row>
    <row r="397" spans="1:13" x14ac:dyDescent="0.35">
      <c r="A397">
        <v>17</v>
      </c>
      <c r="B397" t="s">
        <v>16</v>
      </c>
      <c r="C397">
        <v>2.9</v>
      </c>
      <c r="D397" t="s">
        <v>20</v>
      </c>
      <c r="E397">
        <v>7.5</v>
      </c>
      <c r="F397">
        <v>1.4</v>
      </c>
      <c r="G397">
        <v>3.42</v>
      </c>
      <c r="H397">
        <v>1.7</v>
      </c>
      <c r="I397" t="s">
        <v>15</v>
      </c>
      <c r="J397">
        <v>5</v>
      </c>
      <c r="K397">
        <v>6</v>
      </c>
      <c r="L397">
        <v>3</v>
      </c>
      <c r="M397">
        <v>0</v>
      </c>
    </row>
    <row r="398" spans="1:13" x14ac:dyDescent="0.35">
      <c r="A398">
        <v>17</v>
      </c>
      <c r="B398" t="s">
        <v>16</v>
      </c>
      <c r="C398">
        <v>6.9</v>
      </c>
      <c r="D398" t="s">
        <v>17</v>
      </c>
      <c r="E398">
        <v>6.1</v>
      </c>
      <c r="F398">
        <v>2.4</v>
      </c>
      <c r="G398">
        <v>3.77</v>
      </c>
      <c r="H398">
        <v>1.1000000000000001</v>
      </c>
      <c r="I398" t="s">
        <v>19</v>
      </c>
      <c r="J398">
        <v>9</v>
      </c>
      <c r="K398">
        <v>4</v>
      </c>
      <c r="L398">
        <v>9</v>
      </c>
      <c r="M398">
        <v>0</v>
      </c>
    </row>
    <row r="399" spans="1:13" x14ac:dyDescent="0.35">
      <c r="A399">
        <v>17</v>
      </c>
      <c r="B399" t="s">
        <v>16</v>
      </c>
      <c r="C399">
        <v>2.2999999999999998</v>
      </c>
      <c r="D399" t="s">
        <v>14</v>
      </c>
      <c r="E399">
        <v>4.9000000000000004</v>
      </c>
      <c r="F399">
        <v>1.7</v>
      </c>
      <c r="G399">
        <v>2.0699999999999998</v>
      </c>
      <c r="H399">
        <v>0.3</v>
      </c>
      <c r="I399" t="s">
        <v>19</v>
      </c>
      <c r="J399">
        <v>3</v>
      </c>
      <c r="K399">
        <v>7</v>
      </c>
      <c r="L399">
        <v>7</v>
      </c>
      <c r="M399">
        <v>0</v>
      </c>
    </row>
    <row r="400" spans="1:13" x14ac:dyDescent="0.35">
      <c r="A400">
        <v>17</v>
      </c>
      <c r="B400" t="s">
        <v>16</v>
      </c>
      <c r="C400">
        <v>7.5</v>
      </c>
      <c r="D400" t="s">
        <v>20</v>
      </c>
      <c r="E400">
        <v>4.7</v>
      </c>
      <c r="F400">
        <v>2.1</v>
      </c>
      <c r="G400">
        <v>2.5499999999999998</v>
      </c>
      <c r="H400">
        <v>0.1</v>
      </c>
      <c r="I400" t="s">
        <v>18</v>
      </c>
      <c r="J400">
        <v>3</v>
      </c>
      <c r="K400">
        <v>9</v>
      </c>
      <c r="L400">
        <v>1</v>
      </c>
      <c r="M400">
        <v>0</v>
      </c>
    </row>
    <row r="401" spans="1:13" x14ac:dyDescent="0.35">
      <c r="A401">
        <v>17</v>
      </c>
      <c r="B401" t="s">
        <v>16</v>
      </c>
      <c r="C401">
        <v>5.5</v>
      </c>
      <c r="D401" t="s">
        <v>14</v>
      </c>
      <c r="E401">
        <v>6.3</v>
      </c>
      <c r="F401">
        <v>0.8</v>
      </c>
      <c r="G401">
        <v>2.59</v>
      </c>
      <c r="H401">
        <v>1.6</v>
      </c>
      <c r="I401" t="s">
        <v>18</v>
      </c>
      <c r="J401">
        <v>6</v>
      </c>
      <c r="K401">
        <v>8</v>
      </c>
      <c r="L401">
        <v>7</v>
      </c>
      <c r="M401">
        <v>0</v>
      </c>
    </row>
    <row r="402" spans="1:13" x14ac:dyDescent="0.35">
      <c r="A402">
        <v>17</v>
      </c>
      <c r="B402" t="s">
        <v>16</v>
      </c>
      <c r="C402">
        <v>3.7</v>
      </c>
      <c r="D402" t="s">
        <v>14</v>
      </c>
      <c r="E402">
        <v>6.3</v>
      </c>
      <c r="F402">
        <v>1.3</v>
      </c>
      <c r="G402">
        <v>2.7</v>
      </c>
      <c r="H402">
        <v>1.1000000000000001</v>
      </c>
      <c r="I402" t="s">
        <v>19</v>
      </c>
      <c r="J402">
        <v>2</v>
      </c>
      <c r="K402">
        <v>6</v>
      </c>
      <c r="L402">
        <v>9</v>
      </c>
      <c r="M402">
        <v>0</v>
      </c>
    </row>
    <row r="403" spans="1:13" x14ac:dyDescent="0.35">
      <c r="A403">
        <v>17</v>
      </c>
      <c r="B403" t="s">
        <v>16</v>
      </c>
      <c r="C403">
        <v>7</v>
      </c>
      <c r="D403" t="s">
        <v>17</v>
      </c>
      <c r="E403">
        <v>8.9</v>
      </c>
      <c r="F403">
        <v>0.6</v>
      </c>
      <c r="G403">
        <v>3.67</v>
      </c>
      <c r="H403">
        <v>0.2</v>
      </c>
      <c r="I403" t="s">
        <v>19</v>
      </c>
      <c r="J403">
        <v>9</v>
      </c>
      <c r="K403">
        <v>2</v>
      </c>
      <c r="L403">
        <v>4</v>
      </c>
      <c r="M403">
        <v>0</v>
      </c>
    </row>
    <row r="404" spans="1:13" x14ac:dyDescent="0.35">
      <c r="A404">
        <v>17</v>
      </c>
      <c r="B404" t="s">
        <v>16</v>
      </c>
      <c r="C404">
        <v>5.4</v>
      </c>
      <c r="D404" t="s">
        <v>17</v>
      </c>
      <c r="E404">
        <v>7.1</v>
      </c>
      <c r="F404">
        <v>2.5</v>
      </c>
      <c r="G404">
        <v>2.68</v>
      </c>
      <c r="H404">
        <v>1.6</v>
      </c>
      <c r="I404" t="s">
        <v>15</v>
      </c>
      <c r="J404">
        <v>3</v>
      </c>
      <c r="K404">
        <v>5</v>
      </c>
      <c r="L404">
        <v>7</v>
      </c>
      <c r="M404">
        <v>0</v>
      </c>
    </row>
    <row r="405" spans="1:13" x14ac:dyDescent="0.35">
      <c r="A405">
        <v>17</v>
      </c>
      <c r="B405" t="s">
        <v>16</v>
      </c>
      <c r="C405">
        <v>1.1000000000000001</v>
      </c>
      <c r="D405" t="s">
        <v>17</v>
      </c>
      <c r="E405">
        <v>8.1999999999999993</v>
      </c>
      <c r="F405">
        <v>2.7</v>
      </c>
      <c r="G405">
        <v>2.84</v>
      </c>
      <c r="H405">
        <v>0.2</v>
      </c>
      <c r="I405" t="s">
        <v>18</v>
      </c>
      <c r="J405">
        <v>2</v>
      </c>
      <c r="K405">
        <v>4</v>
      </c>
      <c r="L405">
        <v>1</v>
      </c>
      <c r="M405">
        <v>0</v>
      </c>
    </row>
    <row r="406" spans="1:13" x14ac:dyDescent="0.35">
      <c r="A406">
        <v>17</v>
      </c>
      <c r="B406" t="s">
        <v>16</v>
      </c>
      <c r="C406">
        <v>1.1000000000000001</v>
      </c>
      <c r="D406" t="s">
        <v>17</v>
      </c>
      <c r="E406">
        <v>4.5999999999999996</v>
      </c>
      <c r="F406">
        <v>2.5</v>
      </c>
      <c r="G406">
        <v>3.93</v>
      </c>
      <c r="H406">
        <v>0.3</v>
      </c>
      <c r="I406" t="s">
        <v>18</v>
      </c>
      <c r="J406">
        <v>10</v>
      </c>
      <c r="K406">
        <v>6</v>
      </c>
      <c r="L406">
        <v>2</v>
      </c>
      <c r="M406">
        <v>0</v>
      </c>
    </row>
    <row r="407" spans="1:13" x14ac:dyDescent="0.35">
      <c r="A407">
        <v>17</v>
      </c>
      <c r="B407" t="s">
        <v>16</v>
      </c>
      <c r="C407">
        <v>6.2</v>
      </c>
      <c r="D407" t="s">
        <v>20</v>
      </c>
      <c r="E407">
        <v>6.1</v>
      </c>
      <c r="F407">
        <v>2.4</v>
      </c>
      <c r="G407">
        <v>3.05</v>
      </c>
      <c r="H407">
        <v>1.8</v>
      </c>
      <c r="I407" t="s">
        <v>18</v>
      </c>
      <c r="J407">
        <v>3</v>
      </c>
      <c r="K407">
        <v>6</v>
      </c>
      <c r="L407">
        <v>8</v>
      </c>
      <c r="M407">
        <v>0</v>
      </c>
    </row>
    <row r="408" spans="1:13" x14ac:dyDescent="0.35">
      <c r="A408">
        <v>17</v>
      </c>
      <c r="B408" t="s">
        <v>16</v>
      </c>
      <c r="C408">
        <v>2.6</v>
      </c>
      <c r="D408" t="s">
        <v>17</v>
      </c>
      <c r="E408">
        <v>4.2</v>
      </c>
      <c r="F408">
        <v>0.7</v>
      </c>
      <c r="G408">
        <v>3.02</v>
      </c>
      <c r="H408">
        <v>1.6</v>
      </c>
      <c r="I408" t="s">
        <v>15</v>
      </c>
      <c r="J408">
        <v>7</v>
      </c>
      <c r="K408">
        <v>4</v>
      </c>
      <c r="L408">
        <v>7</v>
      </c>
      <c r="M408">
        <v>0</v>
      </c>
    </row>
    <row r="409" spans="1:13" x14ac:dyDescent="0.35">
      <c r="A409">
        <v>17</v>
      </c>
      <c r="B409" t="s">
        <v>16</v>
      </c>
      <c r="C409">
        <v>6.7</v>
      </c>
      <c r="D409" t="s">
        <v>14</v>
      </c>
      <c r="E409">
        <v>4.3</v>
      </c>
      <c r="F409">
        <v>0.6</v>
      </c>
      <c r="G409">
        <v>3.76</v>
      </c>
      <c r="H409">
        <v>0</v>
      </c>
      <c r="I409" t="s">
        <v>15</v>
      </c>
      <c r="J409">
        <v>2</v>
      </c>
      <c r="K409">
        <v>1</v>
      </c>
      <c r="L409">
        <v>7</v>
      </c>
      <c r="M409">
        <v>0</v>
      </c>
    </row>
    <row r="410" spans="1:13" x14ac:dyDescent="0.35">
      <c r="A410">
        <v>17</v>
      </c>
      <c r="B410" t="s">
        <v>16</v>
      </c>
      <c r="C410">
        <v>2.7</v>
      </c>
      <c r="D410" t="s">
        <v>17</v>
      </c>
      <c r="E410">
        <v>6.6</v>
      </c>
      <c r="F410">
        <v>1.6</v>
      </c>
      <c r="G410">
        <v>3.36</v>
      </c>
      <c r="H410">
        <v>1.6</v>
      </c>
      <c r="I410" t="s">
        <v>18</v>
      </c>
      <c r="J410">
        <v>3</v>
      </c>
      <c r="K410">
        <v>1</v>
      </c>
      <c r="L410">
        <v>2</v>
      </c>
      <c r="M410">
        <v>0</v>
      </c>
    </row>
    <row r="411" spans="1:13" x14ac:dyDescent="0.35">
      <c r="A411">
        <v>15</v>
      </c>
      <c r="B411" t="s">
        <v>13</v>
      </c>
      <c r="C411">
        <v>5.0999999999999996</v>
      </c>
      <c r="D411" t="s">
        <v>14</v>
      </c>
      <c r="E411">
        <v>4.0999999999999996</v>
      </c>
      <c r="F411">
        <v>2.8</v>
      </c>
      <c r="G411">
        <v>3.79</v>
      </c>
      <c r="H411">
        <v>0.8</v>
      </c>
      <c r="I411" t="s">
        <v>19</v>
      </c>
      <c r="J411">
        <v>9</v>
      </c>
      <c r="K411">
        <v>7</v>
      </c>
      <c r="L411">
        <v>3</v>
      </c>
      <c r="M411">
        <v>1</v>
      </c>
    </row>
    <row r="412" spans="1:13" x14ac:dyDescent="0.35">
      <c r="A412">
        <v>17</v>
      </c>
      <c r="B412" t="s">
        <v>16</v>
      </c>
      <c r="C412">
        <v>1.1000000000000001</v>
      </c>
      <c r="D412" t="s">
        <v>20</v>
      </c>
      <c r="E412">
        <v>8.6999999999999993</v>
      </c>
      <c r="F412">
        <v>2.1</v>
      </c>
      <c r="G412">
        <v>3.01</v>
      </c>
      <c r="H412">
        <v>0.7</v>
      </c>
      <c r="I412" t="s">
        <v>19</v>
      </c>
      <c r="J412">
        <v>1</v>
      </c>
      <c r="K412">
        <v>1</v>
      </c>
      <c r="L412">
        <v>3</v>
      </c>
      <c r="M412">
        <v>0</v>
      </c>
    </row>
    <row r="413" spans="1:13" x14ac:dyDescent="0.35">
      <c r="A413">
        <v>17</v>
      </c>
      <c r="B413" t="s">
        <v>16</v>
      </c>
      <c r="C413">
        <v>2.6</v>
      </c>
      <c r="D413" t="s">
        <v>17</v>
      </c>
      <c r="E413">
        <v>4.8</v>
      </c>
      <c r="F413">
        <v>0.7</v>
      </c>
      <c r="G413">
        <v>2.52</v>
      </c>
      <c r="H413">
        <v>1.8</v>
      </c>
      <c r="I413" t="s">
        <v>19</v>
      </c>
      <c r="J413">
        <v>9</v>
      </c>
      <c r="K413">
        <v>6</v>
      </c>
      <c r="L413">
        <v>6</v>
      </c>
      <c r="M413">
        <v>0</v>
      </c>
    </row>
    <row r="414" spans="1:13" x14ac:dyDescent="0.35">
      <c r="A414">
        <v>17</v>
      </c>
      <c r="B414" t="s">
        <v>16</v>
      </c>
      <c r="C414">
        <v>7.5</v>
      </c>
      <c r="D414" t="s">
        <v>20</v>
      </c>
      <c r="E414">
        <v>8.1</v>
      </c>
      <c r="F414">
        <v>2.8</v>
      </c>
      <c r="G414">
        <v>2.58</v>
      </c>
      <c r="H414">
        <v>0.5</v>
      </c>
      <c r="I414" t="s">
        <v>19</v>
      </c>
      <c r="J414">
        <v>2</v>
      </c>
      <c r="K414">
        <v>2</v>
      </c>
      <c r="L414">
        <v>3</v>
      </c>
      <c r="M414">
        <v>0</v>
      </c>
    </row>
    <row r="415" spans="1:13" x14ac:dyDescent="0.35">
      <c r="A415">
        <v>17</v>
      </c>
      <c r="B415" t="s">
        <v>16</v>
      </c>
      <c r="C415">
        <v>2.5</v>
      </c>
      <c r="D415" t="s">
        <v>14</v>
      </c>
      <c r="E415">
        <v>4.4000000000000004</v>
      </c>
      <c r="F415">
        <v>2</v>
      </c>
      <c r="G415">
        <v>3.29</v>
      </c>
      <c r="H415">
        <v>0.7</v>
      </c>
      <c r="I415" t="s">
        <v>15</v>
      </c>
      <c r="J415">
        <v>4</v>
      </c>
      <c r="K415">
        <v>6</v>
      </c>
      <c r="L415">
        <v>5</v>
      </c>
      <c r="M415">
        <v>0</v>
      </c>
    </row>
    <row r="416" spans="1:13" x14ac:dyDescent="0.35">
      <c r="A416">
        <v>17</v>
      </c>
      <c r="B416" t="s">
        <v>16</v>
      </c>
      <c r="C416">
        <v>7.6</v>
      </c>
      <c r="D416" t="s">
        <v>14</v>
      </c>
      <c r="E416">
        <v>7.3</v>
      </c>
      <c r="F416">
        <v>1.9</v>
      </c>
      <c r="G416">
        <v>3.05</v>
      </c>
      <c r="H416">
        <v>1.1000000000000001</v>
      </c>
      <c r="I416" t="s">
        <v>19</v>
      </c>
      <c r="J416">
        <v>10</v>
      </c>
      <c r="K416">
        <v>8</v>
      </c>
      <c r="L416">
        <v>1</v>
      </c>
      <c r="M416">
        <v>0</v>
      </c>
    </row>
    <row r="417" spans="1:13" x14ac:dyDescent="0.35">
      <c r="A417">
        <v>17</v>
      </c>
      <c r="B417" t="s">
        <v>16</v>
      </c>
      <c r="C417">
        <v>2.9</v>
      </c>
      <c r="D417" t="s">
        <v>17</v>
      </c>
      <c r="E417">
        <v>4.5</v>
      </c>
      <c r="F417">
        <v>0.9</v>
      </c>
      <c r="G417">
        <v>3.71</v>
      </c>
      <c r="H417">
        <v>0.1</v>
      </c>
      <c r="I417" t="s">
        <v>15</v>
      </c>
      <c r="J417">
        <v>1</v>
      </c>
      <c r="K417">
        <v>6</v>
      </c>
      <c r="L417">
        <v>4</v>
      </c>
      <c r="M417">
        <v>0</v>
      </c>
    </row>
    <row r="418" spans="1:13" x14ac:dyDescent="0.35">
      <c r="A418">
        <v>17</v>
      </c>
      <c r="B418" t="s">
        <v>16</v>
      </c>
      <c r="C418">
        <v>7.2</v>
      </c>
      <c r="D418" t="s">
        <v>17</v>
      </c>
      <c r="E418">
        <v>8.1999999999999993</v>
      </c>
      <c r="F418">
        <v>2.9</v>
      </c>
      <c r="G418">
        <v>3.69</v>
      </c>
      <c r="H418">
        <v>1</v>
      </c>
      <c r="I418" t="s">
        <v>18</v>
      </c>
      <c r="J418">
        <v>6</v>
      </c>
      <c r="K418">
        <v>2</v>
      </c>
      <c r="L418">
        <v>5</v>
      </c>
      <c r="M418">
        <v>0</v>
      </c>
    </row>
    <row r="419" spans="1:13" x14ac:dyDescent="0.35">
      <c r="A419">
        <v>17</v>
      </c>
      <c r="B419" t="s">
        <v>16</v>
      </c>
      <c r="C419">
        <v>3.5</v>
      </c>
      <c r="D419" t="s">
        <v>20</v>
      </c>
      <c r="E419">
        <v>8.5</v>
      </c>
      <c r="F419">
        <v>2.2000000000000002</v>
      </c>
      <c r="G419">
        <v>2.11</v>
      </c>
      <c r="H419">
        <v>1.3</v>
      </c>
      <c r="I419" t="s">
        <v>19</v>
      </c>
      <c r="J419">
        <v>8</v>
      </c>
      <c r="K419">
        <v>8</v>
      </c>
      <c r="L419">
        <v>2</v>
      </c>
      <c r="M419">
        <v>0</v>
      </c>
    </row>
    <row r="420" spans="1:13" x14ac:dyDescent="0.35">
      <c r="A420">
        <v>17</v>
      </c>
      <c r="B420" t="s">
        <v>16</v>
      </c>
      <c r="C420">
        <v>4</v>
      </c>
      <c r="D420" t="s">
        <v>14</v>
      </c>
      <c r="E420">
        <v>6.7</v>
      </c>
      <c r="F420">
        <v>0.6</v>
      </c>
      <c r="G420">
        <v>2.5099999999999998</v>
      </c>
      <c r="H420">
        <v>1.5</v>
      </c>
      <c r="I420" t="s">
        <v>18</v>
      </c>
      <c r="J420">
        <v>9</v>
      </c>
      <c r="K420">
        <v>8</v>
      </c>
      <c r="L420">
        <v>5</v>
      </c>
      <c r="M420">
        <v>0</v>
      </c>
    </row>
    <row r="421" spans="1:13" x14ac:dyDescent="0.35">
      <c r="A421">
        <v>17</v>
      </c>
      <c r="B421" t="s">
        <v>16</v>
      </c>
      <c r="C421">
        <v>2.6</v>
      </c>
      <c r="D421" t="s">
        <v>14</v>
      </c>
      <c r="E421">
        <v>6.5</v>
      </c>
      <c r="F421">
        <v>1.5</v>
      </c>
      <c r="G421">
        <v>3.8</v>
      </c>
      <c r="H421">
        <v>0.2</v>
      </c>
      <c r="I421" t="s">
        <v>18</v>
      </c>
      <c r="J421">
        <v>8</v>
      </c>
      <c r="K421">
        <v>6</v>
      </c>
      <c r="L421">
        <v>1</v>
      </c>
      <c r="M421">
        <v>0</v>
      </c>
    </row>
    <row r="422" spans="1:13" x14ac:dyDescent="0.35">
      <c r="A422">
        <v>17</v>
      </c>
      <c r="B422" t="s">
        <v>16</v>
      </c>
      <c r="C422">
        <v>5.3</v>
      </c>
      <c r="D422" t="s">
        <v>14</v>
      </c>
      <c r="E422">
        <v>6.6</v>
      </c>
      <c r="F422">
        <v>0.6</v>
      </c>
      <c r="G422">
        <v>3.04</v>
      </c>
      <c r="H422">
        <v>0.1</v>
      </c>
      <c r="I422" t="s">
        <v>18</v>
      </c>
      <c r="J422">
        <v>3</v>
      </c>
      <c r="K422">
        <v>7</v>
      </c>
      <c r="L422">
        <v>1</v>
      </c>
      <c r="M422">
        <v>0</v>
      </c>
    </row>
    <row r="423" spans="1:13" x14ac:dyDescent="0.35">
      <c r="A423">
        <v>17</v>
      </c>
      <c r="B423" t="s">
        <v>16</v>
      </c>
      <c r="C423">
        <v>7.6</v>
      </c>
      <c r="D423" t="s">
        <v>14</v>
      </c>
      <c r="E423">
        <v>7.3</v>
      </c>
      <c r="F423">
        <v>2.9</v>
      </c>
      <c r="G423">
        <v>2.99</v>
      </c>
      <c r="H423">
        <v>1.2</v>
      </c>
      <c r="I423" t="s">
        <v>18</v>
      </c>
      <c r="J423">
        <v>4</v>
      </c>
      <c r="K423">
        <v>8</v>
      </c>
      <c r="L423">
        <v>10</v>
      </c>
      <c r="M423">
        <v>0</v>
      </c>
    </row>
    <row r="424" spans="1:13" x14ac:dyDescent="0.35">
      <c r="A424">
        <v>17</v>
      </c>
      <c r="B424" t="s">
        <v>16</v>
      </c>
      <c r="C424">
        <v>3.1</v>
      </c>
      <c r="D424" t="s">
        <v>17</v>
      </c>
      <c r="E424">
        <v>4.2</v>
      </c>
      <c r="F424">
        <v>0.8</v>
      </c>
      <c r="G424">
        <v>2.2799999999999998</v>
      </c>
      <c r="H424">
        <v>1.6</v>
      </c>
      <c r="I424" t="s">
        <v>19</v>
      </c>
      <c r="J424">
        <v>4</v>
      </c>
      <c r="K424">
        <v>9</v>
      </c>
      <c r="L424">
        <v>6</v>
      </c>
      <c r="M424">
        <v>0</v>
      </c>
    </row>
    <row r="425" spans="1:13" x14ac:dyDescent="0.35">
      <c r="A425">
        <v>17</v>
      </c>
      <c r="B425" t="s">
        <v>16</v>
      </c>
      <c r="C425">
        <v>3.4</v>
      </c>
      <c r="D425" t="s">
        <v>20</v>
      </c>
      <c r="E425">
        <v>4.7</v>
      </c>
      <c r="F425">
        <v>0.5</v>
      </c>
      <c r="G425">
        <v>2.91</v>
      </c>
      <c r="H425">
        <v>2</v>
      </c>
      <c r="I425" t="s">
        <v>18</v>
      </c>
      <c r="J425">
        <v>2</v>
      </c>
      <c r="K425">
        <v>8</v>
      </c>
      <c r="L425">
        <v>1</v>
      </c>
      <c r="M425">
        <v>0</v>
      </c>
    </row>
    <row r="426" spans="1:13" x14ac:dyDescent="0.35">
      <c r="A426">
        <v>17</v>
      </c>
      <c r="B426" t="s">
        <v>16</v>
      </c>
      <c r="C426">
        <v>4.5</v>
      </c>
      <c r="D426" t="s">
        <v>20</v>
      </c>
      <c r="E426">
        <v>6.1</v>
      </c>
      <c r="F426">
        <v>2.8</v>
      </c>
      <c r="G426">
        <v>3.38</v>
      </c>
      <c r="H426">
        <v>1.2</v>
      </c>
      <c r="I426" t="s">
        <v>15</v>
      </c>
      <c r="J426">
        <v>10</v>
      </c>
      <c r="K426">
        <v>4</v>
      </c>
      <c r="L426">
        <v>2</v>
      </c>
      <c r="M426">
        <v>0</v>
      </c>
    </row>
    <row r="427" spans="1:13" x14ac:dyDescent="0.35">
      <c r="A427">
        <v>17</v>
      </c>
      <c r="B427" t="s">
        <v>16</v>
      </c>
      <c r="C427">
        <v>7.3</v>
      </c>
      <c r="D427" t="s">
        <v>14</v>
      </c>
      <c r="E427">
        <v>6.7</v>
      </c>
      <c r="F427">
        <v>1</v>
      </c>
      <c r="G427">
        <v>3.41</v>
      </c>
      <c r="H427">
        <v>1.7</v>
      </c>
      <c r="I427" t="s">
        <v>19</v>
      </c>
      <c r="J427">
        <v>6</v>
      </c>
      <c r="K427">
        <v>5</v>
      </c>
      <c r="L427">
        <v>2</v>
      </c>
      <c r="M427">
        <v>0</v>
      </c>
    </row>
    <row r="428" spans="1:13" x14ac:dyDescent="0.35">
      <c r="A428">
        <v>17</v>
      </c>
      <c r="B428" t="s">
        <v>16</v>
      </c>
      <c r="C428">
        <v>5.5</v>
      </c>
      <c r="D428" t="s">
        <v>20</v>
      </c>
      <c r="E428">
        <v>6</v>
      </c>
      <c r="F428">
        <v>2.8</v>
      </c>
      <c r="G428">
        <v>3.4</v>
      </c>
      <c r="H428">
        <v>0</v>
      </c>
      <c r="I428" t="s">
        <v>19</v>
      </c>
      <c r="J428">
        <v>2</v>
      </c>
      <c r="K428">
        <v>3</v>
      </c>
      <c r="L428">
        <v>8</v>
      </c>
      <c r="M428">
        <v>0</v>
      </c>
    </row>
    <row r="429" spans="1:13" x14ac:dyDescent="0.35">
      <c r="A429">
        <v>17</v>
      </c>
      <c r="B429" t="s">
        <v>16</v>
      </c>
      <c r="C429">
        <v>6.6</v>
      </c>
      <c r="D429" t="s">
        <v>20</v>
      </c>
      <c r="E429">
        <v>8</v>
      </c>
      <c r="F429">
        <v>1.9</v>
      </c>
      <c r="G429">
        <v>2.86</v>
      </c>
      <c r="H429">
        <v>0.4</v>
      </c>
      <c r="I429" t="s">
        <v>19</v>
      </c>
      <c r="J429">
        <v>4</v>
      </c>
      <c r="K429">
        <v>8</v>
      </c>
      <c r="L429">
        <v>5</v>
      </c>
      <c r="M429">
        <v>0</v>
      </c>
    </row>
    <row r="430" spans="1:13" x14ac:dyDescent="0.35">
      <c r="A430">
        <v>17</v>
      </c>
      <c r="B430" t="s">
        <v>16</v>
      </c>
      <c r="C430">
        <v>7.8</v>
      </c>
      <c r="D430" t="s">
        <v>17</v>
      </c>
      <c r="E430">
        <v>5.7</v>
      </c>
      <c r="F430">
        <v>1.2</v>
      </c>
      <c r="G430">
        <v>3.72</v>
      </c>
      <c r="H430">
        <v>1.2</v>
      </c>
      <c r="I430" t="s">
        <v>18</v>
      </c>
      <c r="J430">
        <v>10</v>
      </c>
      <c r="K430">
        <v>2</v>
      </c>
      <c r="L430">
        <v>6</v>
      </c>
      <c r="M430">
        <v>0</v>
      </c>
    </row>
    <row r="431" spans="1:13" x14ac:dyDescent="0.35">
      <c r="A431">
        <v>17</v>
      </c>
      <c r="B431" t="s">
        <v>16</v>
      </c>
      <c r="C431">
        <v>5</v>
      </c>
      <c r="D431" t="s">
        <v>14</v>
      </c>
      <c r="E431">
        <v>7.3</v>
      </c>
      <c r="F431">
        <v>1.2</v>
      </c>
      <c r="G431">
        <v>3.39</v>
      </c>
      <c r="H431">
        <v>0.7</v>
      </c>
      <c r="I431" t="s">
        <v>19</v>
      </c>
      <c r="J431">
        <v>9</v>
      </c>
      <c r="K431">
        <v>10</v>
      </c>
      <c r="L431">
        <v>8</v>
      </c>
      <c r="M431">
        <v>0</v>
      </c>
    </row>
    <row r="432" spans="1:13" x14ac:dyDescent="0.35">
      <c r="A432">
        <v>17</v>
      </c>
      <c r="B432" t="s">
        <v>16</v>
      </c>
      <c r="C432">
        <v>7.6</v>
      </c>
      <c r="D432" t="s">
        <v>20</v>
      </c>
      <c r="E432">
        <v>7.1</v>
      </c>
      <c r="F432">
        <v>1.1000000000000001</v>
      </c>
      <c r="G432">
        <v>2.0699999999999998</v>
      </c>
      <c r="H432">
        <v>1.9</v>
      </c>
      <c r="I432" t="s">
        <v>18</v>
      </c>
      <c r="J432">
        <v>3</v>
      </c>
      <c r="K432">
        <v>2</v>
      </c>
      <c r="L432">
        <v>6</v>
      </c>
      <c r="M432">
        <v>0</v>
      </c>
    </row>
    <row r="433" spans="1:13" x14ac:dyDescent="0.35">
      <c r="A433">
        <v>17</v>
      </c>
      <c r="B433" t="s">
        <v>16</v>
      </c>
      <c r="C433">
        <v>6</v>
      </c>
      <c r="D433" t="s">
        <v>20</v>
      </c>
      <c r="E433">
        <v>4.2</v>
      </c>
      <c r="F433">
        <v>2.2000000000000002</v>
      </c>
      <c r="G433">
        <v>2.27</v>
      </c>
      <c r="H433">
        <v>0.5</v>
      </c>
      <c r="I433" t="s">
        <v>19</v>
      </c>
      <c r="J433">
        <v>1</v>
      </c>
      <c r="K433">
        <v>4</v>
      </c>
      <c r="L433">
        <v>5</v>
      </c>
      <c r="M433">
        <v>0</v>
      </c>
    </row>
    <row r="434" spans="1:13" x14ac:dyDescent="0.35">
      <c r="A434">
        <v>17</v>
      </c>
      <c r="B434" t="s">
        <v>16</v>
      </c>
      <c r="C434">
        <v>7.4</v>
      </c>
      <c r="D434" t="s">
        <v>14</v>
      </c>
      <c r="E434">
        <v>7.4</v>
      </c>
      <c r="F434">
        <v>2</v>
      </c>
      <c r="G434">
        <v>3.76</v>
      </c>
      <c r="H434">
        <v>1.7</v>
      </c>
      <c r="I434" t="s">
        <v>18</v>
      </c>
      <c r="J434">
        <v>10</v>
      </c>
      <c r="K434">
        <v>1</v>
      </c>
      <c r="L434">
        <v>4</v>
      </c>
      <c r="M434">
        <v>0</v>
      </c>
    </row>
    <row r="435" spans="1:13" x14ac:dyDescent="0.35">
      <c r="A435">
        <v>17</v>
      </c>
      <c r="B435" t="s">
        <v>16</v>
      </c>
      <c r="C435">
        <v>3.8</v>
      </c>
      <c r="D435" t="s">
        <v>14</v>
      </c>
      <c r="E435">
        <v>8.4</v>
      </c>
      <c r="F435">
        <v>0.9</v>
      </c>
      <c r="G435">
        <v>3.6</v>
      </c>
      <c r="H435">
        <v>1.9</v>
      </c>
      <c r="I435" t="s">
        <v>18</v>
      </c>
      <c r="J435">
        <v>1</v>
      </c>
      <c r="K435">
        <v>2</v>
      </c>
      <c r="L435">
        <v>2</v>
      </c>
      <c r="M435">
        <v>0</v>
      </c>
    </row>
    <row r="436" spans="1:13" x14ac:dyDescent="0.35">
      <c r="A436">
        <v>18</v>
      </c>
      <c r="B436" t="s">
        <v>16</v>
      </c>
      <c r="C436">
        <v>2.5</v>
      </c>
      <c r="D436" t="s">
        <v>14</v>
      </c>
      <c r="E436">
        <v>6.4</v>
      </c>
      <c r="F436">
        <v>2.4</v>
      </c>
      <c r="G436">
        <v>2.63</v>
      </c>
      <c r="H436">
        <v>0.7</v>
      </c>
      <c r="I436" t="s">
        <v>15</v>
      </c>
      <c r="J436">
        <v>2</v>
      </c>
      <c r="K436">
        <v>2</v>
      </c>
      <c r="L436">
        <v>5</v>
      </c>
      <c r="M436">
        <v>0</v>
      </c>
    </row>
    <row r="437" spans="1:13" x14ac:dyDescent="0.35">
      <c r="A437">
        <v>18</v>
      </c>
      <c r="B437" t="s">
        <v>16</v>
      </c>
      <c r="C437">
        <v>2.2999999999999998</v>
      </c>
      <c r="D437" t="s">
        <v>17</v>
      </c>
      <c r="E437">
        <v>7.6</v>
      </c>
      <c r="F437">
        <v>0.5</v>
      </c>
      <c r="G437">
        <v>2.96</v>
      </c>
      <c r="H437">
        <v>1.7</v>
      </c>
      <c r="I437" t="s">
        <v>19</v>
      </c>
      <c r="J437">
        <v>9</v>
      </c>
      <c r="K437">
        <v>8</v>
      </c>
      <c r="L437">
        <v>7</v>
      </c>
      <c r="M437">
        <v>0</v>
      </c>
    </row>
    <row r="438" spans="1:13" x14ac:dyDescent="0.35">
      <c r="A438">
        <v>18</v>
      </c>
      <c r="B438" t="s">
        <v>16</v>
      </c>
      <c r="C438">
        <v>2.4</v>
      </c>
      <c r="D438" t="s">
        <v>20</v>
      </c>
      <c r="E438">
        <v>6.7</v>
      </c>
      <c r="F438">
        <v>1.9</v>
      </c>
      <c r="G438">
        <v>2.5299999999999998</v>
      </c>
      <c r="H438">
        <v>0.4</v>
      </c>
      <c r="I438" t="s">
        <v>18</v>
      </c>
      <c r="J438">
        <v>8</v>
      </c>
      <c r="K438">
        <v>8</v>
      </c>
      <c r="L438">
        <v>2</v>
      </c>
      <c r="M438">
        <v>0</v>
      </c>
    </row>
    <row r="439" spans="1:13" x14ac:dyDescent="0.35">
      <c r="A439">
        <v>18</v>
      </c>
      <c r="B439" t="s">
        <v>16</v>
      </c>
      <c r="C439">
        <v>7.4</v>
      </c>
      <c r="D439" t="s">
        <v>14</v>
      </c>
      <c r="E439">
        <v>7.5</v>
      </c>
      <c r="F439">
        <v>2.2999999999999998</v>
      </c>
      <c r="G439">
        <v>2.39</v>
      </c>
      <c r="H439">
        <v>0.9</v>
      </c>
      <c r="I439" t="s">
        <v>18</v>
      </c>
      <c r="J439">
        <v>4</v>
      </c>
      <c r="K439">
        <v>1</v>
      </c>
      <c r="L439">
        <v>4</v>
      </c>
      <c r="M439">
        <v>0</v>
      </c>
    </row>
    <row r="440" spans="1:13" x14ac:dyDescent="0.35">
      <c r="A440">
        <v>18</v>
      </c>
      <c r="B440" t="s">
        <v>16</v>
      </c>
      <c r="C440">
        <v>4</v>
      </c>
      <c r="D440" t="s">
        <v>14</v>
      </c>
      <c r="E440">
        <v>4.5999999999999996</v>
      </c>
      <c r="F440">
        <v>2.2000000000000002</v>
      </c>
      <c r="G440">
        <v>3.7</v>
      </c>
      <c r="H440">
        <v>0.6</v>
      </c>
      <c r="I440" t="s">
        <v>19</v>
      </c>
      <c r="J440">
        <v>4</v>
      </c>
      <c r="K440">
        <v>1</v>
      </c>
      <c r="L440">
        <v>4</v>
      </c>
      <c r="M440">
        <v>0</v>
      </c>
    </row>
    <row r="441" spans="1:13" x14ac:dyDescent="0.35">
      <c r="A441">
        <v>18</v>
      </c>
      <c r="B441" t="s">
        <v>16</v>
      </c>
      <c r="C441">
        <v>2.4</v>
      </c>
      <c r="D441" t="s">
        <v>14</v>
      </c>
      <c r="E441">
        <v>6.3</v>
      </c>
      <c r="F441">
        <v>1.3</v>
      </c>
      <c r="G441">
        <v>3.05</v>
      </c>
      <c r="H441">
        <v>1.7</v>
      </c>
      <c r="I441" t="s">
        <v>15</v>
      </c>
      <c r="J441">
        <v>2</v>
      </c>
      <c r="K441">
        <v>9</v>
      </c>
      <c r="L441">
        <v>5</v>
      </c>
      <c r="M441">
        <v>0</v>
      </c>
    </row>
    <row r="442" spans="1:13" x14ac:dyDescent="0.35">
      <c r="A442">
        <v>18</v>
      </c>
      <c r="B442" t="s">
        <v>16</v>
      </c>
      <c r="C442">
        <v>1.1000000000000001</v>
      </c>
      <c r="D442" t="s">
        <v>20</v>
      </c>
      <c r="E442">
        <v>8</v>
      </c>
      <c r="F442">
        <v>2.7</v>
      </c>
      <c r="G442">
        <v>2.04</v>
      </c>
      <c r="H442">
        <v>0.1</v>
      </c>
      <c r="I442" t="s">
        <v>15</v>
      </c>
      <c r="J442">
        <v>7</v>
      </c>
      <c r="K442">
        <v>10</v>
      </c>
      <c r="L442">
        <v>2</v>
      </c>
      <c r="M442">
        <v>0</v>
      </c>
    </row>
    <row r="443" spans="1:13" x14ac:dyDescent="0.35">
      <c r="A443">
        <v>18</v>
      </c>
      <c r="B443" t="s">
        <v>16</v>
      </c>
      <c r="C443">
        <v>3.9</v>
      </c>
      <c r="D443" t="s">
        <v>17</v>
      </c>
      <c r="E443">
        <v>5.2</v>
      </c>
      <c r="F443">
        <v>1.8</v>
      </c>
      <c r="G443">
        <v>2.41</v>
      </c>
      <c r="H443">
        <v>0.6</v>
      </c>
      <c r="I443" t="s">
        <v>18</v>
      </c>
      <c r="J443">
        <v>9</v>
      </c>
      <c r="K443">
        <v>5</v>
      </c>
      <c r="L443">
        <v>5</v>
      </c>
      <c r="M443">
        <v>0</v>
      </c>
    </row>
    <row r="444" spans="1:13" x14ac:dyDescent="0.35">
      <c r="A444">
        <v>18</v>
      </c>
      <c r="B444" t="s">
        <v>16</v>
      </c>
      <c r="C444">
        <v>7</v>
      </c>
      <c r="D444" t="s">
        <v>20</v>
      </c>
      <c r="E444">
        <v>6.3</v>
      </c>
      <c r="F444">
        <v>1.6</v>
      </c>
      <c r="G444">
        <v>2.5499999999999998</v>
      </c>
      <c r="H444">
        <v>0.5</v>
      </c>
      <c r="I444" t="s">
        <v>19</v>
      </c>
      <c r="J444">
        <v>10</v>
      </c>
      <c r="K444">
        <v>1</v>
      </c>
      <c r="L444">
        <v>8</v>
      </c>
      <c r="M444">
        <v>0</v>
      </c>
    </row>
    <row r="445" spans="1:13" x14ac:dyDescent="0.35">
      <c r="A445">
        <v>18</v>
      </c>
      <c r="B445" t="s">
        <v>16</v>
      </c>
      <c r="C445">
        <v>4.5</v>
      </c>
      <c r="D445" t="s">
        <v>20</v>
      </c>
      <c r="E445">
        <v>7.9</v>
      </c>
      <c r="F445">
        <v>1.4</v>
      </c>
      <c r="G445">
        <v>2.38</v>
      </c>
      <c r="H445">
        <v>0.1</v>
      </c>
      <c r="I445" t="s">
        <v>18</v>
      </c>
      <c r="J445">
        <v>7</v>
      </c>
      <c r="K445">
        <v>9</v>
      </c>
      <c r="L445">
        <v>1</v>
      </c>
      <c r="M445">
        <v>0</v>
      </c>
    </row>
    <row r="446" spans="1:13" x14ac:dyDescent="0.35">
      <c r="A446">
        <v>18</v>
      </c>
      <c r="B446" t="s">
        <v>16</v>
      </c>
      <c r="C446">
        <v>4.0999999999999996</v>
      </c>
      <c r="D446" t="s">
        <v>14</v>
      </c>
      <c r="E446">
        <v>8</v>
      </c>
      <c r="F446">
        <v>1.7</v>
      </c>
      <c r="G446">
        <v>2.29</v>
      </c>
      <c r="H446">
        <v>1.4</v>
      </c>
      <c r="I446" t="s">
        <v>15</v>
      </c>
      <c r="J446">
        <v>2</v>
      </c>
      <c r="K446">
        <v>1</v>
      </c>
      <c r="L446">
        <v>10</v>
      </c>
      <c r="M446">
        <v>0</v>
      </c>
    </row>
    <row r="447" spans="1:13" x14ac:dyDescent="0.35">
      <c r="A447">
        <v>18</v>
      </c>
      <c r="B447" t="s">
        <v>16</v>
      </c>
      <c r="C447">
        <v>3.7</v>
      </c>
      <c r="D447" t="s">
        <v>20</v>
      </c>
      <c r="E447">
        <v>7.9</v>
      </c>
      <c r="F447">
        <v>2.7</v>
      </c>
      <c r="G447">
        <v>3.11</v>
      </c>
      <c r="H447">
        <v>0.3</v>
      </c>
      <c r="I447" t="s">
        <v>19</v>
      </c>
      <c r="J447">
        <v>6</v>
      </c>
      <c r="K447">
        <v>6</v>
      </c>
      <c r="L447">
        <v>5</v>
      </c>
      <c r="M447">
        <v>0</v>
      </c>
    </row>
    <row r="448" spans="1:13" x14ac:dyDescent="0.35">
      <c r="A448">
        <v>18</v>
      </c>
      <c r="B448" t="s">
        <v>16</v>
      </c>
      <c r="C448">
        <v>1.9</v>
      </c>
      <c r="D448" t="s">
        <v>17</v>
      </c>
      <c r="E448">
        <v>5.8</v>
      </c>
      <c r="F448">
        <v>1.7</v>
      </c>
      <c r="G448">
        <v>3.52</v>
      </c>
      <c r="H448">
        <v>0.2</v>
      </c>
      <c r="I448" t="s">
        <v>15</v>
      </c>
      <c r="J448">
        <v>6</v>
      </c>
      <c r="K448">
        <v>5</v>
      </c>
      <c r="L448">
        <v>1</v>
      </c>
      <c r="M448">
        <v>0</v>
      </c>
    </row>
    <row r="449" spans="1:13" x14ac:dyDescent="0.35">
      <c r="A449">
        <v>18</v>
      </c>
      <c r="B449" t="s">
        <v>16</v>
      </c>
      <c r="C449">
        <v>1.4</v>
      </c>
      <c r="D449" t="s">
        <v>17</v>
      </c>
      <c r="E449">
        <v>6.1</v>
      </c>
      <c r="F449">
        <v>1.6</v>
      </c>
      <c r="G449">
        <v>2.56</v>
      </c>
      <c r="H449">
        <v>1.2</v>
      </c>
      <c r="I449" t="s">
        <v>18</v>
      </c>
      <c r="J449">
        <v>2</v>
      </c>
      <c r="K449">
        <v>7</v>
      </c>
      <c r="L449">
        <v>8</v>
      </c>
      <c r="M449">
        <v>0</v>
      </c>
    </row>
    <row r="450" spans="1:13" x14ac:dyDescent="0.35">
      <c r="A450">
        <v>18</v>
      </c>
      <c r="B450" t="s">
        <v>16</v>
      </c>
      <c r="C450">
        <v>3.8</v>
      </c>
      <c r="D450" t="s">
        <v>20</v>
      </c>
      <c r="E450">
        <v>5.4</v>
      </c>
      <c r="F450">
        <v>1.7</v>
      </c>
      <c r="G450">
        <v>3.06</v>
      </c>
      <c r="H450">
        <v>1.9</v>
      </c>
      <c r="I450" t="s">
        <v>19</v>
      </c>
      <c r="J450">
        <v>5</v>
      </c>
      <c r="K450">
        <v>10</v>
      </c>
      <c r="L450">
        <v>3</v>
      </c>
      <c r="M450">
        <v>0</v>
      </c>
    </row>
    <row r="451" spans="1:13" x14ac:dyDescent="0.35">
      <c r="A451">
        <v>18</v>
      </c>
      <c r="B451" t="s">
        <v>16</v>
      </c>
      <c r="C451">
        <v>2.9</v>
      </c>
      <c r="D451" t="s">
        <v>20</v>
      </c>
      <c r="E451">
        <v>4.5999999999999996</v>
      </c>
      <c r="F451">
        <v>2.2999999999999998</v>
      </c>
      <c r="G451">
        <v>3.03</v>
      </c>
      <c r="H451">
        <v>0.3</v>
      </c>
      <c r="I451" t="s">
        <v>15</v>
      </c>
      <c r="J451">
        <v>6</v>
      </c>
      <c r="K451">
        <v>1</v>
      </c>
      <c r="L451">
        <v>9</v>
      </c>
      <c r="M451">
        <v>0</v>
      </c>
    </row>
    <row r="452" spans="1:13" x14ac:dyDescent="0.35">
      <c r="A452">
        <v>18</v>
      </c>
      <c r="B452" t="s">
        <v>16</v>
      </c>
      <c r="C452">
        <v>6.2</v>
      </c>
      <c r="D452" t="s">
        <v>20</v>
      </c>
      <c r="E452">
        <v>6.7</v>
      </c>
      <c r="F452">
        <v>1.4</v>
      </c>
      <c r="G452">
        <v>3.42</v>
      </c>
      <c r="H452">
        <v>0.9</v>
      </c>
      <c r="I452" t="s">
        <v>15</v>
      </c>
      <c r="J452">
        <v>6</v>
      </c>
      <c r="K452">
        <v>8</v>
      </c>
      <c r="L452">
        <v>6</v>
      </c>
      <c r="M452">
        <v>0</v>
      </c>
    </row>
    <row r="453" spans="1:13" x14ac:dyDescent="0.35">
      <c r="A453">
        <v>18</v>
      </c>
      <c r="B453" t="s">
        <v>16</v>
      </c>
      <c r="C453">
        <v>5.0999999999999996</v>
      </c>
      <c r="D453" t="s">
        <v>17</v>
      </c>
      <c r="E453">
        <v>7.4</v>
      </c>
      <c r="F453">
        <v>1.3</v>
      </c>
      <c r="G453">
        <v>3.5</v>
      </c>
      <c r="H453">
        <v>1.6</v>
      </c>
      <c r="I453" t="s">
        <v>18</v>
      </c>
      <c r="J453">
        <v>1</v>
      </c>
      <c r="K453">
        <v>5</v>
      </c>
      <c r="L453">
        <v>5</v>
      </c>
      <c r="M453">
        <v>0</v>
      </c>
    </row>
    <row r="454" spans="1:13" x14ac:dyDescent="0.35">
      <c r="A454">
        <v>18</v>
      </c>
      <c r="B454" t="s">
        <v>16</v>
      </c>
      <c r="C454">
        <v>4.5</v>
      </c>
      <c r="D454" t="s">
        <v>20</v>
      </c>
      <c r="E454">
        <v>8</v>
      </c>
      <c r="F454">
        <v>1.5</v>
      </c>
      <c r="G454">
        <v>3.45</v>
      </c>
      <c r="H454">
        <v>1</v>
      </c>
      <c r="I454" t="s">
        <v>15</v>
      </c>
      <c r="J454">
        <v>4</v>
      </c>
      <c r="K454">
        <v>3</v>
      </c>
      <c r="L454">
        <v>9</v>
      </c>
      <c r="M454">
        <v>0</v>
      </c>
    </row>
    <row r="455" spans="1:13" x14ac:dyDescent="0.35">
      <c r="A455">
        <v>18</v>
      </c>
      <c r="B455" t="s">
        <v>16</v>
      </c>
      <c r="C455">
        <v>6.4</v>
      </c>
      <c r="D455" t="s">
        <v>14</v>
      </c>
      <c r="E455">
        <v>7.7</v>
      </c>
      <c r="F455">
        <v>0.5</v>
      </c>
      <c r="G455">
        <v>3.05</v>
      </c>
      <c r="H455">
        <v>1.2</v>
      </c>
      <c r="I455" t="s">
        <v>15</v>
      </c>
      <c r="J455">
        <v>3</v>
      </c>
      <c r="K455">
        <v>1</v>
      </c>
      <c r="L455">
        <v>2</v>
      </c>
      <c r="M455">
        <v>0</v>
      </c>
    </row>
    <row r="456" spans="1:13" x14ac:dyDescent="0.35">
      <c r="A456">
        <v>18</v>
      </c>
      <c r="B456" t="s">
        <v>16</v>
      </c>
      <c r="C456">
        <v>2.9</v>
      </c>
      <c r="D456" t="s">
        <v>14</v>
      </c>
      <c r="E456">
        <v>8.4</v>
      </c>
      <c r="F456">
        <v>2.6</v>
      </c>
      <c r="G456">
        <v>2.57</v>
      </c>
      <c r="H456">
        <v>1.8</v>
      </c>
      <c r="I456" t="s">
        <v>19</v>
      </c>
      <c r="J456">
        <v>4</v>
      </c>
      <c r="K456">
        <v>1</v>
      </c>
      <c r="L456">
        <v>3</v>
      </c>
      <c r="M456">
        <v>0</v>
      </c>
    </row>
    <row r="457" spans="1:13" x14ac:dyDescent="0.35">
      <c r="A457">
        <v>18</v>
      </c>
      <c r="B457" t="s">
        <v>16</v>
      </c>
      <c r="C457">
        <v>1.3</v>
      </c>
      <c r="D457" t="s">
        <v>20</v>
      </c>
      <c r="E457">
        <v>4.9000000000000004</v>
      </c>
      <c r="F457">
        <v>0.9</v>
      </c>
      <c r="G457">
        <v>3.86</v>
      </c>
      <c r="H457">
        <v>0</v>
      </c>
      <c r="I457" t="s">
        <v>19</v>
      </c>
      <c r="J457">
        <v>4</v>
      </c>
      <c r="K457">
        <v>9</v>
      </c>
      <c r="L457">
        <v>8</v>
      </c>
      <c r="M457">
        <v>0</v>
      </c>
    </row>
    <row r="458" spans="1:13" x14ac:dyDescent="0.35">
      <c r="A458">
        <v>18</v>
      </c>
      <c r="B458" t="s">
        <v>16</v>
      </c>
      <c r="C458">
        <v>2.8</v>
      </c>
      <c r="D458" t="s">
        <v>14</v>
      </c>
      <c r="E458">
        <v>7.4</v>
      </c>
      <c r="F458">
        <v>1</v>
      </c>
      <c r="G458">
        <v>3.73</v>
      </c>
      <c r="H458">
        <v>1.9</v>
      </c>
      <c r="I458" t="s">
        <v>15</v>
      </c>
      <c r="J458">
        <v>7</v>
      </c>
      <c r="K458">
        <v>3</v>
      </c>
      <c r="L458">
        <v>6</v>
      </c>
      <c r="M458">
        <v>0</v>
      </c>
    </row>
    <row r="459" spans="1:13" x14ac:dyDescent="0.35">
      <c r="A459">
        <v>18</v>
      </c>
      <c r="B459" t="s">
        <v>16</v>
      </c>
      <c r="C459">
        <v>3.5</v>
      </c>
      <c r="D459" t="s">
        <v>20</v>
      </c>
      <c r="E459">
        <v>5.9</v>
      </c>
      <c r="F459">
        <v>1.3</v>
      </c>
      <c r="G459">
        <v>3.68</v>
      </c>
      <c r="H459">
        <v>2</v>
      </c>
      <c r="I459" t="s">
        <v>19</v>
      </c>
      <c r="J459">
        <v>7</v>
      </c>
      <c r="K459">
        <v>4</v>
      </c>
      <c r="L459">
        <v>10</v>
      </c>
      <c r="M459">
        <v>0</v>
      </c>
    </row>
    <row r="460" spans="1:13" x14ac:dyDescent="0.35">
      <c r="A460">
        <v>18</v>
      </c>
      <c r="B460" t="s">
        <v>16</v>
      </c>
      <c r="C460">
        <v>1.7</v>
      </c>
      <c r="D460" t="s">
        <v>14</v>
      </c>
      <c r="E460">
        <v>8.5</v>
      </c>
      <c r="F460">
        <v>1</v>
      </c>
      <c r="G460">
        <v>3.32</v>
      </c>
      <c r="H460">
        <v>1.3</v>
      </c>
      <c r="I460" t="s">
        <v>19</v>
      </c>
      <c r="J460">
        <v>1</v>
      </c>
      <c r="K460">
        <v>1</v>
      </c>
      <c r="L460">
        <v>7</v>
      </c>
      <c r="M460">
        <v>0</v>
      </c>
    </row>
    <row r="461" spans="1:13" x14ac:dyDescent="0.35">
      <c r="A461">
        <v>18</v>
      </c>
      <c r="B461" t="s">
        <v>16</v>
      </c>
      <c r="C461">
        <v>4.2</v>
      </c>
      <c r="D461" t="s">
        <v>14</v>
      </c>
      <c r="E461">
        <v>5.4</v>
      </c>
      <c r="F461">
        <v>1.1000000000000001</v>
      </c>
      <c r="G461">
        <v>2.31</v>
      </c>
      <c r="H461">
        <v>0.3</v>
      </c>
      <c r="I461" t="s">
        <v>15</v>
      </c>
      <c r="J461">
        <v>4</v>
      </c>
      <c r="K461">
        <v>9</v>
      </c>
      <c r="L461">
        <v>1</v>
      </c>
      <c r="M461">
        <v>0</v>
      </c>
    </row>
    <row r="462" spans="1:13" x14ac:dyDescent="0.35">
      <c r="A462">
        <v>18</v>
      </c>
      <c r="B462" t="s">
        <v>16</v>
      </c>
      <c r="C462">
        <v>4.5999999999999996</v>
      </c>
      <c r="D462" t="s">
        <v>17</v>
      </c>
      <c r="E462">
        <v>7.3</v>
      </c>
      <c r="F462">
        <v>2.8</v>
      </c>
      <c r="G462">
        <v>3.22</v>
      </c>
      <c r="H462">
        <v>0.6</v>
      </c>
      <c r="I462" t="s">
        <v>18</v>
      </c>
      <c r="J462">
        <v>1</v>
      </c>
      <c r="K462">
        <v>3</v>
      </c>
      <c r="L462">
        <v>6</v>
      </c>
      <c r="M462">
        <v>0</v>
      </c>
    </row>
    <row r="463" spans="1:13" x14ac:dyDescent="0.35">
      <c r="A463">
        <v>18</v>
      </c>
      <c r="B463" t="s">
        <v>16</v>
      </c>
      <c r="C463">
        <v>3.8</v>
      </c>
      <c r="D463" t="s">
        <v>20</v>
      </c>
      <c r="E463">
        <v>4.5</v>
      </c>
      <c r="F463">
        <v>1.3</v>
      </c>
      <c r="G463">
        <v>3.06</v>
      </c>
      <c r="H463">
        <v>0.3</v>
      </c>
      <c r="I463" t="s">
        <v>19</v>
      </c>
      <c r="J463">
        <v>7</v>
      </c>
      <c r="K463">
        <v>8</v>
      </c>
      <c r="L463">
        <v>1</v>
      </c>
      <c r="M463">
        <v>0</v>
      </c>
    </row>
    <row r="464" spans="1:13" x14ac:dyDescent="0.35">
      <c r="A464">
        <v>18</v>
      </c>
      <c r="B464" t="s">
        <v>16</v>
      </c>
      <c r="C464">
        <v>5.7</v>
      </c>
      <c r="D464" t="s">
        <v>17</v>
      </c>
      <c r="E464">
        <v>6.2</v>
      </c>
      <c r="F464">
        <v>0.5</v>
      </c>
      <c r="G464">
        <v>3.98</v>
      </c>
      <c r="H464">
        <v>1.7</v>
      </c>
      <c r="I464" t="s">
        <v>19</v>
      </c>
      <c r="J464">
        <v>7</v>
      </c>
      <c r="K464">
        <v>6</v>
      </c>
      <c r="L464">
        <v>3</v>
      </c>
      <c r="M464">
        <v>0</v>
      </c>
    </row>
    <row r="465" spans="1:13" x14ac:dyDescent="0.35">
      <c r="A465">
        <v>18</v>
      </c>
      <c r="B465" t="s">
        <v>16</v>
      </c>
      <c r="C465">
        <v>7.1</v>
      </c>
      <c r="D465" t="s">
        <v>14</v>
      </c>
      <c r="E465">
        <v>4.8</v>
      </c>
      <c r="F465">
        <v>2.1</v>
      </c>
      <c r="G465">
        <v>2.5099999999999998</v>
      </c>
      <c r="H465">
        <v>0.9</v>
      </c>
      <c r="I465" t="s">
        <v>18</v>
      </c>
      <c r="J465">
        <v>1</v>
      </c>
      <c r="K465">
        <v>1</v>
      </c>
      <c r="L465">
        <v>10</v>
      </c>
      <c r="M465">
        <v>0</v>
      </c>
    </row>
    <row r="466" spans="1:13" x14ac:dyDescent="0.35">
      <c r="A466">
        <v>18</v>
      </c>
      <c r="B466" t="s">
        <v>16</v>
      </c>
      <c r="C466">
        <v>3</v>
      </c>
      <c r="D466" t="s">
        <v>20</v>
      </c>
      <c r="E466">
        <v>4.5999999999999996</v>
      </c>
      <c r="F466">
        <v>2</v>
      </c>
      <c r="G466">
        <v>2.2400000000000002</v>
      </c>
      <c r="H466">
        <v>1.5</v>
      </c>
      <c r="I466" t="s">
        <v>19</v>
      </c>
      <c r="J466">
        <v>10</v>
      </c>
      <c r="K466">
        <v>2</v>
      </c>
      <c r="L466">
        <v>5</v>
      </c>
      <c r="M466">
        <v>0</v>
      </c>
    </row>
    <row r="467" spans="1:13" x14ac:dyDescent="0.35">
      <c r="A467">
        <v>18</v>
      </c>
      <c r="B467" t="s">
        <v>16</v>
      </c>
      <c r="C467">
        <v>4.4000000000000004</v>
      </c>
      <c r="D467" t="s">
        <v>20</v>
      </c>
      <c r="E467">
        <v>5.0999999999999996</v>
      </c>
      <c r="F467">
        <v>1.4</v>
      </c>
      <c r="G467">
        <v>2.33</v>
      </c>
      <c r="H467">
        <v>0.6</v>
      </c>
      <c r="I467" t="s">
        <v>15</v>
      </c>
      <c r="J467">
        <v>2</v>
      </c>
      <c r="K467">
        <v>7</v>
      </c>
      <c r="L467">
        <v>4</v>
      </c>
      <c r="M467">
        <v>0</v>
      </c>
    </row>
    <row r="468" spans="1:13" x14ac:dyDescent="0.35">
      <c r="A468">
        <v>18</v>
      </c>
      <c r="B468" t="s">
        <v>16</v>
      </c>
      <c r="C468">
        <v>2.1</v>
      </c>
      <c r="D468" t="s">
        <v>20</v>
      </c>
      <c r="E468">
        <v>6.7</v>
      </c>
      <c r="F468">
        <v>0.9</v>
      </c>
      <c r="G468">
        <v>3.73</v>
      </c>
      <c r="H468">
        <v>0.7</v>
      </c>
      <c r="I468" t="s">
        <v>15</v>
      </c>
      <c r="J468">
        <v>3</v>
      </c>
      <c r="K468">
        <v>5</v>
      </c>
      <c r="L468">
        <v>7</v>
      </c>
      <c r="M468">
        <v>0</v>
      </c>
    </row>
    <row r="469" spans="1:13" x14ac:dyDescent="0.35">
      <c r="A469">
        <v>18</v>
      </c>
      <c r="B469" t="s">
        <v>16</v>
      </c>
      <c r="C469">
        <v>3.6</v>
      </c>
      <c r="D469" t="s">
        <v>14</v>
      </c>
      <c r="E469">
        <v>5.4</v>
      </c>
      <c r="F469">
        <v>0.9</v>
      </c>
      <c r="G469">
        <v>3.45</v>
      </c>
      <c r="H469">
        <v>0.5</v>
      </c>
      <c r="I469" t="s">
        <v>19</v>
      </c>
      <c r="J469">
        <v>1</v>
      </c>
      <c r="K469">
        <v>10</v>
      </c>
      <c r="L469">
        <v>2</v>
      </c>
      <c r="M469">
        <v>0</v>
      </c>
    </row>
    <row r="470" spans="1:13" x14ac:dyDescent="0.35">
      <c r="A470">
        <v>18</v>
      </c>
      <c r="B470" t="s">
        <v>16</v>
      </c>
      <c r="C470">
        <v>5.0999999999999996</v>
      </c>
      <c r="D470" t="s">
        <v>17</v>
      </c>
      <c r="E470">
        <v>8.1999999999999993</v>
      </c>
      <c r="F470">
        <v>2.8</v>
      </c>
      <c r="G470">
        <v>2.1800000000000002</v>
      </c>
      <c r="H470">
        <v>0.5</v>
      </c>
      <c r="I470" t="s">
        <v>18</v>
      </c>
      <c r="J470">
        <v>8</v>
      </c>
      <c r="K470">
        <v>8</v>
      </c>
      <c r="L470">
        <v>8</v>
      </c>
      <c r="M470">
        <v>0</v>
      </c>
    </row>
    <row r="471" spans="1:13" x14ac:dyDescent="0.35">
      <c r="A471">
        <v>18</v>
      </c>
      <c r="B471" t="s">
        <v>16</v>
      </c>
      <c r="C471">
        <v>2.2000000000000002</v>
      </c>
      <c r="D471" t="s">
        <v>14</v>
      </c>
      <c r="E471">
        <v>6.5</v>
      </c>
      <c r="F471">
        <v>1.9</v>
      </c>
      <c r="G471">
        <v>3.79</v>
      </c>
      <c r="H471">
        <v>0.2</v>
      </c>
      <c r="I471" t="s">
        <v>15</v>
      </c>
      <c r="J471">
        <v>1</v>
      </c>
      <c r="K471">
        <v>6</v>
      </c>
      <c r="L471">
        <v>2</v>
      </c>
      <c r="M471">
        <v>0</v>
      </c>
    </row>
    <row r="472" spans="1:13" x14ac:dyDescent="0.35">
      <c r="A472">
        <v>18</v>
      </c>
      <c r="B472" t="s">
        <v>16</v>
      </c>
      <c r="C472">
        <v>1.1000000000000001</v>
      </c>
      <c r="D472" t="s">
        <v>20</v>
      </c>
      <c r="E472">
        <v>4.9000000000000004</v>
      </c>
      <c r="F472">
        <v>2.6</v>
      </c>
      <c r="G472">
        <v>2.4300000000000002</v>
      </c>
      <c r="H472">
        <v>1.3</v>
      </c>
      <c r="I472" t="s">
        <v>18</v>
      </c>
      <c r="J472">
        <v>9</v>
      </c>
      <c r="K472">
        <v>7</v>
      </c>
      <c r="L472">
        <v>6</v>
      </c>
      <c r="M472">
        <v>0</v>
      </c>
    </row>
    <row r="473" spans="1:13" x14ac:dyDescent="0.35">
      <c r="A473">
        <v>18</v>
      </c>
      <c r="B473" t="s">
        <v>16</v>
      </c>
      <c r="C473">
        <v>2</v>
      </c>
      <c r="D473" t="s">
        <v>20</v>
      </c>
      <c r="E473">
        <v>8.6</v>
      </c>
      <c r="F473">
        <v>2.2000000000000002</v>
      </c>
      <c r="G473">
        <v>3.53</v>
      </c>
      <c r="H473">
        <v>1.9</v>
      </c>
      <c r="I473" t="s">
        <v>15</v>
      </c>
      <c r="J473">
        <v>2</v>
      </c>
      <c r="K473">
        <v>5</v>
      </c>
      <c r="L473">
        <v>8</v>
      </c>
      <c r="M473">
        <v>0</v>
      </c>
    </row>
    <row r="474" spans="1:13" x14ac:dyDescent="0.35">
      <c r="A474">
        <v>18</v>
      </c>
      <c r="B474" t="s">
        <v>16</v>
      </c>
      <c r="C474">
        <v>7.7</v>
      </c>
      <c r="D474" t="s">
        <v>17</v>
      </c>
      <c r="E474">
        <v>7.6</v>
      </c>
      <c r="F474">
        <v>2.9</v>
      </c>
      <c r="G474">
        <v>3.81</v>
      </c>
      <c r="H474">
        <v>0.5</v>
      </c>
      <c r="I474" t="s">
        <v>18</v>
      </c>
      <c r="J474">
        <v>10</v>
      </c>
      <c r="K474">
        <v>3</v>
      </c>
      <c r="L474">
        <v>6</v>
      </c>
      <c r="M474">
        <v>0</v>
      </c>
    </row>
    <row r="475" spans="1:13" x14ac:dyDescent="0.35">
      <c r="A475">
        <v>18</v>
      </c>
      <c r="B475" t="s">
        <v>16</v>
      </c>
      <c r="C475">
        <v>4.8</v>
      </c>
      <c r="D475" t="s">
        <v>14</v>
      </c>
      <c r="E475">
        <v>5.5</v>
      </c>
      <c r="F475">
        <v>1.8</v>
      </c>
      <c r="G475">
        <v>2.9</v>
      </c>
      <c r="H475">
        <v>0.6</v>
      </c>
      <c r="I475" t="s">
        <v>15</v>
      </c>
      <c r="J475">
        <v>6</v>
      </c>
      <c r="K475">
        <v>2</v>
      </c>
      <c r="L475">
        <v>5</v>
      </c>
      <c r="M475">
        <v>0</v>
      </c>
    </row>
    <row r="476" spans="1:13" x14ac:dyDescent="0.35">
      <c r="A476">
        <v>18</v>
      </c>
      <c r="B476" t="s">
        <v>16</v>
      </c>
      <c r="C476">
        <v>3.8</v>
      </c>
      <c r="D476" t="s">
        <v>14</v>
      </c>
      <c r="E476">
        <v>5.9</v>
      </c>
      <c r="F476">
        <v>1</v>
      </c>
      <c r="G476">
        <v>2.2200000000000002</v>
      </c>
      <c r="H476">
        <v>0.6</v>
      </c>
      <c r="I476" t="s">
        <v>15</v>
      </c>
      <c r="J476">
        <v>9</v>
      </c>
      <c r="K476">
        <v>10</v>
      </c>
      <c r="L476">
        <v>9</v>
      </c>
      <c r="M476">
        <v>0</v>
      </c>
    </row>
    <row r="477" spans="1:13" x14ac:dyDescent="0.35">
      <c r="A477">
        <v>15</v>
      </c>
      <c r="B477" t="s">
        <v>13</v>
      </c>
      <c r="C477">
        <v>5.4</v>
      </c>
      <c r="D477" t="s">
        <v>17</v>
      </c>
      <c r="E477">
        <v>5.2</v>
      </c>
      <c r="F477">
        <v>0.6</v>
      </c>
      <c r="G477">
        <v>3.65</v>
      </c>
      <c r="H477">
        <v>1.5</v>
      </c>
      <c r="I477" t="s">
        <v>15</v>
      </c>
      <c r="J477">
        <v>7</v>
      </c>
      <c r="K477">
        <v>9</v>
      </c>
      <c r="L477">
        <v>10</v>
      </c>
      <c r="M477">
        <v>1</v>
      </c>
    </row>
    <row r="478" spans="1:13" x14ac:dyDescent="0.35">
      <c r="A478">
        <v>18</v>
      </c>
      <c r="B478" t="s">
        <v>16</v>
      </c>
      <c r="C478">
        <v>2.2999999999999998</v>
      </c>
      <c r="D478" t="s">
        <v>17</v>
      </c>
      <c r="E478">
        <v>4.3</v>
      </c>
      <c r="F478">
        <v>0.9</v>
      </c>
      <c r="G478">
        <v>3.27</v>
      </c>
      <c r="H478">
        <v>0.1</v>
      </c>
      <c r="I478" t="s">
        <v>18</v>
      </c>
      <c r="J478">
        <v>5</v>
      </c>
      <c r="K478">
        <v>9</v>
      </c>
      <c r="L478">
        <v>10</v>
      </c>
      <c r="M478">
        <v>0</v>
      </c>
    </row>
    <row r="479" spans="1:13" x14ac:dyDescent="0.35">
      <c r="A479">
        <v>18</v>
      </c>
      <c r="B479" t="s">
        <v>16</v>
      </c>
      <c r="C479">
        <v>3.8</v>
      </c>
      <c r="D479" t="s">
        <v>20</v>
      </c>
      <c r="E479">
        <v>5.3</v>
      </c>
      <c r="F479">
        <v>2.2999999999999998</v>
      </c>
      <c r="G479">
        <v>3.42</v>
      </c>
      <c r="H479">
        <v>0.4</v>
      </c>
      <c r="I479" t="s">
        <v>15</v>
      </c>
      <c r="J479">
        <v>4</v>
      </c>
      <c r="K479">
        <v>8</v>
      </c>
      <c r="L479">
        <v>2</v>
      </c>
      <c r="M479">
        <v>0</v>
      </c>
    </row>
    <row r="480" spans="1:13" x14ac:dyDescent="0.35">
      <c r="A480">
        <v>18</v>
      </c>
      <c r="B480" t="s">
        <v>16</v>
      </c>
      <c r="C480">
        <v>3.1</v>
      </c>
      <c r="D480" t="s">
        <v>20</v>
      </c>
      <c r="E480">
        <v>6.8</v>
      </c>
      <c r="F480">
        <v>2</v>
      </c>
      <c r="G480">
        <v>3.77</v>
      </c>
      <c r="H480">
        <v>1.4</v>
      </c>
      <c r="I480" t="s">
        <v>15</v>
      </c>
      <c r="J480">
        <v>1</v>
      </c>
      <c r="K480">
        <v>3</v>
      </c>
      <c r="L480">
        <v>4</v>
      </c>
      <c r="M480">
        <v>0</v>
      </c>
    </row>
    <row r="481" spans="1:13" x14ac:dyDescent="0.35">
      <c r="A481">
        <v>18</v>
      </c>
      <c r="B481" t="s">
        <v>16</v>
      </c>
      <c r="C481">
        <v>7.5</v>
      </c>
      <c r="D481" t="s">
        <v>17</v>
      </c>
      <c r="E481">
        <v>7.5</v>
      </c>
      <c r="F481">
        <v>1.4</v>
      </c>
      <c r="G481">
        <v>3.14</v>
      </c>
      <c r="H481">
        <v>2</v>
      </c>
      <c r="I481" t="s">
        <v>15</v>
      </c>
      <c r="J481">
        <v>2</v>
      </c>
      <c r="K481">
        <v>9</v>
      </c>
      <c r="L481">
        <v>2</v>
      </c>
      <c r="M481">
        <v>0</v>
      </c>
    </row>
    <row r="482" spans="1:13" x14ac:dyDescent="0.35">
      <c r="A482">
        <v>18</v>
      </c>
      <c r="B482" t="s">
        <v>16</v>
      </c>
      <c r="C482">
        <v>8</v>
      </c>
      <c r="D482" t="s">
        <v>17</v>
      </c>
      <c r="E482">
        <v>4.3</v>
      </c>
      <c r="F482">
        <v>0.8</v>
      </c>
      <c r="G482">
        <v>3.44</v>
      </c>
      <c r="H482">
        <v>0.8</v>
      </c>
      <c r="I482" t="s">
        <v>19</v>
      </c>
      <c r="J482">
        <v>3</v>
      </c>
      <c r="K482">
        <v>4</v>
      </c>
      <c r="L482">
        <v>4</v>
      </c>
      <c r="M482">
        <v>0</v>
      </c>
    </row>
    <row r="483" spans="1:13" x14ac:dyDescent="0.35">
      <c r="A483">
        <v>18</v>
      </c>
      <c r="B483" t="s">
        <v>16</v>
      </c>
      <c r="C483">
        <v>5</v>
      </c>
      <c r="D483" t="s">
        <v>14</v>
      </c>
      <c r="E483">
        <v>6.6</v>
      </c>
      <c r="F483">
        <v>1.8</v>
      </c>
      <c r="G483">
        <v>3.87</v>
      </c>
      <c r="H483">
        <v>1.2</v>
      </c>
      <c r="I483" t="s">
        <v>18</v>
      </c>
      <c r="J483">
        <v>3</v>
      </c>
      <c r="K483">
        <v>4</v>
      </c>
      <c r="L483">
        <v>2</v>
      </c>
      <c r="M483">
        <v>0</v>
      </c>
    </row>
    <row r="484" spans="1:13" x14ac:dyDescent="0.35">
      <c r="A484">
        <v>18</v>
      </c>
      <c r="B484" t="s">
        <v>16</v>
      </c>
      <c r="C484">
        <v>2</v>
      </c>
      <c r="D484" t="s">
        <v>14</v>
      </c>
      <c r="E484">
        <v>5.9</v>
      </c>
      <c r="F484">
        <v>2.9</v>
      </c>
      <c r="G484">
        <v>3.52</v>
      </c>
      <c r="H484">
        <v>1.1000000000000001</v>
      </c>
      <c r="I484" t="s">
        <v>18</v>
      </c>
      <c r="J484">
        <v>8</v>
      </c>
      <c r="K484">
        <v>6</v>
      </c>
      <c r="L484">
        <v>10</v>
      </c>
      <c r="M484">
        <v>0</v>
      </c>
    </row>
    <row r="485" spans="1:13" x14ac:dyDescent="0.35">
      <c r="A485">
        <v>18</v>
      </c>
      <c r="B485" t="s">
        <v>16</v>
      </c>
      <c r="C485">
        <v>7.1</v>
      </c>
      <c r="D485" t="s">
        <v>14</v>
      </c>
      <c r="E485">
        <v>5.7</v>
      </c>
      <c r="F485">
        <v>0.6</v>
      </c>
      <c r="G485">
        <v>2.9</v>
      </c>
      <c r="H485">
        <v>1.7</v>
      </c>
      <c r="I485" t="s">
        <v>19</v>
      </c>
      <c r="J485">
        <v>3</v>
      </c>
      <c r="K485">
        <v>1</v>
      </c>
      <c r="L485">
        <v>6</v>
      </c>
      <c r="M485">
        <v>0</v>
      </c>
    </row>
    <row r="486" spans="1:13" x14ac:dyDescent="0.35">
      <c r="A486">
        <v>18</v>
      </c>
      <c r="B486" t="s">
        <v>16</v>
      </c>
      <c r="C486">
        <v>5.5</v>
      </c>
      <c r="D486" t="s">
        <v>14</v>
      </c>
      <c r="E486">
        <v>5.3</v>
      </c>
      <c r="F486">
        <v>2.6</v>
      </c>
      <c r="G486">
        <v>3.09</v>
      </c>
      <c r="H486">
        <v>2</v>
      </c>
      <c r="I486" t="s">
        <v>15</v>
      </c>
      <c r="J486">
        <v>8</v>
      </c>
      <c r="K486">
        <v>6</v>
      </c>
      <c r="L486">
        <v>3</v>
      </c>
      <c r="M486">
        <v>0</v>
      </c>
    </row>
    <row r="487" spans="1:13" x14ac:dyDescent="0.35">
      <c r="A487">
        <v>18</v>
      </c>
      <c r="B487" t="s">
        <v>16</v>
      </c>
      <c r="C487">
        <v>2.8</v>
      </c>
      <c r="D487" t="s">
        <v>17</v>
      </c>
      <c r="E487">
        <v>7</v>
      </c>
      <c r="F487">
        <v>2.9</v>
      </c>
      <c r="G487">
        <v>3.91</v>
      </c>
      <c r="H487">
        <v>1.1000000000000001</v>
      </c>
      <c r="I487" t="s">
        <v>19</v>
      </c>
      <c r="J487">
        <v>9</v>
      </c>
      <c r="K487">
        <v>9</v>
      </c>
      <c r="L487">
        <v>1</v>
      </c>
      <c r="M487">
        <v>0</v>
      </c>
    </row>
    <row r="488" spans="1:13" x14ac:dyDescent="0.35">
      <c r="A488">
        <v>18</v>
      </c>
      <c r="B488" t="s">
        <v>16</v>
      </c>
      <c r="C488">
        <v>7.2</v>
      </c>
      <c r="D488" t="s">
        <v>17</v>
      </c>
      <c r="E488">
        <v>7.7</v>
      </c>
      <c r="F488">
        <v>1.2</v>
      </c>
      <c r="G488">
        <v>3.7</v>
      </c>
      <c r="H488">
        <v>0.1</v>
      </c>
      <c r="I488" t="s">
        <v>15</v>
      </c>
      <c r="J488">
        <v>6</v>
      </c>
      <c r="K488">
        <v>3</v>
      </c>
      <c r="L488">
        <v>9</v>
      </c>
      <c r="M488">
        <v>0</v>
      </c>
    </row>
    <row r="489" spans="1:13" x14ac:dyDescent="0.35">
      <c r="A489">
        <v>18</v>
      </c>
      <c r="B489" t="s">
        <v>16</v>
      </c>
      <c r="C489">
        <v>3.2</v>
      </c>
      <c r="D489" t="s">
        <v>14</v>
      </c>
      <c r="E489">
        <v>6.8</v>
      </c>
      <c r="F489">
        <v>2.2999999999999998</v>
      </c>
      <c r="G489">
        <v>3.16</v>
      </c>
      <c r="H489">
        <v>1.8</v>
      </c>
      <c r="I489" t="s">
        <v>15</v>
      </c>
      <c r="J489">
        <v>4</v>
      </c>
      <c r="K489">
        <v>8</v>
      </c>
      <c r="L489">
        <v>5</v>
      </c>
      <c r="M489">
        <v>0</v>
      </c>
    </row>
    <row r="490" spans="1:13" x14ac:dyDescent="0.35">
      <c r="A490">
        <v>18</v>
      </c>
      <c r="B490" t="s">
        <v>16</v>
      </c>
      <c r="C490">
        <v>1.9</v>
      </c>
      <c r="D490" t="s">
        <v>20</v>
      </c>
      <c r="E490">
        <v>5.0999999999999996</v>
      </c>
      <c r="F490">
        <v>2.9</v>
      </c>
      <c r="G490">
        <v>2.62</v>
      </c>
      <c r="H490">
        <v>1</v>
      </c>
      <c r="I490" t="s">
        <v>15</v>
      </c>
      <c r="J490">
        <v>4</v>
      </c>
      <c r="K490">
        <v>3</v>
      </c>
      <c r="L490">
        <v>2</v>
      </c>
      <c r="M490">
        <v>0</v>
      </c>
    </row>
    <row r="491" spans="1:13" x14ac:dyDescent="0.35">
      <c r="A491">
        <v>18</v>
      </c>
      <c r="B491" t="s">
        <v>16</v>
      </c>
      <c r="C491">
        <v>3.9</v>
      </c>
      <c r="D491" t="s">
        <v>20</v>
      </c>
      <c r="E491">
        <v>4</v>
      </c>
      <c r="F491">
        <v>1.8</v>
      </c>
      <c r="G491">
        <v>2.19</v>
      </c>
      <c r="H491">
        <v>1.4</v>
      </c>
      <c r="I491" t="s">
        <v>18</v>
      </c>
      <c r="J491">
        <v>1</v>
      </c>
      <c r="K491">
        <v>2</v>
      </c>
      <c r="L491">
        <v>5</v>
      </c>
      <c r="M491">
        <v>0</v>
      </c>
    </row>
    <row r="492" spans="1:13" x14ac:dyDescent="0.35">
      <c r="A492">
        <v>18</v>
      </c>
      <c r="B492" t="s">
        <v>16</v>
      </c>
      <c r="C492">
        <v>1.8</v>
      </c>
      <c r="D492" t="s">
        <v>20</v>
      </c>
      <c r="E492">
        <v>7.8</v>
      </c>
      <c r="F492">
        <v>2</v>
      </c>
      <c r="G492">
        <v>2.67</v>
      </c>
      <c r="H492">
        <v>0.8</v>
      </c>
      <c r="I492" t="s">
        <v>15</v>
      </c>
      <c r="J492">
        <v>4</v>
      </c>
      <c r="K492">
        <v>6</v>
      </c>
      <c r="L492">
        <v>3</v>
      </c>
      <c r="M492">
        <v>0</v>
      </c>
    </row>
    <row r="493" spans="1:13" x14ac:dyDescent="0.35">
      <c r="A493">
        <v>18</v>
      </c>
      <c r="B493" t="s">
        <v>16</v>
      </c>
      <c r="C493">
        <v>3.2</v>
      </c>
      <c r="D493" t="s">
        <v>20</v>
      </c>
      <c r="E493">
        <v>7.8</v>
      </c>
      <c r="F493">
        <v>0.7</v>
      </c>
      <c r="G493">
        <v>3.46</v>
      </c>
      <c r="H493">
        <v>1.3</v>
      </c>
      <c r="I493" t="s">
        <v>15</v>
      </c>
      <c r="J493">
        <v>5</v>
      </c>
      <c r="K493">
        <v>10</v>
      </c>
      <c r="L493">
        <v>6</v>
      </c>
      <c r="M493">
        <v>0</v>
      </c>
    </row>
    <row r="494" spans="1:13" x14ac:dyDescent="0.35">
      <c r="A494">
        <v>15</v>
      </c>
      <c r="B494" t="s">
        <v>13</v>
      </c>
      <c r="C494">
        <v>7.8</v>
      </c>
      <c r="D494" t="s">
        <v>20</v>
      </c>
      <c r="E494">
        <v>4.2</v>
      </c>
      <c r="F494">
        <v>2.1</v>
      </c>
      <c r="G494">
        <v>3.42</v>
      </c>
      <c r="H494">
        <v>0</v>
      </c>
      <c r="I494" t="s">
        <v>15</v>
      </c>
      <c r="J494">
        <v>10</v>
      </c>
      <c r="K494">
        <v>7</v>
      </c>
      <c r="L494">
        <v>9</v>
      </c>
      <c r="M494">
        <v>1</v>
      </c>
    </row>
    <row r="495" spans="1:13" x14ac:dyDescent="0.35">
      <c r="A495">
        <v>18</v>
      </c>
      <c r="B495" t="s">
        <v>16</v>
      </c>
      <c r="C495">
        <v>3</v>
      </c>
      <c r="D495" t="s">
        <v>14</v>
      </c>
      <c r="E495">
        <v>5</v>
      </c>
      <c r="F495">
        <v>2</v>
      </c>
      <c r="G495">
        <v>2.4500000000000002</v>
      </c>
      <c r="H495">
        <v>1.2</v>
      </c>
      <c r="I495" t="s">
        <v>19</v>
      </c>
      <c r="J495">
        <v>1</v>
      </c>
      <c r="K495">
        <v>10</v>
      </c>
      <c r="L495">
        <v>7</v>
      </c>
      <c r="M495">
        <v>0</v>
      </c>
    </row>
    <row r="496" spans="1:13" x14ac:dyDescent="0.35">
      <c r="A496">
        <v>18</v>
      </c>
      <c r="B496" t="s">
        <v>16</v>
      </c>
      <c r="C496">
        <v>7.3</v>
      </c>
      <c r="D496" t="s">
        <v>20</v>
      </c>
      <c r="E496">
        <v>7.3</v>
      </c>
      <c r="F496">
        <v>2.8</v>
      </c>
      <c r="G496">
        <v>3.3</v>
      </c>
      <c r="H496">
        <v>0.4</v>
      </c>
      <c r="I496" t="s">
        <v>15</v>
      </c>
      <c r="J496">
        <v>1</v>
      </c>
      <c r="K496">
        <v>8</v>
      </c>
      <c r="L496">
        <v>1</v>
      </c>
      <c r="M496">
        <v>0</v>
      </c>
    </row>
    <row r="497" spans="1:13" x14ac:dyDescent="0.35">
      <c r="A497">
        <v>18</v>
      </c>
      <c r="B497" t="s">
        <v>16</v>
      </c>
      <c r="C497">
        <v>6.5</v>
      </c>
      <c r="D497" t="s">
        <v>20</v>
      </c>
      <c r="E497">
        <v>6.7</v>
      </c>
      <c r="F497">
        <v>2.5</v>
      </c>
      <c r="G497">
        <v>2.98</v>
      </c>
      <c r="H497">
        <v>0.1</v>
      </c>
      <c r="I497" t="s">
        <v>18</v>
      </c>
      <c r="J497">
        <v>9</v>
      </c>
      <c r="K497">
        <v>7</v>
      </c>
      <c r="L497">
        <v>7</v>
      </c>
      <c r="M497">
        <v>0</v>
      </c>
    </row>
    <row r="498" spans="1:13" x14ac:dyDescent="0.35">
      <c r="A498">
        <v>18</v>
      </c>
      <c r="B498" t="s">
        <v>16</v>
      </c>
      <c r="C498">
        <v>7</v>
      </c>
      <c r="D498" t="s">
        <v>20</v>
      </c>
      <c r="E498">
        <v>8.9</v>
      </c>
      <c r="F498">
        <v>0.7</v>
      </c>
      <c r="G498">
        <v>2.79</v>
      </c>
      <c r="H498">
        <v>0.4</v>
      </c>
      <c r="I498" t="s">
        <v>19</v>
      </c>
      <c r="J498">
        <v>2</v>
      </c>
      <c r="K498">
        <v>10</v>
      </c>
      <c r="L498">
        <v>8</v>
      </c>
      <c r="M498">
        <v>0</v>
      </c>
    </row>
    <row r="499" spans="1:13" x14ac:dyDescent="0.35">
      <c r="A499">
        <v>18</v>
      </c>
      <c r="B499" t="s">
        <v>16</v>
      </c>
      <c r="C499">
        <v>6.3</v>
      </c>
      <c r="D499" t="s">
        <v>20</v>
      </c>
      <c r="E499">
        <v>4.7</v>
      </c>
      <c r="F499">
        <v>2.4</v>
      </c>
      <c r="G499">
        <v>2.2999999999999998</v>
      </c>
      <c r="H499">
        <v>0.9</v>
      </c>
      <c r="I499" t="s">
        <v>19</v>
      </c>
      <c r="J499">
        <v>6</v>
      </c>
      <c r="K499">
        <v>1</v>
      </c>
      <c r="L499">
        <v>6</v>
      </c>
      <c r="M499">
        <v>0</v>
      </c>
    </row>
    <row r="500" spans="1:13" x14ac:dyDescent="0.35">
      <c r="A500">
        <v>18</v>
      </c>
      <c r="B500" t="s">
        <v>16</v>
      </c>
      <c r="C500">
        <v>6.6</v>
      </c>
      <c r="D500" t="s">
        <v>20</v>
      </c>
      <c r="E500">
        <v>8.1</v>
      </c>
      <c r="F500">
        <v>2</v>
      </c>
      <c r="G500">
        <v>3.59</v>
      </c>
      <c r="H500">
        <v>1.6</v>
      </c>
      <c r="I500" t="s">
        <v>15</v>
      </c>
      <c r="J500">
        <v>9</v>
      </c>
      <c r="K500">
        <v>4</v>
      </c>
      <c r="L500">
        <v>3</v>
      </c>
      <c r="M500">
        <v>0</v>
      </c>
    </row>
    <row r="501" spans="1:13" x14ac:dyDescent="0.35">
      <c r="A501">
        <v>18</v>
      </c>
      <c r="B501" t="s">
        <v>16</v>
      </c>
      <c r="C501">
        <v>2.2999999999999998</v>
      </c>
      <c r="D501" t="s">
        <v>14</v>
      </c>
      <c r="E501">
        <v>8.6999999999999993</v>
      </c>
      <c r="F501">
        <v>0.6</v>
      </c>
      <c r="G501">
        <v>2.76</v>
      </c>
      <c r="H501">
        <v>1.9</v>
      </c>
      <c r="I501" t="s">
        <v>18</v>
      </c>
      <c r="J501">
        <v>4</v>
      </c>
      <c r="K501">
        <v>8</v>
      </c>
      <c r="L501">
        <v>7</v>
      </c>
      <c r="M501">
        <v>0</v>
      </c>
    </row>
    <row r="502" spans="1:13" x14ac:dyDescent="0.35">
      <c r="A502">
        <v>18</v>
      </c>
      <c r="B502" t="s">
        <v>16</v>
      </c>
      <c r="C502">
        <v>2.2999999999999998</v>
      </c>
      <c r="D502" t="s">
        <v>14</v>
      </c>
      <c r="E502">
        <v>4.2</v>
      </c>
      <c r="F502">
        <v>0.9</v>
      </c>
      <c r="G502">
        <v>3.84</v>
      </c>
      <c r="H502">
        <v>1.3</v>
      </c>
      <c r="I502" t="s">
        <v>18</v>
      </c>
      <c r="J502">
        <v>6</v>
      </c>
      <c r="K502">
        <v>6</v>
      </c>
      <c r="L502">
        <v>10</v>
      </c>
      <c r="M502">
        <v>0</v>
      </c>
    </row>
    <row r="503" spans="1:13" x14ac:dyDescent="0.35">
      <c r="A503">
        <v>18</v>
      </c>
      <c r="B503" t="s">
        <v>16</v>
      </c>
      <c r="C503">
        <v>5.5</v>
      </c>
      <c r="D503" t="s">
        <v>20</v>
      </c>
      <c r="E503">
        <v>5.5</v>
      </c>
      <c r="F503">
        <v>1.8</v>
      </c>
      <c r="G503">
        <v>2.2400000000000002</v>
      </c>
      <c r="H503">
        <v>0</v>
      </c>
      <c r="I503" t="s">
        <v>18</v>
      </c>
      <c r="J503">
        <v>3</v>
      </c>
      <c r="K503">
        <v>4</v>
      </c>
      <c r="L503">
        <v>10</v>
      </c>
      <c r="M503">
        <v>0</v>
      </c>
    </row>
    <row r="504" spans="1:13" x14ac:dyDescent="0.35">
      <c r="A504">
        <v>18</v>
      </c>
      <c r="B504" t="s">
        <v>16</v>
      </c>
      <c r="C504">
        <v>4.5</v>
      </c>
      <c r="D504" t="s">
        <v>14</v>
      </c>
      <c r="E504">
        <v>7</v>
      </c>
      <c r="F504">
        <v>2.7</v>
      </c>
      <c r="G504">
        <v>2.89</v>
      </c>
      <c r="H504">
        <v>1.8</v>
      </c>
      <c r="I504" t="s">
        <v>18</v>
      </c>
      <c r="J504">
        <v>1</v>
      </c>
      <c r="K504">
        <v>1</v>
      </c>
      <c r="L504">
        <v>2</v>
      </c>
      <c r="M504">
        <v>0</v>
      </c>
    </row>
    <row r="505" spans="1:13" x14ac:dyDescent="0.35">
      <c r="A505">
        <v>18</v>
      </c>
      <c r="B505" t="s">
        <v>16</v>
      </c>
      <c r="C505">
        <v>4.5999999999999996</v>
      </c>
      <c r="D505" t="s">
        <v>17</v>
      </c>
      <c r="E505">
        <v>6.8</v>
      </c>
      <c r="F505">
        <v>1.5</v>
      </c>
      <c r="G505">
        <v>2.4</v>
      </c>
      <c r="H505">
        <v>1.4</v>
      </c>
      <c r="I505" t="s">
        <v>19</v>
      </c>
      <c r="J505">
        <v>5</v>
      </c>
      <c r="K505">
        <v>10</v>
      </c>
      <c r="L505">
        <v>2</v>
      </c>
      <c r="M505">
        <v>0</v>
      </c>
    </row>
    <row r="506" spans="1:13" x14ac:dyDescent="0.35">
      <c r="A506">
        <v>18</v>
      </c>
      <c r="B506" t="s">
        <v>16</v>
      </c>
      <c r="C506">
        <v>2.5</v>
      </c>
      <c r="D506" t="s">
        <v>17</v>
      </c>
      <c r="E506">
        <v>7.1</v>
      </c>
      <c r="F506">
        <v>1.6</v>
      </c>
      <c r="G506">
        <v>3.97</v>
      </c>
      <c r="H506">
        <v>0.7</v>
      </c>
      <c r="I506" t="s">
        <v>19</v>
      </c>
      <c r="J506">
        <v>10</v>
      </c>
      <c r="K506">
        <v>7</v>
      </c>
      <c r="L506">
        <v>3</v>
      </c>
      <c r="M506">
        <v>0</v>
      </c>
    </row>
    <row r="507" spans="1:13" x14ac:dyDescent="0.35">
      <c r="A507">
        <v>18</v>
      </c>
      <c r="B507" t="s">
        <v>16</v>
      </c>
      <c r="C507">
        <v>5.2</v>
      </c>
      <c r="D507" t="s">
        <v>20</v>
      </c>
      <c r="E507">
        <v>7.1</v>
      </c>
      <c r="F507">
        <v>1.9</v>
      </c>
      <c r="G507">
        <v>2.87</v>
      </c>
      <c r="H507">
        <v>1.7</v>
      </c>
      <c r="I507" t="s">
        <v>19</v>
      </c>
      <c r="J507">
        <v>5</v>
      </c>
      <c r="K507">
        <v>8</v>
      </c>
      <c r="L507">
        <v>6</v>
      </c>
      <c r="M507">
        <v>0</v>
      </c>
    </row>
    <row r="508" spans="1:13" x14ac:dyDescent="0.35">
      <c r="A508">
        <v>18</v>
      </c>
      <c r="B508" t="s">
        <v>16</v>
      </c>
      <c r="C508">
        <v>1.8</v>
      </c>
      <c r="D508" t="s">
        <v>17</v>
      </c>
      <c r="E508">
        <v>6.1</v>
      </c>
      <c r="F508">
        <v>2.7</v>
      </c>
      <c r="G508">
        <v>2.86</v>
      </c>
      <c r="H508">
        <v>1.1000000000000001</v>
      </c>
      <c r="I508" t="s">
        <v>15</v>
      </c>
      <c r="J508">
        <v>4</v>
      </c>
      <c r="K508">
        <v>2</v>
      </c>
      <c r="L508">
        <v>4</v>
      </c>
      <c r="M508">
        <v>0</v>
      </c>
    </row>
    <row r="509" spans="1:13" x14ac:dyDescent="0.35">
      <c r="A509">
        <v>18</v>
      </c>
      <c r="B509" t="s">
        <v>16</v>
      </c>
      <c r="C509">
        <v>5.8</v>
      </c>
      <c r="D509" t="s">
        <v>20</v>
      </c>
      <c r="E509">
        <v>5.0999999999999996</v>
      </c>
      <c r="F509">
        <v>1.2</v>
      </c>
      <c r="G509">
        <v>3.24</v>
      </c>
      <c r="H509">
        <v>0.4</v>
      </c>
      <c r="I509" t="s">
        <v>18</v>
      </c>
      <c r="J509">
        <v>5</v>
      </c>
      <c r="K509">
        <v>9</v>
      </c>
      <c r="L509">
        <v>2</v>
      </c>
      <c r="M509">
        <v>0</v>
      </c>
    </row>
    <row r="510" spans="1:13" x14ac:dyDescent="0.35">
      <c r="A510">
        <v>18</v>
      </c>
      <c r="B510" t="s">
        <v>16</v>
      </c>
      <c r="C510">
        <v>2.2000000000000002</v>
      </c>
      <c r="D510" t="s">
        <v>14</v>
      </c>
      <c r="E510">
        <v>4.4000000000000004</v>
      </c>
      <c r="F510">
        <v>1.7</v>
      </c>
      <c r="G510">
        <v>2.86</v>
      </c>
      <c r="H510">
        <v>1.1000000000000001</v>
      </c>
      <c r="I510" t="s">
        <v>18</v>
      </c>
      <c r="J510">
        <v>8</v>
      </c>
      <c r="K510">
        <v>9</v>
      </c>
      <c r="L510">
        <v>7</v>
      </c>
      <c r="M510">
        <v>0</v>
      </c>
    </row>
    <row r="511" spans="1:13" x14ac:dyDescent="0.35">
      <c r="A511">
        <v>18</v>
      </c>
      <c r="B511" t="s">
        <v>16</v>
      </c>
      <c r="C511">
        <v>4.5</v>
      </c>
      <c r="D511" t="s">
        <v>14</v>
      </c>
      <c r="E511">
        <v>4</v>
      </c>
      <c r="F511">
        <v>2.9</v>
      </c>
      <c r="G511">
        <v>3.15</v>
      </c>
      <c r="H511">
        <v>1.9</v>
      </c>
      <c r="I511" t="s">
        <v>19</v>
      </c>
      <c r="J511">
        <v>8</v>
      </c>
      <c r="K511">
        <v>6</v>
      </c>
      <c r="L511">
        <v>5</v>
      </c>
      <c r="M511">
        <v>0</v>
      </c>
    </row>
    <row r="512" spans="1:13" x14ac:dyDescent="0.35">
      <c r="A512">
        <v>18</v>
      </c>
      <c r="B512" t="s">
        <v>16</v>
      </c>
      <c r="C512">
        <v>5.3</v>
      </c>
      <c r="D512" t="s">
        <v>20</v>
      </c>
      <c r="E512">
        <v>4.5999999999999996</v>
      </c>
      <c r="F512">
        <v>1.5</v>
      </c>
      <c r="G512">
        <v>2.54</v>
      </c>
      <c r="H512">
        <v>0.6</v>
      </c>
      <c r="I512" t="s">
        <v>19</v>
      </c>
      <c r="J512">
        <v>4</v>
      </c>
      <c r="K512">
        <v>3</v>
      </c>
      <c r="L512">
        <v>4</v>
      </c>
      <c r="M512">
        <v>0</v>
      </c>
    </row>
    <row r="513" spans="1:13" x14ac:dyDescent="0.35">
      <c r="A513">
        <v>16</v>
      </c>
      <c r="B513" t="s">
        <v>16</v>
      </c>
      <c r="C513">
        <v>7.4</v>
      </c>
      <c r="D513" t="s">
        <v>17</v>
      </c>
      <c r="E513">
        <v>5.5</v>
      </c>
      <c r="F513">
        <v>1.8</v>
      </c>
      <c r="G513">
        <v>2.13</v>
      </c>
      <c r="H513">
        <v>0.3</v>
      </c>
      <c r="I513" t="s">
        <v>18</v>
      </c>
      <c r="J513">
        <v>7</v>
      </c>
      <c r="K513">
        <v>9</v>
      </c>
      <c r="L513">
        <v>9</v>
      </c>
      <c r="M513">
        <v>1</v>
      </c>
    </row>
    <row r="514" spans="1:13" x14ac:dyDescent="0.35">
      <c r="A514">
        <v>18</v>
      </c>
      <c r="B514" t="s">
        <v>16</v>
      </c>
      <c r="C514">
        <v>5.5</v>
      </c>
      <c r="D514" t="s">
        <v>20</v>
      </c>
      <c r="E514">
        <v>8.1999999999999993</v>
      </c>
      <c r="F514">
        <v>0.5</v>
      </c>
      <c r="G514">
        <v>3.15</v>
      </c>
      <c r="H514">
        <v>1.2</v>
      </c>
      <c r="I514" t="s">
        <v>19</v>
      </c>
      <c r="J514">
        <v>8</v>
      </c>
      <c r="K514">
        <v>7</v>
      </c>
      <c r="L514">
        <v>7</v>
      </c>
      <c r="M514">
        <v>0</v>
      </c>
    </row>
    <row r="515" spans="1:13" x14ac:dyDescent="0.35">
      <c r="A515">
        <v>18</v>
      </c>
      <c r="B515" t="s">
        <v>16</v>
      </c>
      <c r="C515">
        <v>5.2</v>
      </c>
      <c r="D515" t="s">
        <v>20</v>
      </c>
      <c r="E515">
        <v>7.3</v>
      </c>
      <c r="F515">
        <v>1.7</v>
      </c>
      <c r="G515">
        <v>3.33</v>
      </c>
      <c r="H515">
        <v>0.9</v>
      </c>
      <c r="I515" t="s">
        <v>15</v>
      </c>
      <c r="J515">
        <v>7</v>
      </c>
      <c r="K515">
        <v>4</v>
      </c>
      <c r="L515">
        <v>9</v>
      </c>
      <c r="M515">
        <v>0</v>
      </c>
    </row>
    <row r="516" spans="1:13" x14ac:dyDescent="0.35">
      <c r="A516">
        <v>18</v>
      </c>
      <c r="B516" t="s">
        <v>16</v>
      </c>
      <c r="C516">
        <v>6.8</v>
      </c>
      <c r="D516" t="s">
        <v>14</v>
      </c>
      <c r="E516">
        <v>6.6</v>
      </c>
      <c r="F516">
        <v>2</v>
      </c>
      <c r="G516">
        <v>2.76</v>
      </c>
      <c r="H516">
        <v>1</v>
      </c>
      <c r="I516" t="s">
        <v>15</v>
      </c>
      <c r="J516">
        <v>3</v>
      </c>
      <c r="K516">
        <v>4</v>
      </c>
      <c r="L516">
        <v>4</v>
      </c>
      <c r="M516">
        <v>0</v>
      </c>
    </row>
    <row r="517" spans="1:13" x14ac:dyDescent="0.35">
      <c r="A517">
        <v>19</v>
      </c>
      <c r="B517" t="s">
        <v>16</v>
      </c>
      <c r="C517">
        <v>1.9</v>
      </c>
      <c r="D517" t="s">
        <v>17</v>
      </c>
      <c r="E517">
        <v>8</v>
      </c>
      <c r="F517">
        <v>2.9</v>
      </c>
      <c r="G517">
        <v>3.22</v>
      </c>
      <c r="H517">
        <v>0.8</v>
      </c>
      <c r="I517" t="s">
        <v>18</v>
      </c>
      <c r="J517">
        <v>8</v>
      </c>
      <c r="K517">
        <v>1</v>
      </c>
      <c r="L517">
        <v>10</v>
      </c>
      <c r="M517">
        <v>0</v>
      </c>
    </row>
    <row r="518" spans="1:13" x14ac:dyDescent="0.35">
      <c r="A518">
        <v>19</v>
      </c>
      <c r="B518" t="s">
        <v>16</v>
      </c>
      <c r="C518">
        <v>7.4</v>
      </c>
      <c r="D518" t="s">
        <v>20</v>
      </c>
      <c r="E518">
        <v>4.4000000000000004</v>
      </c>
      <c r="F518">
        <v>2.4</v>
      </c>
      <c r="G518">
        <v>2.63</v>
      </c>
      <c r="H518">
        <v>0.6</v>
      </c>
      <c r="I518" t="s">
        <v>18</v>
      </c>
      <c r="J518">
        <v>3</v>
      </c>
      <c r="K518">
        <v>5</v>
      </c>
      <c r="L518">
        <v>7</v>
      </c>
      <c r="M518">
        <v>0</v>
      </c>
    </row>
    <row r="519" spans="1:13" x14ac:dyDescent="0.35">
      <c r="A519">
        <v>19</v>
      </c>
      <c r="B519" t="s">
        <v>16</v>
      </c>
      <c r="C519">
        <v>3.3</v>
      </c>
      <c r="D519" t="s">
        <v>17</v>
      </c>
      <c r="E519">
        <v>5</v>
      </c>
      <c r="F519">
        <v>2.1</v>
      </c>
      <c r="G519">
        <v>2.04</v>
      </c>
      <c r="H519">
        <v>0.9</v>
      </c>
      <c r="I519" t="s">
        <v>18</v>
      </c>
      <c r="J519">
        <v>1</v>
      </c>
      <c r="K519">
        <v>10</v>
      </c>
      <c r="L519">
        <v>9</v>
      </c>
      <c r="M519">
        <v>0</v>
      </c>
    </row>
    <row r="520" spans="1:13" x14ac:dyDescent="0.35">
      <c r="A520">
        <v>19</v>
      </c>
      <c r="B520" t="s">
        <v>16</v>
      </c>
      <c r="C520">
        <v>4.5999999999999996</v>
      </c>
      <c r="D520" t="s">
        <v>14</v>
      </c>
      <c r="E520">
        <v>5.5</v>
      </c>
      <c r="F520">
        <v>2.5</v>
      </c>
      <c r="G520">
        <v>3.96</v>
      </c>
      <c r="H520">
        <v>0.8</v>
      </c>
      <c r="I520" t="s">
        <v>18</v>
      </c>
      <c r="J520">
        <v>3</v>
      </c>
      <c r="K520">
        <v>10</v>
      </c>
      <c r="L520">
        <v>7</v>
      </c>
      <c r="M520">
        <v>0</v>
      </c>
    </row>
    <row r="521" spans="1:13" x14ac:dyDescent="0.35">
      <c r="A521">
        <v>19</v>
      </c>
      <c r="B521" t="s">
        <v>16</v>
      </c>
      <c r="C521">
        <v>7.9</v>
      </c>
      <c r="D521" t="s">
        <v>17</v>
      </c>
      <c r="E521">
        <v>5.0999999999999996</v>
      </c>
      <c r="F521">
        <v>1.7</v>
      </c>
      <c r="G521">
        <v>2.8</v>
      </c>
      <c r="H521">
        <v>0.8</v>
      </c>
      <c r="I521" t="s">
        <v>15</v>
      </c>
      <c r="J521">
        <v>6</v>
      </c>
      <c r="K521">
        <v>1</v>
      </c>
      <c r="L521">
        <v>8</v>
      </c>
      <c r="M521">
        <v>0</v>
      </c>
    </row>
    <row r="522" spans="1:13" x14ac:dyDescent="0.35">
      <c r="A522">
        <v>19</v>
      </c>
      <c r="B522" t="s">
        <v>16</v>
      </c>
      <c r="C522">
        <v>4.8</v>
      </c>
      <c r="D522" t="s">
        <v>17</v>
      </c>
      <c r="E522">
        <v>6</v>
      </c>
      <c r="F522">
        <v>1.5</v>
      </c>
      <c r="G522">
        <v>2.61</v>
      </c>
      <c r="H522">
        <v>1.2</v>
      </c>
      <c r="I522" t="s">
        <v>18</v>
      </c>
      <c r="J522">
        <v>2</v>
      </c>
      <c r="K522">
        <v>2</v>
      </c>
      <c r="L522">
        <v>6</v>
      </c>
      <c r="M522">
        <v>0</v>
      </c>
    </row>
    <row r="523" spans="1:13" x14ac:dyDescent="0.35">
      <c r="A523">
        <v>19</v>
      </c>
      <c r="B523" t="s">
        <v>16</v>
      </c>
      <c r="C523">
        <v>7.8</v>
      </c>
      <c r="D523" t="s">
        <v>20</v>
      </c>
      <c r="E523">
        <v>8.8000000000000007</v>
      </c>
      <c r="F523">
        <v>2.1</v>
      </c>
      <c r="G523">
        <v>3.75</v>
      </c>
      <c r="H523">
        <v>1.3</v>
      </c>
      <c r="I523" t="s">
        <v>18</v>
      </c>
      <c r="J523">
        <v>10</v>
      </c>
      <c r="K523">
        <v>9</v>
      </c>
      <c r="L523">
        <v>6</v>
      </c>
      <c r="M523">
        <v>0</v>
      </c>
    </row>
    <row r="524" spans="1:13" x14ac:dyDescent="0.35">
      <c r="A524">
        <v>19</v>
      </c>
      <c r="B524" t="s">
        <v>16</v>
      </c>
      <c r="C524">
        <v>4.0999999999999996</v>
      </c>
      <c r="D524" t="s">
        <v>14</v>
      </c>
      <c r="E524">
        <v>6.4</v>
      </c>
      <c r="F524">
        <v>0.9</v>
      </c>
      <c r="G524">
        <v>2.4700000000000002</v>
      </c>
      <c r="H524">
        <v>1.2</v>
      </c>
      <c r="I524" t="s">
        <v>18</v>
      </c>
      <c r="J524">
        <v>7</v>
      </c>
      <c r="K524">
        <v>3</v>
      </c>
      <c r="L524">
        <v>4</v>
      </c>
      <c r="M524">
        <v>0</v>
      </c>
    </row>
    <row r="525" spans="1:13" x14ac:dyDescent="0.35">
      <c r="A525">
        <v>19</v>
      </c>
      <c r="B525" t="s">
        <v>16</v>
      </c>
      <c r="C525">
        <v>1.6</v>
      </c>
      <c r="D525" t="s">
        <v>17</v>
      </c>
      <c r="E525">
        <v>4.0999999999999996</v>
      </c>
      <c r="F525">
        <v>1.6</v>
      </c>
      <c r="G525">
        <v>3.15</v>
      </c>
      <c r="H525">
        <v>0.9</v>
      </c>
      <c r="I525" t="s">
        <v>19</v>
      </c>
      <c r="J525">
        <v>2</v>
      </c>
      <c r="K525">
        <v>6</v>
      </c>
      <c r="L525">
        <v>4</v>
      </c>
      <c r="M525">
        <v>0</v>
      </c>
    </row>
    <row r="526" spans="1:13" x14ac:dyDescent="0.35">
      <c r="A526">
        <v>19</v>
      </c>
      <c r="B526" t="s">
        <v>16</v>
      </c>
      <c r="C526">
        <v>2.8</v>
      </c>
      <c r="D526" t="s">
        <v>17</v>
      </c>
      <c r="E526">
        <v>4.8</v>
      </c>
      <c r="F526">
        <v>1.7</v>
      </c>
      <c r="G526">
        <v>2.8</v>
      </c>
      <c r="H526">
        <v>0.6</v>
      </c>
      <c r="I526" t="s">
        <v>15</v>
      </c>
      <c r="J526">
        <v>5</v>
      </c>
      <c r="K526">
        <v>7</v>
      </c>
      <c r="L526">
        <v>4</v>
      </c>
      <c r="M526">
        <v>0</v>
      </c>
    </row>
    <row r="527" spans="1:13" x14ac:dyDescent="0.35">
      <c r="A527">
        <v>19</v>
      </c>
      <c r="B527" t="s">
        <v>16</v>
      </c>
      <c r="C527">
        <v>4</v>
      </c>
      <c r="D527" t="s">
        <v>17</v>
      </c>
      <c r="E527">
        <v>6.5</v>
      </c>
      <c r="F527">
        <v>2.4</v>
      </c>
      <c r="G527">
        <v>3.67</v>
      </c>
      <c r="H527">
        <v>0.6</v>
      </c>
      <c r="I527" t="s">
        <v>15</v>
      </c>
      <c r="J527">
        <v>4</v>
      </c>
      <c r="K527">
        <v>6</v>
      </c>
      <c r="L527">
        <v>4</v>
      </c>
      <c r="M527">
        <v>0</v>
      </c>
    </row>
    <row r="528" spans="1:13" x14ac:dyDescent="0.35">
      <c r="A528">
        <v>19</v>
      </c>
      <c r="B528" t="s">
        <v>16</v>
      </c>
      <c r="C528">
        <v>6</v>
      </c>
      <c r="D528" t="s">
        <v>17</v>
      </c>
      <c r="E528">
        <v>6</v>
      </c>
      <c r="F528">
        <v>0.7</v>
      </c>
      <c r="G528">
        <v>3.29</v>
      </c>
      <c r="H528">
        <v>1.4</v>
      </c>
      <c r="I528" t="s">
        <v>15</v>
      </c>
      <c r="J528">
        <v>4</v>
      </c>
      <c r="K528">
        <v>5</v>
      </c>
      <c r="L528">
        <v>1</v>
      </c>
      <c r="M528">
        <v>0</v>
      </c>
    </row>
    <row r="529" spans="1:13" x14ac:dyDescent="0.35">
      <c r="A529">
        <v>19</v>
      </c>
      <c r="B529" t="s">
        <v>16</v>
      </c>
      <c r="C529">
        <v>1.1000000000000001</v>
      </c>
      <c r="D529" t="s">
        <v>17</v>
      </c>
      <c r="E529">
        <v>5.0999999999999996</v>
      </c>
      <c r="F529">
        <v>2.2000000000000002</v>
      </c>
      <c r="G529">
        <v>2.13</v>
      </c>
      <c r="H529">
        <v>0.9</v>
      </c>
      <c r="I529" t="s">
        <v>15</v>
      </c>
      <c r="J529">
        <v>7</v>
      </c>
      <c r="K529">
        <v>7</v>
      </c>
      <c r="L529">
        <v>2</v>
      </c>
      <c r="M529">
        <v>0</v>
      </c>
    </row>
    <row r="530" spans="1:13" x14ac:dyDescent="0.35">
      <c r="A530">
        <v>19</v>
      </c>
      <c r="B530" t="s">
        <v>16</v>
      </c>
      <c r="C530">
        <v>4.3</v>
      </c>
      <c r="D530" t="s">
        <v>14</v>
      </c>
      <c r="E530">
        <v>5.9</v>
      </c>
      <c r="F530">
        <v>2.1</v>
      </c>
      <c r="G530">
        <v>2.85</v>
      </c>
      <c r="H530">
        <v>1.7</v>
      </c>
      <c r="I530" t="s">
        <v>18</v>
      </c>
      <c r="J530">
        <v>9</v>
      </c>
      <c r="K530">
        <v>9</v>
      </c>
      <c r="L530">
        <v>8</v>
      </c>
      <c r="M530">
        <v>0</v>
      </c>
    </row>
    <row r="531" spans="1:13" x14ac:dyDescent="0.35">
      <c r="A531">
        <v>19</v>
      </c>
      <c r="B531" t="s">
        <v>16</v>
      </c>
      <c r="C531">
        <v>3.5</v>
      </c>
      <c r="D531" t="s">
        <v>17</v>
      </c>
      <c r="E531">
        <v>6.7</v>
      </c>
      <c r="F531">
        <v>2.7</v>
      </c>
      <c r="G531">
        <v>3.4</v>
      </c>
      <c r="H531">
        <v>1.2</v>
      </c>
      <c r="I531" t="s">
        <v>15</v>
      </c>
      <c r="J531">
        <v>4</v>
      </c>
      <c r="K531">
        <v>6</v>
      </c>
      <c r="L531">
        <v>7</v>
      </c>
      <c r="M531">
        <v>0</v>
      </c>
    </row>
    <row r="532" spans="1:13" x14ac:dyDescent="0.35">
      <c r="A532">
        <v>19</v>
      </c>
      <c r="B532" t="s">
        <v>16</v>
      </c>
      <c r="C532">
        <v>5.6</v>
      </c>
      <c r="D532" t="s">
        <v>17</v>
      </c>
      <c r="E532">
        <v>8.1</v>
      </c>
      <c r="F532">
        <v>3</v>
      </c>
      <c r="G532">
        <v>2.75</v>
      </c>
      <c r="H532">
        <v>0.7</v>
      </c>
      <c r="I532" t="s">
        <v>19</v>
      </c>
      <c r="J532">
        <v>6</v>
      </c>
      <c r="K532">
        <v>3</v>
      </c>
      <c r="L532">
        <v>4</v>
      </c>
      <c r="M532">
        <v>0</v>
      </c>
    </row>
    <row r="533" spans="1:13" x14ac:dyDescent="0.35">
      <c r="A533">
        <v>19</v>
      </c>
      <c r="B533" t="s">
        <v>16</v>
      </c>
      <c r="C533">
        <v>1.4</v>
      </c>
      <c r="D533" t="s">
        <v>14</v>
      </c>
      <c r="E533">
        <v>6.6</v>
      </c>
      <c r="F533">
        <v>1.8</v>
      </c>
      <c r="G533">
        <v>3.07</v>
      </c>
      <c r="H533">
        <v>0</v>
      </c>
      <c r="I533" t="s">
        <v>15</v>
      </c>
      <c r="J533">
        <v>5</v>
      </c>
      <c r="K533">
        <v>2</v>
      </c>
      <c r="L533">
        <v>6</v>
      </c>
      <c r="M533">
        <v>0</v>
      </c>
    </row>
    <row r="534" spans="1:13" x14ac:dyDescent="0.35">
      <c r="A534">
        <v>19</v>
      </c>
      <c r="B534" t="s">
        <v>16</v>
      </c>
      <c r="C534">
        <v>5.4</v>
      </c>
      <c r="D534" t="s">
        <v>17</v>
      </c>
      <c r="E534">
        <v>4.4000000000000004</v>
      </c>
      <c r="F534">
        <v>2.2999999999999998</v>
      </c>
      <c r="G534">
        <v>3.34</v>
      </c>
      <c r="H534">
        <v>0.4</v>
      </c>
      <c r="I534" t="s">
        <v>18</v>
      </c>
      <c r="J534">
        <v>3</v>
      </c>
      <c r="K534">
        <v>3</v>
      </c>
      <c r="L534">
        <v>8</v>
      </c>
      <c r="M534">
        <v>0</v>
      </c>
    </row>
    <row r="535" spans="1:13" x14ac:dyDescent="0.35">
      <c r="A535">
        <v>19</v>
      </c>
      <c r="B535" t="s">
        <v>16</v>
      </c>
      <c r="C535">
        <v>1.5</v>
      </c>
      <c r="D535" t="s">
        <v>14</v>
      </c>
      <c r="E535">
        <v>8.4</v>
      </c>
      <c r="F535">
        <v>3</v>
      </c>
      <c r="G535">
        <v>2.46</v>
      </c>
      <c r="H535">
        <v>1.5</v>
      </c>
      <c r="I535" t="s">
        <v>18</v>
      </c>
      <c r="J535">
        <v>1</v>
      </c>
      <c r="K535">
        <v>7</v>
      </c>
      <c r="L535">
        <v>6</v>
      </c>
      <c r="M535">
        <v>0</v>
      </c>
    </row>
    <row r="536" spans="1:13" x14ac:dyDescent="0.35">
      <c r="A536">
        <v>19</v>
      </c>
      <c r="B536" t="s">
        <v>16</v>
      </c>
      <c r="C536">
        <v>5.2</v>
      </c>
      <c r="D536" t="s">
        <v>14</v>
      </c>
      <c r="E536">
        <v>6.6</v>
      </c>
      <c r="F536">
        <v>1.6</v>
      </c>
      <c r="G536">
        <v>2.36</v>
      </c>
      <c r="H536">
        <v>1.4</v>
      </c>
      <c r="I536" t="s">
        <v>15</v>
      </c>
      <c r="J536">
        <v>2</v>
      </c>
      <c r="K536">
        <v>6</v>
      </c>
      <c r="L536">
        <v>10</v>
      </c>
      <c r="M536">
        <v>0</v>
      </c>
    </row>
    <row r="537" spans="1:13" x14ac:dyDescent="0.35">
      <c r="A537">
        <v>19</v>
      </c>
      <c r="B537" t="s">
        <v>16</v>
      </c>
      <c r="C537">
        <v>7.1</v>
      </c>
      <c r="D537" t="s">
        <v>20</v>
      </c>
      <c r="E537">
        <v>6.3</v>
      </c>
      <c r="F537">
        <v>2.2000000000000002</v>
      </c>
      <c r="G537">
        <v>3.88</v>
      </c>
      <c r="H537">
        <v>0.8</v>
      </c>
      <c r="I537" t="s">
        <v>18</v>
      </c>
      <c r="J537">
        <v>10</v>
      </c>
      <c r="K537">
        <v>4</v>
      </c>
      <c r="L537">
        <v>9</v>
      </c>
      <c r="M537">
        <v>0</v>
      </c>
    </row>
    <row r="538" spans="1:13" x14ac:dyDescent="0.35">
      <c r="A538">
        <v>19</v>
      </c>
      <c r="B538" t="s">
        <v>16</v>
      </c>
      <c r="C538">
        <v>4.2</v>
      </c>
      <c r="D538" t="s">
        <v>20</v>
      </c>
      <c r="E538">
        <v>8.1</v>
      </c>
      <c r="F538">
        <v>1.4</v>
      </c>
      <c r="G538">
        <v>2.66</v>
      </c>
      <c r="H538">
        <v>1.9</v>
      </c>
      <c r="I538" t="s">
        <v>15</v>
      </c>
      <c r="J538">
        <v>9</v>
      </c>
      <c r="K538">
        <v>4</v>
      </c>
      <c r="L538">
        <v>2</v>
      </c>
      <c r="M538">
        <v>0</v>
      </c>
    </row>
    <row r="539" spans="1:13" x14ac:dyDescent="0.35">
      <c r="A539">
        <v>19</v>
      </c>
      <c r="B539" t="s">
        <v>16</v>
      </c>
      <c r="C539">
        <v>2.8</v>
      </c>
      <c r="D539" t="s">
        <v>14</v>
      </c>
      <c r="E539">
        <v>5.9</v>
      </c>
      <c r="F539">
        <v>1.5</v>
      </c>
      <c r="G539">
        <v>2.85</v>
      </c>
      <c r="H539">
        <v>0.6</v>
      </c>
      <c r="I539" t="s">
        <v>18</v>
      </c>
      <c r="J539">
        <v>10</v>
      </c>
      <c r="K539">
        <v>9</v>
      </c>
      <c r="L539">
        <v>4</v>
      </c>
      <c r="M539">
        <v>0</v>
      </c>
    </row>
    <row r="540" spans="1:13" x14ac:dyDescent="0.35">
      <c r="A540">
        <v>19</v>
      </c>
      <c r="B540" t="s">
        <v>16</v>
      </c>
      <c r="C540">
        <v>6.7</v>
      </c>
      <c r="D540" t="s">
        <v>14</v>
      </c>
      <c r="E540">
        <v>7.3</v>
      </c>
      <c r="F540">
        <v>2.8</v>
      </c>
      <c r="G540">
        <v>2.2599999999999998</v>
      </c>
      <c r="H540">
        <v>1.4</v>
      </c>
      <c r="I540" t="s">
        <v>18</v>
      </c>
      <c r="J540">
        <v>7</v>
      </c>
      <c r="K540">
        <v>6</v>
      </c>
      <c r="L540">
        <v>8</v>
      </c>
      <c r="M540">
        <v>0</v>
      </c>
    </row>
    <row r="541" spans="1:13" x14ac:dyDescent="0.35">
      <c r="A541">
        <v>19</v>
      </c>
      <c r="B541" t="s">
        <v>16</v>
      </c>
      <c r="C541">
        <v>6.5</v>
      </c>
      <c r="D541" t="s">
        <v>17</v>
      </c>
      <c r="E541">
        <v>6.4</v>
      </c>
      <c r="F541">
        <v>1.1000000000000001</v>
      </c>
      <c r="G541">
        <v>3.71</v>
      </c>
      <c r="H541">
        <v>1.2</v>
      </c>
      <c r="I541" t="s">
        <v>15</v>
      </c>
      <c r="J541">
        <v>8</v>
      </c>
      <c r="K541">
        <v>9</v>
      </c>
      <c r="L541">
        <v>8</v>
      </c>
      <c r="M541">
        <v>0</v>
      </c>
    </row>
    <row r="542" spans="1:13" x14ac:dyDescent="0.35">
      <c r="A542">
        <v>19</v>
      </c>
      <c r="B542" t="s">
        <v>16</v>
      </c>
      <c r="C542">
        <v>6.8</v>
      </c>
      <c r="D542" t="s">
        <v>20</v>
      </c>
      <c r="E542">
        <v>4.4000000000000004</v>
      </c>
      <c r="F542">
        <v>2.1</v>
      </c>
      <c r="G542">
        <v>3.69</v>
      </c>
      <c r="H542">
        <v>0.4</v>
      </c>
      <c r="I542" t="s">
        <v>18</v>
      </c>
      <c r="J542">
        <v>3</v>
      </c>
      <c r="K542">
        <v>2</v>
      </c>
      <c r="L542">
        <v>8</v>
      </c>
      <c r="M542">
        <v>0</v>
      </c>
    </row>
    <row r="543" spans="1:13" x14ac:dyDescent="0.35">
      <c r="A543">
        <v>19</v>
      </c>
      <c r="B543" t="s">
        <v>16</v>
      </c>
      <c r="C543">
        <v>2.4</v>
      </c>
      <c r="D543" t="s">
        <v>14</v>
      </c>
      <c r="E543">
        <v>8.6999999999999993</v>
      </c>
      <c r="F543">
        <v>1.6</v>
      </c>
      <c r="G543">
        <v>2.4</v>
      </c>
      <c r="H543">
        <v>0.1</v>
      </c>
      <c r="I543" t="s">
        <v>19</v>
      </c>
      <c r="J543">
        <v>2</v>
      </c>
      <c r="K543">
        <v>9</v>
      </c>
      <c r="L543">
        <v>7</v>
      </c>
      <c r="M543">
        <v>0</v>
      </c>
    </row>
    <row r="544" spans="1:13" x14ac:dyDescent="0.35">
      <c r="A544">
        <v>19</v>
      </c>
      <c r="B544" t="s">
        <v>16</v>
      </c>
      <c r="C544">
        <v>3.4</v>
      </c>
      <c r="D544" t="s">
        <v>17</v>
      </c>
      <c r="E544">
        <v>4.3</v>
      </c>
      <c r="F544">
        <v>0.7</v>
      </c>
      <c r="G544">
        <v>2.17</v>
      </c>
      <c r="H544">
        <v>0.7</v>
      </c>
      <c r="I544" t="s">
        <v>18</v>
      </c>
      <c r="J544">
        <v>3</v>
      </c>
      <c r="K544">
        <v>1</v>
      </c>
      <c r="L544">
        <v>4</v>
      </c>
      <c r="M544">
        <v>0</v>
      </c>
    </row>
    <row r="545" spans="1:13" x14ac:dyDescent="0.35">
      <c r="A545">
        <v>19</v>
      </c>
      <c r="B545" t="s">
        <v>16</v>
      </c>
      <c r="C545">
        <v>3.9</v>
      </c>
      <c r="D545" t="s">
        <v>17</v>
      </c>
      <c r="E545">
        <v>7.4</v>
      </c>
      <c r="F545">
        <v>2.5</v>
      </c>
      <c r="G545">
        <v>3.74</v>
      </c>
      <c r="H545">
        <v>0.3</v>
      </c>
      <c r="I545" t="s">
        <v>19</v>
      </c>
      <c r="J545">
        <v>5</v>
      </c>
      <c r="K545">
        <v>8</v>
      </c>
      <c r="L545">
        <v>3</v>
      </c>
      <c r="M545">
        <v>0</v>
      </c>
    </row>
    <row r="546" spans="1:13" x14ac:dyDescent="0.35">
      <c r="A546">
        <v>19</v>
      </c>
      <c r="B546" t="s">
        <v>16</v>
      </c>
      <c r="C546">
        <v>5.0999999999999996</v>
      </c>
      <c r="D546" t="s">
        <v>20</v>
      </c>
      <c r="E546">
        <v>6.3</v>
      </c>
      <c r="F546">
        <v>2.2999999999999998</v>
      </c>
      <c r="G546">
        <v>2.5499999999999998</v>
      </c>
      <c r="H546">
        <v>2</v>
      </c>
      <c r="I546" t="s">
        <v>19</v>
      </c>
      <c r="J546">
        <v>6</v>
      </c>
      <c r="K546">
        <v>9</v>
      </c>
      <c r="L546">
        <v>7</v>
      </c>
      <c r="M546">
        <v>0</v>
      </c>
    </row>
    <row r="547" spans="1:13" x14ac:dyDescent="0.35">
      <c r="A547">
        <v>19</v>
      </c>
      <c r="B547" t="s">
        <v>16</v>
      </c>
      <c r="C547">
        <v>4.4000000000000004</v>
      </c>
      <c r="D547" t="s">
        <v>20</v>
      </c>
      <c r="E547">
        <v>5</v>
      </c>
      <c r="F547">
        <v>2.8</v>
      </c>
      <c r="G547">
        <v>2.69</v>
      </c>
      <c r="H547">
        <v>0.4</v>
      </c>
      <c r="I547" t="s">
        <v>18</v>
      </c>
      <c r="J547">
        <v>3</v>
      </c>
      <c r="K547">
        <v>8</v>
      </c>
      <c r="L547">
        <v>8</v>
      </c>
      <c r="M547">
        <v>0</v>
      </c>
    </row>
    <row r="548" spans="1:13" x14ac:dyDescent="0.35">
      <c r="A548">
        <v>19</v>
      </c>
      <c r="B548" t="s">
        <v>16</v>
      </c>
      <c r="C548">
        <v>4</v>
      </c>
      <c r="D548" t="s">
        <v>20</v>
      </c>
      <c r="E548">
        <v>7.4</v>
      </c>
      <c r="F548">
        <v>2.7</v>
      </c>
      <c r="G548">
        <v>3.41</v>
      </c>
      <c r="H548">
        <v>1.4</v>
      </c>
      <c r="I548" t="s">
        <v>19</v>
      </c>
      <c r="J548">
        <v>9</v>
      </c>
      <c r="K548">
        <v>4</v>
      </c>
      <c r="L548">
        <v>7</v>
      </c>
      <c r="M548">
        <v>0</v>
      </c>
    </row>
    <row r="549" spans="1:13" x14ac:dyDescent="0.35">
      <c r="A549">
        <v>19</v>
      </c>
      <c r="B549" t="s">
        <v>16</v>
      </c>
      <c r="C549">
        <v>7.9</v>
      </c>
      <c r="D549" t="s">
        <v>14</v>
      </c>
      <c r="E549">
        <v>5.7</v>
      </c>
      <c r="F549">
        <v>2.4</v>
      </c>
      <c r="G549">
        <v>3.59</v>
      </c>
      <c r="H549">
        <v>1.9</v>
      </c>
      <c r="I549" t="s">
        <v>18</v>
      </c>
      <c r="J549">
        <v>1</v>
      </c>
      <c r="K549">
        <v>9</v>
      </c>
      <c r="L549">
        <v>9</v>
      </c>
      <c r="M549">
        <v>0</v>
      </c>
    </row>
    <row r="550" spans="1:13" x14ac:dyDescent="0.35">
      <c r="A550">
        <v>19</v>
      </c>
      <c r="B550" t="s">
        <v>16</v>
      </c>
      <c r="C550">
        <v>3.6</v>
      </c>
      <c r="D550" t="s">
        <v>20</v>
      </c>
      <c r="E550">
        <v>5.6</v>
      </c>
      <c r="F550">
        <v>1.7</v>
      </c>
      <c r="G550">
        <v>3.57</v>
      </c>
      <c r="H550">
        <v>1.5</v>
      </c>
      <c r="I550" t="s">
        <v>15</v>
      </c>
      <c r="J550">
        <v>10</v>
      </c>
      <c r="K550">
        <v>4</v>
      </c>
      <c r="L550">
        <v>3</v>
      </c>
      <c r="M550">
        <v>0</v>
      </c>
    </row>
    <row r="551" spans="1:13" x14ac:dyDescent="0.35">
      <c r="A551">
        <v>19</v>
      </c>
      <c r="B551" t="s">
        <v>16</v>
      </c>
      <c r="C551">
        <v>6</v>
      </c>
      <c r="D551" t="s">
        <v>20</v>
      </c>
      <c r="E551">
        <v>6.3</v>
      </c>
      <c r="F551">
        <v>2.8</v>
      </c>
      <c r="G551">
        <v>3.98</v>
      </c>
      <c r="H551">
        <v>2</v>
      </c>
      <c r="I551" t="s">
        <v>19</v>
      </c>
      <c r="J551">
        <v>2</v>
      </c>
      <c r="K551">
        <v>6</v>
      </c>
      <c r="L551">
        <v>2</v>
      </c>
      <c r="M551">
        <v>0</v>
      </c>
    </row>
    <row r="552" spans="1:13" x14ac:dyDescent="0.35">
      <c r="A552">
        <v>19</v>
      </c>
      <c r="B552" t="s">
        <v>16</v>
      </c>
      <c r="C552">
        <v>4.0999999999999996</v>
      </c>
      <c r="D552" t="s">
        <v>20</v>
      </c>
      <c r="E552">
        <v>7.5</v>
      </c>
      <c r="F552">
        <v>2.7</v>
      </c>
      <c r="G552">
        <v>2.66</v>
      </c>
      <c r="H552">
        <v>1.6</v>
      </c>
      <c r="I552" t="s">
        <v>18</v>
      </c>
      <c r="J552">
        <v>5</v>
      </c>
      <c r="K552">
        <v>10</v>
      </c>
      <c r="L552">
        <v>5</v>
      </c>
      <c r="M552">
        <v>0</v>
      </c>
    </row>
    <row r="553" spans="1:13" x14ac:dyDescent="0.35">
      <c r="A553">
        <v>19</v>
      </c>
      <c r="B553" t="s">
        <v>16</v>
      </c>
      <c r="C553">
        <v>1.3</v>
      </c>
      <c r="D553" t="s">
        <v>17</v>
      </c>
      <c r="E553">
        <v>6.5</v>
      </c>
      <c r="F553">
        <v>2.1</v>
      </c>
      <c r="G553">
        <v>3.68</v>
      </c>
      <c r="H553">
        <v>1.1000000000000001</v>
      </c>
      <c r="I553" t="s">
        <v>18</v>
      </c>
      <c r="J553">
        <v>7</v>
      </c>
      <c r="K553">
        <v>1</v>
      </c>
      <c r="L553">
        <v>9</v>
      </c>
      <c r="M553">
        <v>0</v>
      </c>
    </row>
    <row r="554" spans="1:13" x14ac:dyDescent="0.35">
      <c r="A554">
        <v>19</v>
      </c>
      <c r="B554" t="s">
        <v>16</v>
      </c>
      <c r="C554">
        <v>6.3</v>
      </c>
      <c r="D554" t="s">
        <v>20</v>
      </c>
      <c r="E554">
        <v>5.7</v>
      </c>
      <c r="F554">
        <v>2.2999999999999998</v>
      </c>
      <c r="G554">
        <v>2.16</v>
      </c>
      <c r="H554">
        <v>1.9</v>
      </c>
      <c r="I554" t="s">
        <v>18</v>
      </c>
      <c r="J554">
        <v>6</v>
      </c>
      <c r="K554">
        <v>3</v>
      </c>
      <c r="L554">
        <v>6</v>
      </c>
      <c r="M554">
        <v>0</v>
      </c>
    </row>
    <row r="555" spans="1:13" x14ac:dyDescent="0.35">
      <c r="A555">
        <v>19</v>
      </c>
      <c r="B555" t="s">
        <v>16</v>
      </c>
      <c r="C555">
        <v>5.4</v>
      </c>
      <c r="D555" t="s">
        <v>14</v>
      </c>
      <c r="E555">
        <v>7.3</v>
      </c>
      <c r="F555">
        <v>2</v>
      </c>
      <c r="G555">
        <v>3.98</v>
      </c>
      <c r="H555">
        <v>0.9</v>
      </c>
      <c r="I555" t="s">
        <v>19</v>
      </c>
      <c r="J555">
        <v>6</v>
      </c>
      <c r="K555">
        <v>6</v>
      </c>
      <c r="L555">
        <v>1</v>
      </c>
      <c r="M555">
        <v>0</v>
      </c>
    </row>
    <row r="556" spans="1:13" x14ac:dyDescent="0.35">
      <c r="A556">
        <v>19</v>
      </c>
      <c r="B556" t="s">
        <v>16</v>
      </c>
      <c r="C556">
        <v>5</v>
      </c>
      <c r="D556" t="s">
        <v>14</v>
      </c>
      <c r="E556">
        <v>6.3</v>
      </c>
      <c r="F556">
        <v>2.9</v>
      </c>
      <c r="G556">
        <v>2.04</v>
      </c>
      <c r="H556">
        <v>0.5</v>
      </c>
      <c r="I556" t="s">
        <v>19</v>
      </c>
      <c r="J556">
        <v>5</v>
      </c>
      <c r="K556">
        <v>2</v>
      </c>
      <c r="L556">
        <v>2</v>
      </c>
      <c r="M556">
        <v>0</v>
      </c>
    </row>
    <row r="557" spans="1:13" x14ac:dyDescent="0.35">
      <c r="A557">
        <v>19</v>
      </c>
      <c r="B557" t="s">
        <v>16</v>
      </c>
      <c r="C557">
        <v>4.2</v>
      </c>
      <c r="D557" t="s">
        <v>14</v>
      </c>
      <c r="E557">
        <v>7.1</v>
      </c>
      <c r="F557">
        <v>2.5</v>
      </c>
      <c r="G557">
        <v>3.91</v>
      </c>
      <c r="H557">
        <v>1.5</v>
      </c>
      <c r="I557" t="s">
        <v>18</v>
      </c>
      <c r="J557">
        <v>6</v>
      </c>
      <c r="K557">
        <v>8</v>
      </c>
      <c r="L557">
        <v>9</v>
      </c>
      <c r="M557">
        <v>0</v>
      </c>
    </row>
    <row r="558" spans="1:13" x14ac:dyDescent="0.35">
      <c r="A558">
        <v>19</v>
      </c>
      <c r="B558" t="s">
        <v>16</v>
      </c>
      <c r="C558">
        <v>1.8</v>
      </c>
      <c r="D558" t="s">
        <v>14</v>
      </c>
      <c r="E558">
        <v>4.5</v>
      </c>
      <c r="F558">
        <v>2.8</v>
      </c>
      <c r="G558">
        <v>3.22</v>
      </c>
      <c r="H558">
        <v>1.6</v>
      </c>
      <c r="I558" t="s">
        <v>19</v>
      </c>
      <c r="J558">
        <v>5</v>
      </c>
      <c r="K558">
        <v>3</v>
      </c>
      <c r="L558">
        <v>10</v>
      </c>
      <c r="M558">
        <v>0</v>
      </c>
    </row>
    <row r="559" spans="1:13" x14ac:dyDescent="0.35">
      <c r="A559">
        <v>19</v>
      </c>
      <c r="B559" t="s">
        <v>16</v>
      </c>
      <c r="C559">
        <v>5.4</v>
      </c>
      <c r="D559" t="s">
        <v>17</v>
      </c>
      <c r="E559">
        <v>7.4</v>
      </c>
      <c r="F559">
        <v>1.7</v>
      </c>
      <c r="G559">
        <v>2.88</v>
      </c>
      <c r="H559">
        <v>0.6</v>
      </c>
      <c r="I559" t="s">
        <v>15</v>
      </c>
      <c r="J559">
        <v>6</v>
      </c>
      <c r="K559">
        <v>10</v>
      </c>
      <c r="L559">
        <v>9</v>
      </c>
      <c r="M559">
        <v>0</v>
      </c>
    </row>
    <row r="560" spans="1:13" x14ac:dyDescent="0.35">
      <c r="A560">
        <v>19</v>
      </c>
      <c r="B560" t="s">
        <v>16</v>
      </c>
      <c r="C560">
        <v>6.6</v>
      </c>
      <c r="D560" t="s">
        <v>20</v>
      </c>
      <c r="E560">
        <v>6.8</v>
      </c>
      <c r="F560">
        <v>0.8</v>
      </c>
      <c r="G560">
        <v>2.64</v>
      </c>
      <c r="H560">
        <v>1.5</v>
      </c>
      <c r="I560" t="s">
        <v>15</v>
      </c>
      <c r="J560">
        <v>5</v>
      </c>
      <c r="K560">
        <v>4</v>
      </c>
      <c r="L560">
        <v>6</v>
      </c>
      <c r="M560">
        <v>0</v>
      </c>
    </row>
    <row r="561" spans="1:13" x14ac:dyDescent="0.35">
      <c r="A561">
        <v>19</v>
      </c>
      <c r="B561" t="s">
        <v>16</v>
      </c>
      <c r="C561">
        <v>7.1</v>
      </c>
      <c r="D561" t="s">
        <v>17</v>
      </c>
      <c r="E561">
        <v>6.3</v>
      </c>
      <c r="F561">
        <v>0.8</v>
      </c>
      <c r="G561">
        <v>3.66</v>
      </c>
      <c r="H561">
        <v>0.5</v>
      </c>
      <c r="I561" t="s">
        <v>18</v>
      </c>
      <c r="J561">
        <v>3</v>
      </c>
      <c r="K561">
        <v>7</v>
      </c>
      <c r="L561">
        <v>7</v>
      </c>
      <c r="M561">
        <v>0</v>
      </c>
    </row>
    <row r="562" spans="1:13" x14ac:dyDescent="0.35">
      <c r="A562">
        <v>19</v>
      </c>
      <c r="B562" t="s">
        <v>16</v>
      </c>
      <c r="C562">
        <v>1.4</v>
      </c>
      <c r="D562" t="s">
        <v>20</v>
      </c>
      <c r="E562">
        <v>8</v>
      </c>
      <c r="F562">
        <v>2.5</v>
      </c>
      <c r="G562">
        <v>3.54</v>
      </c>
      <c r="H562">
        <v>1.8</v>
      </c>
      <c r="I562" t="s">
        <v>15</v>
      </c>
      <c r="J562">
        <v>4</v>
      </c>
      <c r="K562">
        <v>8</v>
      </c>
      <c r="L562">
        <v>3</v>
      </c>
      <c r="M562">
        <v>0</v>
      </c>
    </row>
    <row r="563" spans="1:13" x14ac:dyDescent="0.35">
      <c r="A563">
        <v>19</v>
      </c>
      <c r="B563" t="s">
        <v>16</v>
      </c>
      <c r="C563">
        <v>1.9</v>
      </c>
      <c r="D563" t="s">
        <v>20</v>
      </c>
      <c r="E563">
        <v>6.2</v>
      </c>
      <c r="F563">
        <v>0.9</v>
      </c>
      <c r="G563">
        <v>2.4700000000000002</v>
      </c>
      <c r="H563">
        <v>1.4</v>
      </c>
      <c r="I563" t="s">
        <v>15</v>
      </c>
      <c r="J563">
        <v>5</v>
      </c>
      <c r="K563">
        <v>6</v>
      </c>
      <c r="L563">
        <v>7</v>
      </c>
      <c r="M563">
        <v>0</v>
      </c>
    </row>
    <row r="564" spans="1:13" x14ac:dyDescent="0.35">
      <c r="A564">
        <v>19</v>
      </c>
      <c r="B564" t="s">
        <v>16</v>
      </c>
      <c r="C564">
        <v>1.2</v>
      </c>
      <c r="D564" t="s">
        <v>17</v>
      </c>
      <c r="E564">
        <v>4.8</v>
      </c>
      <c r="F564">
        <v>1.7</v>
      </c>
      <c r="G564">
        <v>2.16</v>
      </c>
      <c r="H564">
        <v>0.6</v>
      </c>
      <c r="I564" t="s">
        <v>19</v>
      </c>
      <c r="J564">
        <v>10</v>
      </c>
      <c r="K564">
        <v>10</v>
      </c>
      <c r="L564">
        <v>10</v>
      </c>
      <c r="M564">
        <v>0</v>
      </c>
    </row>
    <row r="565" spans="1:13" x14ac:dyDescent="0.35">
      <c r="A565">
        <v>19</v>
      </c>
      <c r="B565" t="s">
        <v>16</v>
      </c>
      <c r="C565">
        <v>7.3</v>
      </c>
      <c r="D565" t="s">
        <v>20</v>
      </c>
      <c r="E565">
        <v>7.4</v>
      </c>
      <c r="F565">
        <v>1.5</v>
      </c>
      <c r="G565">
        <v>2.84</v>
      </c>
      <c r="H565">
        <v>1</v>
      </c>
      <c r="I565" t="s">
        <v>19</v>
      </c>
      <c r="J565">
        <v>9</v>
      </c>
      <c r="K565">
        <v>8</v>
      </c>
      <c r="L565">
        <v>5</v>
      </c>
      <c r="M565">
        <v>0</v>
      </c>
    </row>
    <row r="566" spans="1:13" x14ac:dyDescent="0.35">
      <c r="A566">
        <v>19</v>
      </c>
      <c r="B566" t="s">
        <v>16</v>
      </c>
      <c r="C566">
        <v>3.9</v>
      </c>
      <c r="D566" t="s">
        <v>20</v>
      </c>
      <c r="E566">
        <v>7.9</v>
      </c>
      <c r="F566">
        <v>2.1</v>
      </c>
      <c r="G566">
        <v>3.52</v>
      </c>
      <c r="H566">
        <v>0.6</v>
      </c>
      <c r="I566" t="s">
        <v>18</v>
      </c>
      <c r="J566">
        <v>3</v>
      </c>
      <c r="K566">
        <v>2</v>
      </c>
      <c r="L566">
        <v>4</v>
      </c>
      <c r="M566">
        <v>0</v>
      </c>
    </row>
    <row r="567" spans="1:13" x14ac:dyDescent="0.35">
      <c r="A567">
        <v>19</v>
      </c>
      <c r="B567" t="s">
        <v>16</v>
      </c>
      <c r="C567">
        <v>4</v>
      </c>
      <c r="D567" t="s">
        <v>14</v>
      </c>
      <c r="E567">
        <v>8.1999999999999993</v>
      </c>
      <c r="F567">
        <v>1.4</v>
      </c>
      <c r="G567">
        <v>3.63</v>
      </c>
      <c r="H567">
        <v>1.3</v>
      </c>
      <c r="I567" t="s">
        <v>15</v>
      </c>
      <c r="J567">
        <v>5</v>
      </c>
      <c r="K567">
        <v>3</v>
      </c>
      <c r="L567">
        <v>10</v>
      </c>
      <c r="M567">
        <v>0</v>
      </c>
    </row>
    <row r="568" spans="1:13" x14ac:dyDescent="0.35">
      <c r="A568">
        <v>19</v>
      </c>
      <c r="B568" t="s">
        <v>16</v>
      </c>
      <c r="C568">
        <v>7.4</v>
      </c>
      <c r="D568" t="s">
        <v>20</v>
      </c>
      <c r="E568">
        <v>8.3000000000000007</v>
      </c>
      <c r="F568">
        <v>1.4</v>
      </c>
      <c r="G568">
        <v>3.64</v>
      </c>
      <c r="H568">
        <v>0.4</v>
      </c>
      <c r="I568" t="s">
        <v>15</v>
      </c>
      <c r="J568">
        <v>6</v>
      </c>
      <c r="K568">
        <v>9</v>
      </c>
      <c r="L568">
        <v>6</v>
      </c>
      <c r="M568">
        <v>0</v>
      </c>
    </row>
    <row r="569" spans="1:13" x14ac:dyDescent="0.35">
      <c r="A569">
        <v>19</v>
      </c>
      <c r="B569" t="s">
        <v>16</v>
      </c>
      <c r="C569">
        <v>7.4</v>
      </c>
      <c r="D569" t="s">
        <v>14</v>
      </c>
      <c r="E569">
        <v>5</v>
      </c>
      <c r="F569">
        <v>2</v>
      </c>
      <c r="G569">
        <v>2.68</v>
      </c>
      <c r="H569">
        <v>1.2</v>
      </c>
      <c r="I569" t="s">
        <v>15</v>
      </c>
      <c r="J569">
        <v>1</v>
      </c>
      <c r="K569">
        <v>6</v>
      </c>
      <c r="L569">
        <v>8</v>
      </c>
      <c r="M569">
        <v>0</v>
      </c>
    </row>
    <row r="570" spans="1:13" x14ac:dyDescent="0.35">
      <c r="A570">
        <v>19</v>
      </c>
      <c r="B570" t="s">
        <v>16</v>
      </c>
      <c r="C570">
        <v>7.5</v>
      </c>
      <c r="D570" t="s">
        <v>17</v>
      </c>
      <c r="E570">
        <v>4.5</v>
      </c>
      <c r="F570">
        <v>2.7</v>
      </c>
      <c r="G570">
        <v>2.41</v>
      </c>
      <c r="H570">
        <v>1</v>
      </c>
      <c r="I570" t="s">
        <v>18</v>
      </c>
      <c r="J570">
        <v>3</v>
      </c>
      <c r="K570">
        <v>2</v>
      </c>
      <c r="L570">
        <v>6</v>
      </c>
      <c r="M570">
        <v>0</v>
      </c>
    </row>
    <row r="571" spans="1:13" x14ac:dyDescent="0.35">
      <c r="A571">
        <v>19</v>
      </c>
      <c r="B571" t="s">
        <v>16</v>
      </c>
      <c r="C571">
        <v>3</v>
      </c>
      <c r="D571" t="s">
        <v>14</v>
      </c>
      <c r="E571">
        <v>5.5</v>
      </c>
      <c r="F571">
        <v>2.1</v>
      </c>
      <c r="G571">
        <v>3.08</v>
      </c>
      <c r="H571">
        <v>0.7</v>
      </c>
      <c r="I571" t="s">
        <v>15</v>
      </c>
      <c r="J571">
        <v>9</v>
      </c>
      <c r="K571">
        <v>3</v>
      </c>
      <c r="L571">
        <v>5</v>
      </c>
      <c r="M571">
        <v>0</v>
      </c>
    </row>
    <row r="572" spans="1:13" x14ac:dyDescent="0.35">
      <c r="A572">
        <v>19</v>
      </c>
      <c r="B572" t="s">
        <v>16</v>
      </c>
      <c r="C572">
        <v>7.5</v>
      </c>
      <c r="D572" t="s">
        <v>17</v>
      </c>
      <c r="E572">
        <v>8.6</v>
      </c>
      <c r="F572">
        <v>0.9</v>
      </c>
      <c r="G572">
        <v>2.25</v>
      </c>
      <c r="H572">
        <v>1.6</v>
      </c>
      <c r="I572" t="s">
        <v>18</v>
      </c>
      <c r="J572">
        <v>9</v>
      </c>
      <c r="K572">
        <v>8</v>
      </c>
      <c r="L572">
        <v>4</v>
      </c>
      <c r="M572">
        <v>0</v>
      </c>
    </row>
    <row r="573" spans="1:13" x14ac:dyDescent="0.35">
      <c r="A573">
        <v>19</v>
      </c>
      <c r="B573" t="s">
        <v>16</v>
      </c>
      <c r="C573">
        <v>4.4000000000000004</v>
      </c>
      <c r="D573" t="s">
        <v>14</v>
      </c>
      <c r="E573">
        <v>7.4</v>
      </c>
      <c r="F573">
        <v>2.8</v>
      </c>
      <c r="G573">
        <v>3.28</v>
      </c>
      <c r="H573">
        <v>1.5</v>
      </c>
      <c r="I573" t="s">
        <v>19</v>
      </c>
      <c r="J573">
        <v>7</v>
      </c>
      <c r="K573">
        <v>5</v>
      </c>
      <c r="L573">
        <v>4</v>
      </c>
      <c r="M573">
        <v>0</v>
      </c>
    </row>
    <row r="574" spans="1:13" x14ac:dyDescent="0.35">
      <c r="A574">
        <v>19</v>
      </c>
      <c r="B574" t="s">
        <v>16</v>
      </c>
      <c r="C574">
        <v>7.2</v>
      </c>
      <c r="D574" t="s">
        <v>14</v>
      </c>
      <c r="E574">
        <v>6.4</v>
      </c>
      <c r="F574">
        <v>2.9</v>
      </c>
      <c r="G574">
        <v>3.82</v>
      </c>
      <c r="H574">
        <v>1</v>
      </c>
      <c r="I574" t="s">
        <v>19</v>
      </c>
      <c r="J574">
        <v>5</v>
      </c>
      <c r="K574">
        <v>4</v>
      </c>
      <c r="L574">
        <v>5</v>
      </c>
      <c r="M574">
        <v>0</v>
      </c>
    </row>
    <row r="575" spans="1:13" x14ac:dyDescent="0.35">
      <c r="A575">
        <v>19</v>
      </c>
      <c r="B575" t="s">
        <v>16</v>
      </c>
      <c r="C575">
        <v>2.1</v>
      </c>
      <c r="D575" t="s">
        <v>20</v>
      </c>
      <c r="E575">
        <v>4.4000000000000004</v>
      </c>
      <c r="F575">
        <v>2.2000000000000002</v>
      </c>
      <c r="G575">
        <v>2.4700000000000002</v>
      </c>
      <c r="H575">
        <v>0.7</v>
      </c>
      <c r="I575" t="s">
        <v>18</v>
      </c>
      <c r="J575">
        <v>9</v>
      </c>
      <c r="K575">
        <v>5</v>
      </c>
      <c r="L575">
        <v>6</v>
      </c>
      <c r="M575">
        <v>0</v>
      </c>
    </row>
    <row r="576" spans="1:13" x14ac:dyDescent="0.35">
      <c r="A576">
        <v>16</v>
      </c>
      <c r="B576" t="s">
        <v>16</v>
      </c>
      <c r="C576">
        <v>5.3</v>
      </c>
      <c r="D576" t="s">
        <v>20</v>
      </c>
      <c r="E576">
        <v>5.6</v>
      </c>
      <c r="F576">
        <v>2.5</v>
      </c>
      <c r="G576">
        <v>2.73</v>
      </c>
      <c r="H576">
        <v>1.3</v>
      </c>
      <c r="I576" t="s">
        <v>19</v>
      </c>
      <c r="J576">
        <v>7</v>
      </c>
      <c r="K576">
        <v>10</v>
      </c>
      <c r="L576">
        <v>4</v>
      </c>
      <c r="M576">
        <v>1</v>
      </c>
    </row>
    <row r="577" spans="1:13" x14ac:dyDescent="0.35">
      <c r="A577">
        <v>19</v>
      </c>
      <c r="B577" t="s">
        <v>16</v>
      </c>
      <c r="C577">
        <v>2.4</v>
      </c>
      <c r="D577" t="s">
        <v>14</v>
      </c>
      <c r="E577">
        <v>4.2</v>
      </c>
      <c r="F577">
        <v>1.2</v>
      </c>
      <c r="G577">
        <v>3.87</v>
      </c>
      <c r="H577">
        <v>1.3</v>
      </c>
      <c r="I577" t="s">
        <v>15</v>
      </c>
      <c r="J577">
        <v>1</v>
      </c>
      <c r="K577">
        <v>9</v>
      </c>
      <c r="L577">
        <v>5</v>
      </c>
      <c r="M577">
        <v>0</v>
      </c>
    </row>
    <row r="578" spans="1:13" x14ac:dyDescent="0.35">
      <c r="A578">
        <v>19</v>
      </c>
      <c r="B578" t="s">
        <v>16</v>
      </c>
      <c r="C578">
        <v>4.0999999999999996</v>
      </c>
      <c r="D578" t="s">
        <v>20</v>
      </c>
      <c r="E578">
        <v>6.4</v>
      </c>
      <c r="F578">
        <v>1.4</v>
      </c>
      <c r="G578">
        <v>2.2599999999999998</v>
      </c>
      <c r="H578">
        <v>1.6</v>
      </c>
      <c r="I578" t="s">
        <v>18</v>
      </c>
      <c r="J578">
        <v>2</v>
      </c>
      <c r="K578">
        <v>3</v>
      </c>
      <c r="L578">
        <v>6</v>
      </c>
      <c r="M578">
        <v>0</v>
      </c>
    </row>
    <row r="579" spans="1:13" x14ac:dyDescent="0.35">
      <c r="A579">
        <v>19</v>
      </c>
      <c r="B579" t="s">
        <v>16</v>
      </c>
      <c r="C579">
        <v>7.6</v>
      </c>
      <c r="D579" t="s">
        <v>20</v>
      </c>
      <c r="E579">
        <v>5.4</v>
      </c>
      <c r="F579">
        <v>1.9</v>
      </c>
      <c r="G579">
        <v>2.56</v>
      </c>
      <c r="H579">
        <v>1.4</v>
      </c>
      <c r="I579" t="s">
        <v>15</v>
      </c>
      <c r="J579">
        <v>2</v>
      </c>
      <c r="K579">
        <v>7</v>
      </c>
      <c r="L579">
        <v>9</v>
      </c>
      <c r="M579">
        <v>0</v>
      </c>
    </row>
    <row r="580" spans="1:13" x14ac:dyDescent="0.35">
      <c r="A580">
        <v>19</v>
      </c>
      <c r="B580" t="s">
        <v>16</v>
      </c>
      <c r="C580">
        <v>5.5</v>
      </c>
      <c r="D580" t="s">
        <v>17</v>
      </c>
      <c r="E580">
        <v>7.4</v>
      </c>
      <c r="F580">
        <v>2</v>
      </c>
      <c r="G580">
        <v>2.8</v>
      </c>
      <c r="H580">
        <v>1.8</v>
      </c>
      <c r="I580" t="s">
        <v>18</v>
      </c>
      <c r="J580">
        <v>9</v>
      </c>
      <c r="K580">
        <v>8</v>
      </c>
      <c r="L580">
        <v>10</v>
      </c>
      <c r="M580">
        <v>0</v>
      </c>
    </row>
    <row r="581" spans="1:13" x14ac:dyDescent="0.35">
      <c r="A581">
        <v>19</v>
      </c>
      <c r="B581" t="s">
        <v>16</v>
      </c>
      <c r="C581">
        <v>1.7</v>
      </c>
      <c r="D581" t="s">
        <v>20</v>
      </c>
      <c r="E581">
        <v>7</v>
      </c>
      <c r="F581">
        <v>2.7</v>
      </c>
      <c r="G581">
        <v>2.0699999999999998</v>
      </c>
      <c r="H581">
        <v>0.5</v>
      </c>
      <c r="I581" t="s">
        <v>18</v>
      </c>
      <c r="J581">
        <v>6</v>
      </c>
      <c r="K581">
        <v>4</v>
      </c>
      <c r="L581">
        <v>10</v>
      </c>
      <c r="M581">
        <v>0</v>
      </c>
    </row>
    <row r="582" spans="1:13" x14ac:dyDescent="0.35">
      <c r="A582">
        <v>19</v>
      </c>
      <c r="B582" t="s">
        <v>16</v>
      </c>
      <c r="C582">
        <v>7.9</v>
      </c>
      <c r="D582" t="s">
        <v>17</v>
      </c>
      <c r="E582">
        <v>5.8</v>
      </c>
      <c r="F582">
        <v>2.1</v>
      </c>
      <c r="G582">
        <v>3.91</v>
      </c>
      <c r="H582">
        <v>1.4</v>
      </c>
      <c r="I582" t="s">
        <v>18</v>
      </c>
      <c r="J582">
        <v>7</v>
      </c>
      <c r="K582">
        <v>1</v>
      </c>
      <c r="L582">
        <v>10</v>
      </c>
      <c r="M582">
        <v>0</v>
      </c>
    </row>
    <row r="583" spans="1:13" x14ac:dyDescent="0.35">
      <c r="A583">
        <v>19</v>
      </c>
      <c r="B583" t="s">
        <v>16</v>
      </c>
      <c r="C583">
        <v>4.5</v>
      </c>
      <c r="D583" t="s">
        <v>17</v>
      </c>
      <c r="E583">
        <v>8.4</v>
      </c>
      <c r="F583">
        <v>2.1</v>
      </c>
      <c r="G583">
        <v>2.62</v>
      </c>
      <c r="H583">
        <v>2</v>
      </c>
      <c r="I583" t="s">
        <v>15</v>
      </c>
      <c r="J583">
        <v>5</v>
      </c>
      <c r="K583">
        <v>10</v>
      </c>
      <c r="L583">
        <v>5</v>
      </c>
      <c r="M583">
        <v>0</v>
      </c>
    </row>
    <row r="584" spans="1:13" x14ac:dyDescent="0.35">
      <c r="A584">
        <v>19</v>
      </c>
      <c r="B584" t="s">
        <v>16</v>
      </c>
      <c r="C584">
        <v>7.3</v>
      </c>
      <c r="D584" t="s">
        <v>14</v>
      </c>
      <c r="E584">
        <v>7.8</v>
      </c>
      <c r="F584">
        <v>1</v>
      </c>
      <c r="G584">
        <v>2.91</v>
      </c>
      <c r="H584">
        <v>0.8</v>
      </c>
      <c r="I584" t="s">
        <v>19</v>
      </c>
      <c r="J584">
        <v>9</v>
      </c>
      <c r="K584">
        <v>7</v>
      </c>
      <c r="L584">
        <v>5</v>
      </c>
      <c r="M584">
        <v>0</v>
      </c>
    </row>
    <row r="585" spans="1:13" x14ac:dyDescent="0.35">
      <c r="A585">
        <v>19</v>
      </c>
      <c r="B585" t="s">
        <v>16</v>
      </c>
      <c r="C585">
        <v>3.5</v>
      </c>
      <c r="D585" t="s">
        <v>14</v>
      </c>
      <c r="E585">
        <v>4.9000000000000004</v>
      </c>
      <c r="F585">
        <v>0.5</v>
      </c>
      <c r="G585">
        <v>3.68</v>
      </c>
      <c r="H585">
        <v>1.7</v>
      </c>
      <c r="I585" t="s">
        <v>18</v>
      </c>
      <c r="J585">
        <v>8</v>
      </c>
      <c r="K585">
        <v>4</v>
      </c>
      <c r="L585">
        <v>3</v>
      </c>
      <c r="M585">
        <v>0</v>
      </c>
    </row>
    <row r="586" spans="1:13" x14ac:dyDescent="0.35">
      <c r="A586">
        <v>19</v>
      </c>
      <c r="B586" t="s">
        <v>16</v>
      </c>
      <c r="C586">
        <v>6.6</v>
      </c>
      <c r="D586" t="s">
        <v>20</v>
      </c>
      <c r="E586">
        <v>9</v>
      </c>
      <c r="F586">
        <v>2.9</v>
      </c>
      <c r="G586">
        <v>2.4700000000000002</v>
      </c>
      <c r="H586">
        <v>1.7</v>
      </c>
      <c r="I586" t="s">
        <v>19</v>
      </c>
      <c r="J586">
        <v>3</v>
      </c>
      <c r="K586">
        <v>7</v>
      </c>
      <c r="L586">
        <v>9</v>
      </c>
      <c r="M586">
        <v>0</v>
      </c>
    </row>
    <row r="587" spans="1:13" x14ac:dyDescent="0.35">
      <c r="A587">
        <v>13</v>
      </c>
      <c r="B587" t="s">
        <v>13</v>
      </c>
      <c r="C587">
        <v>4.9000000000000004</v>
      </c>
      <c r="D587" t="s">
        <v>14</v>
      </c>
      <c r="E587">
        <v>4.7</v>
      </c>
      <c r="F587">
        <v>2.5</v>
      </c>
      <c r="G587">
        <v>3.92</v>
      </c>
      <c r="H587">
        <v>1.2</v>
      </c>
      <c r="I587" t="s">
        <v>15</v>
      </c>
      <c r="J587">
        <v>1</v>
      </c>
      <c r="K587">
        <v>10</v>
      </c>
      <c r="L587">
        <v>8</v>
      </c>
      <c r="M587">
        <v>0</v>
      </c>
    </row>
    <row r="588" spans="1:13" x14ac:dyDescent="0.35">
      <c r="A588">
        <v>13</v>
      </c>
      <c r="B588" t="s">
        <v>13</v>
      </c>
      <c r="C588">
        <v>1.5</v>
      </c>
      <c r="D588" t="s">
        <v>20</v>
      </c>
      <c r="E588">
        <v>4.2</v>
      </c>
      <c r="F588">
        <v>1.4</v>
      </c>
      <c r="G588">
        <v>2.59</v>
      </c>
      <c r="H588">
        <v>0.5</v>
      </c>
      <c r="I588" t="s">
        <v>18</v>
      </c>
      <c r="J588">
        <v>4</v>
      </c>
      <c r="K588">
        <v>5</v>
      </c>
      <c r="L588">
        <v>8</v>
      </c>
      <c r="M588">
        <v>0</v>
      </c>
    </row>
    <row r="589" spans="1:13" x14ac:dyDescent="0.35">
      <c r="A589">
        <v>13</v>
      </c>
      <c r="B589" t="s">
        <v>13</v>
      </c>
      <c r="C589">
        <v>6.6</v>
      </c>
      <c r="D589" t="s">
        <v>17</v>
      </c>
      <c r="E589">
        <v>5.7</v>
      </c>
      <c r="F589">
        <v>2.5</v>
      </c>
      <c r="G589">
        <v>2.67</v>
      </c>
      <c r="H589">
        <v>1.1000000000000001</v>
      </c>
      <c r="I589" t="s">
        <v>15</v>
      </c>
      <c r="J589">
        <v>2</v>
      </c>
      <c r="K589">
        <v>1</v>
      </c>
      <c r="L589">
        <v>10</v>
      </c>
      <c r="M589">
        <v>0</v>
      </c>
    </row>
    <row r="590" spans="1:13" x14ac:dyDescent="0.35">
      <c r="A590">
        <v>13</v>
      </c>
      <c r="B590" t="s">
        <v>13</v>
      </c>
      <c r="C590">
        <v>6.2</v>
      </c>
      <c r="D590" t="s">
        <v>20</v>
      </c>
      <c r="E590">
        <v>7.1</v>
      </c>
      <c r="F590">
        <v>2.2000000000000002</v>
      </c>
      <c r="G590">
        <v>3.43</v>
      </c>
      <c r="H590">
        <v>0.2</v>
      </c>
      <c r="I590" t="s">
        <v>19</v>
      </c>
      <c r="J590">
        <v>5</v>
      </c>
      <c r="K590">
        <v>2</v>
      </c>
      <c r="L590">
        <v>2</v>
      </c>
      <c r="M590">
        <v>0</v>
      </c>
    </row>
    <row r="591" spans="1:13" x14ac:dyDescent="0.35">
      <c r="A591">
        <v>13</v>
      </c>
      <c r="B591" t="s">
        <v>13</v>
      </c>
      <c r="C591">
        <v>7.3</v>
      </c>
      <c r="D591" t="s">
        <v>20</v>
      </c>
      <c r="E591">
        <v>4.2</v>
      </c>
      <c r="F591">
        <v>1.3</v>
      </c>
      <c r="G591">
        <v>2.16</v>
      </c>
      <c r="H591">
        <v>1</v>
      </c>
      <c r="I591" t="s">
        <v>18</v>
      </c>
      <c r="J591">
        <v>4</v>
      </c>
      <c r="K591">
        <v>5</v>
      </c>
      <c r="L591">
        <v>2</v>
      </c>
      <c r="M591">
        <v>0</v>
      </c>
    </row>
    <row r="592" spans="1:13" x14ac:dyDescent="0.35">
      <c r="A592">
        <v>13</v>
      </c>
      <c r="B592" t="s">
        <v>13</v>
      </c>
      <c r="C592">
        <v>4.3</v>
      </c>
      <c r="D592" t="s">
        <v>20</v>
      </c>
      <c r="E592">
        <v>5.8</v>
      </c>
      <c r="F592">
        <v>0.7</v>
      </c>
      <c r="G592">
        <v>3.15</v>
      </c>
      <c r="H592">
        <v>0.1</v>
      </c>
      <c r="I592" t="s">
        <v>19</v>
      </c>
      <c r="J592">
        <v>7</v>
      </c>
      <c r="K592">
        <v>2</v>
      </c>
      <c r="L592">
        <v>1</v>
      </c>
      <c r="M592">
        <v>0</v>
      </c>
    </row>
    <row r="593" spans="1:13" x14ac:dyDescent="0.35">
      <c r="A593">
        <v>13</v>
      </c>
      <c r="B593" t="s">
        <v>13</v>
      </c>
      <c r="C593">
        <v>3.1</v>
      </c>
      <c r="D593" t="s">
        <v>17</v>
      </c>
      <c r="E593">
        <v>8.1999999999999993</v>
      </c>
      <c r="F593">
        <v>1.5</v>
      </c>
      <c r="G593">
        <v>2.4500000000000002</v>
      </c>
      <c r="H593">
        <v>0.3</v>
      </c>
      <c r="I593" t="s">
        <v>15</v>
      </c>
      <c r="J593">
        <v>5</v>
      </c>
      <c r="K593">
        <v>8</v>
      </c>
      <c r="L593">
        <v>6</v>
      </c>
      <c r="M593">
        <v>0</v>
      </c>
    </row>
    <row r="594" spans="1:13" x14ac:dyDescent="0.35">
      <c r="A594">
        <v>13</v>
      </c>
      <c r="B594" t="s">
        <v>13</v>
      </c>
      <c r="C594">
        <v>1.1000000000000001</v>
      </c>
      <c r="D594" t="s">
        <v>17</v>
      </c>
      <c r="E594">
        <v>7.1</v>
      </c>
      <c r="F594">
        <v>1.8</v>
      </c>
      <c r="G594">
        <v>2.5499999999999998</v>
      </c>
      <c r="H594">
        <v>0.8</v>
      </c>
      <c r="I594" t="s">
        <v>18</v>
      </c>
      <c r="J594">
        <v>5</v>
      </c>
      <c r="K594">
        <v>5</v>
      </c>
      <c r="L594">
        <v>10</v>
      </c>
      <c r="M594">
        <v>0</v>
      </c>
    </row>
    <row r="595" spans="1:13" x14ac:dyDescent="0.35">
      <c r="A595">
        <v>13</v>
      </c>
      <c r="B595" t="s">
        <v>13</v>
      </c>
      <c r="C595">
        <v>3.4</v>
      </c>
      <c r="D595" t="s">
        <v>17</v>
      </c>
      <c r="E595">
        <v>4.4000000000000004</v>
      </c>
      <c r="F595">
        <v>0.6</v>
      </c>
      <c r="G595">
        <v>3.41</v>
      </c>
      <c r="H595">
        <v>0.2</v>
      </c>
      <c r="I595" t="s">
        <v>15</v>
      </c>
      <c r="J595">
        <v>8</v>
      </c>
      <c r="K595">
        <v>6</v>
      </c>
      <c r="L595">
        <v>3</v>
      </c>
      <c r="M595">
        <v>0</v>
      </c>
    </row>
    <row r="596" spans="1:13" x14ac:dyDescent="0.35">
      <c r="A596">
        <v>13</v>
      </c>
      <c r="B596" t="s">
        <v>13</v>
      </c>
      <c r="C596">
        <v>7.4</v>
      </c>
      <c r="D596" t="s">
        <v>14</v>
      </c>
      <c r="E596">
        <v>5.6</v>
      </c>
      <c r="F596">
        <v>1.4</v>
      </c>
      <c r="G596">
        <v>2.95</v>
      </c>
      <c r="H596">
        <v>1.7</v>
      </c>
      <c r="I596" t="s">
        <v>18</v>
      </c>
      <c r="J596">
        <v>8</v>
      </c>
      <c r="K596">
        <v>5</v>
      </c>
      <c r="L596">
        <v>5</v>
      </c>
      <c r="M596">
        <v>0</v>
      </c>
    </row>
    <row r="597" spans="1:13" x14ac:dyDescent="0.35">
      <c r="A597">
        <v>13</v>
      </c>
      <c r="B597" t="s">
        <v>13</v>
      </c>
      <c r="C597">
        <v>3.1</v>
      </c>
      <c r="D597" t="s">
        <v>17</v>
      </c>
      <c r="E597">
        <v>5.4</v>
      </c>
      <c r="F597">
        <v>1.9</v>
      </c>
      <c r="G597">
        <v>3.66</v>
      </c>
      <c r="H597">
        <v>0.4</v>
      </c>
      <c r="I597" t="s">
        <v>15</v>
      </c>
      <c r="J597">
        <v>7</v>
      </c>
      <c r="K597">
        <v>4</v>
      </c>
      <c r="L597">
        <v>2</v>
      </c>
      <c r="M597">
        <v>0</v>
      </c>
    </row>
    <row r="598" spans="1:13" x14ac:dyDescent="0.35">
      <c r="A598">
        <v>13</v>
      </c>
      <c r="B598" t="s">
        <v>13</v>
      </c>
      <c r="C598">
        <v>5.0999999999999996</v>
      </c>
      <c r="D598" t="s">
        <v>20</v>
      </c>
      <c r="E598">
        <v>4.0999999999999996</v>
      </c>
      <c r="F598">
        <v>1.6</v>
      </c>
      <c r="G598">
        <v>3.32</v>
      </c>
      <c r="H598">
        <v>0.8</v>
      </c>
      <c r="I598" t="s">
        <v>19</v>
      </c>
      <c r="J598">
        <v>1</v>
      </c>
      <c r="K598">
        <v>3</v>
      </c>
      <c r="L598">
        <v>8</v>
      </c>
      <c r="M598">
        <v>0</v>
      </c>
    </row>
    <row r="599" spans="1:13" x14ac:dyDescent="0.35">
      <c r="A599">
        <v>13</v>
      </c>
      <c r="B599" t="s">
        <v>13</v>
      </c>
      <c r="C599">
        <v>1.6</v>
      </c>
      <c r="D599" t="s">
        <v>14</v>
      </c>
      <c r="E599">
        <v>4.2</v>
      </c>
      <c r="F599">
        <v>1.5</v>
      </c>
      <c r="G599">
        <v>3.72</v>
      </c>
      <c r="H599">
        <v>1.7</v>
      </c>
      <c r="I599" t="s">
        <v>19</v>
      </c>
      <c r="J599">
        <v>10</v>
      </c>
      <c r="K599">
        <v>1</v>
      </c>
      <c r="L599">
        <v>10</v>
      </c>
      <c r="M599">
        <v>0</v>
      </c>
    </row>
    <row r="600" spans="1:13" x14ac:dyDescent="0.35">
      <c r="A600">
        <v>13</v>
      </c>
      <c r="B600" t="s">
        <v>13</v>
      </c>
      <c r="C600">
        <v>1.6</v>
      </c>
      <c r="D600" t="s">
        <v>17</v>
      </c>
      <c r="E600">
        <v>4.3</v>
      </c>
      <c r="F600">
        <v>0.6</v>
      </c>
      <c r="G600">
        <v>3.91</v>
      </c>
      <c r="H600">
        <v>2</v>
      </c>
      <c r="I600" t="s">
        <v>19</v>
      </c>
      <c r="J600">
        <v>5</v>
      </c>
      <c r="K600">
        <v>10</v>
      </c>
      <c r="L600">
        <v>7</v>
      </c>
      <c r="M600">
        <v>0</v>
      </c>
    </row>
    <row r="601" spans="1:13" x14ac:dyDescent="0.35">
      <c r="A601">
        <v>13</v>
      </c>
      <c r="B601" t="s">
        <v>13</v>
      </c>
      <c r="C601">
        <v>5.7</v>
      </c>
      <c r="D601" t="s">
        <v>20</v>
      </c>
      <c r="E601">
        <v>6.6</v>
      </c>
      <c r="F601">
        <v>2.4</v>
      </c>
      <c r="G601">
        <v>3.99</v>
      </c>
      <c r="H601">
        <v>1.7</v>
      </c>
      <c r="I601" t="s">
        <v>18</v>
      </c>
      <c r="J601">
        <v>1</v>
      </c>
      <c r="K601">
        <v>3</v>
      </c>
      <c r="L601">
        <v>1</v>
      </c>
      <c r="M601">
        <v>0</v>
      </c>
    </row>
    <row r="602" spans="1:13" x14ac:dyDescent="0.35">
      <c r="A602">
        <v>13</v>
      </c>
      <c r="B602" t="s">
        <v>13</v>
      </c>
      <c r="C602">
        <v>4.3</v>
      </c>
      <c r="D602" t="s">
        <v>17</v>
      </c>
      <c r="E602">
        <v>7.5</v>
      </c>
      <c r="F602">
        <v>2.7</v>
      </c>
      <c r="G602">
        <v>2.29</v>
      </c>
      <c r="H602">
        <v>0.8</v>
      </c>
      <c r="I602" t="s">
        <v>18</v>
      </c>
      <c r="J602">
        <v>1</v>
      </c>
      <c r="K602">
        <v>10</v>
      </c>
      <c r="L602">
        <v>1</v>
      </c>
      <c r="M602">
        <v>0</v>
      </c>
    </row>
    <row r="603" spans="1:13" x14ac:dyDescent="0.35">
      <c r="A603">
        <v>13</v>
      </c>
      <c r="B603" t="s">
        <v>13</v>
      </c>
      <c r="C603">
        <v>2.4</v>
      </c>
      <c r="D603" t="s">
        <v>17</v>
      </c>
      <c r="E603">
        <v>4.0999999999999996</v>
      </c>
      <c r="F603">
        <v>0.8</v>
      </c>
      <c r="G603">
        <v>2.79</v>
      </c>
      <c r="H603">
        <v>1.1000000000000001</v>
      </c>
      <c r="I603" t="s">
        <v>19</v>
      </c>
      <c r="J603">
        <v>8</v>
      </c>
      <c r="K603">
        <v>6</v>
      </c>
      <c r="L603">
        <v>3</v>
      </c>
      <c r="M603">
        <v>0</v>
      </c>
    </row>
    <row r="604" spans="1:13" x14ac:dyDescent="0.35">
      <c r="A604">
        <v>13</v>
      </c>
      <c r="B604" t="s">
        <v>13</v>
      </c>
      <c r="C604">
        <v>6</v>
      </c>
      <c r="D604" t="s">
        <v>17</v>
      </c>
      <c r="E604">
        <v>7.2</v>
      </c>
      <c r="F604">
        <v>1.5</v>
      </c>
      <c r="G604">
        <v>2.36</v>
      </c>
      <c r="H604">
        <v>0.2</v>
      </c>
      <c r="I604" t="s">
        <v>15</v>
      </c>
      <c r="J604">
        <v>1</v>
      </c>
      <c r="K604">
        <v>3</v>
      </c>
      <c r="L604">
        <v>4</v>
      </c>
      <c r="M604">
        <v>0</v>
      </c>
    </row>
    <row r="605" spans="1:13" x14ac:dyDescent="0.35">
      <c r="A605">
        <v>13</v>
      </c>
      <c r="B605" t="s">
        <v>13</v>
      </c>
      <c r="C605">
        <v>5</v>
      </c>
      <c r="D605" t="s">
        <v>17</v>
      </c>
      <c r="E605">
        <v>6.9</v>
      </c>
      <c r="F605">
        <v>0.6</v>
      </c>
      <c r="G605">
        <v>3.03</v>
      </c>
      <c r="H605">
        <v>0.8</v>
      </c>
      <c r="I605" t="s">
        <v>15</v>
      </c>
      <c r="J605">
        <v>9</v>
      </c>
      <c r="K605">
        <v>3</v>
      </c>
      <c r="L605">
        <v>8</v>
      </c>
      <c r="M605">
        <v>0</v>
      </c>
    </row>
    <row r="606" spans="1:13" x14ac:dyDescent="0.35">
      <c r="A606">
        <v>13</v>
      </c>
      <c r="B606" t="s">
        <v>13</v>
      </c>
      <c r="C606">
        <v>4.3</v>
      </c>
      <c r="D606" t="s">
        <v>14</v>
      </c>
      <c r="E606">
        <v>4.4000000000000004</v>
      </c>
      <c r="F606">
        <v>0.7</v>
      </c>
      <c r="G606">
        <v>3.19</v>
      </c>
      <c r="H606">
        <v>0.3</v>
      </c>
      <c r="I606" t="s">
        <v>15</v>
      </c>
      <c r="J606">
        <v>6</v>
      </c>
      <c r="K606">
        <v>2</v>
      </c>
      <c r="L606">
        <v>6</v>
      </c>
      <c r="M606">
        <v>0</v>
      </c>
    </row>
    <row r="607" spans="1:13" x14ac:dyDescent="0.35">
      <c r="A607">
        <v>13</v>
      </c>
      <c r="B607" t="s">
        <v>13</v>
      </c>
      <c r="C607">
        <v>7</v>
      </c>
      <c r="D607" t="s">
        <v>17</v>
      </c>
      <c r="E607">
        <v>8.9</v>
      </c>
      <c r="F607">
        <v>0.6</v>
      </c>
      <c r="G607">
        <v>2.7</v>
      </c>
      <c r="H607">
        <v>1.8</v>
      </c>
      <c r="I607" t="s">
        <v>19</v>
      </c>
      <c r="J607">
        <v>5</v>
      </c>
      <c r="K607">
        <v>4</v>
      </c>
      <c r="L607">
        <v>1</v>
      </c>
      <c r="M607">
        <v>0</v>
      </c>
    </row>
    <row r="608" spans="1:13" x14ac:dyDescent="0.35">
      <c r="A608">
        <v>13</v>
      </c>
      <c r="B608" t="s">
        <v>13</v>
      </c>
      <c r="C608">
        <v>7.5</v>
      </c>
      <c r="D608" t="s">
        <v>20</v>
      </c>
      <c r="E608">
        <v>8</v>
      </c>
      <c r="F608">
        <v>2</v>
      </c>
      <c r="G608">
        <v>3.25</v>
      </c>
      <c r="H608">
        <v>0.7</v>
      </c>
      <c r="I608" t="s">
        <v>19</v>
      </c>
      <c r="J608">
        <v>9</v>
      </c>
      <c r="K608">
        <v>10</v>
      </c>
      <c r="L608">
        <v>2</v>
      </c>
      <c r="M608">
        <v>0</v>
      </c>
    </row>
    <row r="609" spans="1:13" x14ac:dyDescent="0.35">
      <c r="A609">
        <v>13</v>
      </c>
      <c r="B609" t="s">
        <v>13</v>
      </c>
      <c r="C609">
        <v>5.9</v>
      </c>
      <c r="D609" t="s">
        <v>14</v>
      </c>
      <c r="E609">
        <v>8</v>
      </c>
      <c r="F609">
        <v>2.8</v>
      </c>
      <c r="G609">
        <v>3.21</v>
      </c>
      <c r="H609">
        <v>1.6</v>
      </c>
      <c r="I609" t="s">
        <v>19</v>
      </c>
      <c r="J609">
        <v>2</v>
      </c>
      <c r="K609">
        <v>8</v>
      </c>
      <c r="L609">
        <v>8</v>
      </c>
      <c r="M609">
        <v>0</v>
      </c>
    </row>
    <row r="610" spans="1:13" x14ac:dyDescent="0.35">
      <c r="A610">
        <v>13</v>
      </c>
      <c r="B610" t="s">
        <v>13</v>
      </c>
      <c r="C610">
        <v>2.5</v>
      </c>
      <c r="D610" t="s">
        <v>14</v>
      </c>
      <c r="E610">
        <v>8.3000000000000007</v>
      </c>
      <c r="F610">
        <v>1.6</v>
      </c>
      <c r="G610">
        <v>2.91</v>
      </c>
      <c r="H610">
        <v>0.6</v>
      </c>
      <c r="I610" t="s">
        <v>18</v>
      </c>
      <c r="J610">
        <v>10</v>
      </c>
      <c r="K610">
        <v>2</v>
      </c>
      <c r="L610">
        <v>6</v>
      </c>
      <c r="M610">
        <v>0</v>
      </c>
    </row>
    <row r="611" spans="1:13" x14ac:dyDescent="0.35">
      <c r="A611">
        <v>13</v>
      </c>
      <c r="B611" t="s">
        <v>13</v>
      </c>
      <c r="C611">
        <v>1.8</v>
      </c>
      <c r="D611" t="s">
        <v>14</v>
      </c>
      <c r="E611">
        <v>8.9</v>
      </c>
      <c r="F611">
        <v>1.2</v>
      </c>
      <c r="G611">
        <v>3.67</v>
      </c>
      <c r="H611">
        <v>0.1</v>
      </c>
      <c r="I611" t="s">
        <v>19</v>
      </c>
      <c r="J611">
        <v>2</v>
      </c>
      <c r="K611">
        <v>8</v>
      </c>
      <c r="L611">
        <v>9</v>
      </c>
      <c r="M611">
        <v>0</v>
      </c>
    </row>
    <row r="612" spans="1:13" x14ac:dyDescent="0.35">
      <c r="A612">
        <v>13</v>
      </c>
      <c r="B612" t="s">
        <v>13</v>
      </c>
      <c r="C612">
        <v>7.9</v>
      </c>
      <c r="D612" t="s">
        <v>14</v>
      </c>
      <c r="E612">
        <v>5.8</v>
      </c>
      <c r="F612">
        <v>0.8</v>
      </c>
      <c r="G612">
        <v>3.31</v>
      </c>
      <c r="H612">
        <v>1.6</v>
      </c>
      <c r="I612" t="s">
        <v>19</v>
      </c>
      <c r="J612">
        <v>3</v>
      </c>
      <c r="K612">
        <v>7</v>
      </c>
      <c r="L612">
        <v>2</v>
      </c>
      <c r="M612">
        <v>0</v>
      </c>
    </row>
    <row r="613" spans="1:13" x14ac:dyDescent="0.35">
      <c r="A613">
        <v>13</v>
      </c>
      <c r="B613" t="s">
        <v>13</v>
      </c>
      <c r="C613">
        <v>5.9</v>
      </c>
      <c r="D613" t="s">
        <v>14</v>
      </c>
      <c r="E613">
        <v>7.5</v>
      </c>
      <c r="F613">
        <v>1.4</v>
      </c>
      <c r="G613">
        <v>2.58</v>
      </c>
      <c r="H613">
        <v>1.2</v>
      </c>
      <c r="I613" t="s">
        <v>15</v>
      </c>
      <c r="J613">
        <v>6</v>
      </c>
      <c r="K613">
        <v>2</v>
      </c>
      <c r="L613">
        <v>8</v>
      </c>
      <c r="M613">
        <v>0</v>
      </c>
    </row>
    <row r="614" spans="1:13" x14ac:dyDescent="0.35">
      <c r="A614">
        <v>13</v>
      </c>
      <c r="B614" t="s">
        <v>13</v>
      </c>
      <c r="C614">
        <v>2.2000000000000002</v>
      </c>
      <c r="D614" t="s">
        <v>17</v>
      </c>
      <c r="E614">
        <v>5.3</v>
      </c>
      <c r="F614">
        <v>1.4</v>
      </c>
      <c r="G614">
        <v>3.97</v>
      </c>
      <c r="H614">
        <v>0</v>
      </c>
      <c r="I614" t="s">
        <v>15</v>
      </c>
      <c r="J614">
        <v>1</v>
      </c>
      <c r="K614">
        <v>10</v>
      </c>
      <c r="L614">
        <v>7</v>
      </c>
      <c r="M614">
        <v>0</v>
      </c>
    </row>
    <row r="615" spans="1:13" x14ac:dyDescent="0.35">
      <c r="A615">
        <v>13</v>
      </c>
      <c r="B615" t="s">
        <v>13</v>
      </c>
      <c r="C615">
        <v>6.4</v>
      </c>
      <c r="D615" t="s">
        <v>17</v>
      </c>
      <c r="E615">
        <v>5.0999999999999996</v>
      </c>
      <c r="F615">
        <v>2.5</v>
      </c>
      <c r="G615">
        <v>2.62</v>
      </c>
      <c r="H615">
        <v>1.3</v>
      </c>
      <c r="I615" t="s">
        <v>15</v>
      </c>
      <c r="J615">
        <v>5</v>
      </c>
      <c r="K615">
        <v>4</v>
      </c>
      <c r="L615">
        <v>7</v>
      </c>
      <c r="M615">
        <v>0</v>
      </c>
    </row>
    <row r="616" spans="1:13" x14ac:dyDescent="0.35">
      <c r="A616">
        <v>13</v>
      </c>
      <c r="B616" t="s">
        <v>13</v>
      </c>
      <c r="C616">
        <v>2.9</v>
      </c>
      <c r="D616" t="s">
        <v>17</v>
      </c>
      <c r="E616">
        <v>5.0999999999999996</v>
      </c>
      <c r="F616">
        <v>2.2000000000000002</v>
      </c>
      <c r="G616">
        <v>3.81</v>
      </c>
      <c r="H616">
        <v>0.7</v>
      </c>
      <c r="I616" t="s">
        <v>15</v>
      </c>
      <c r="J616">
        <v>6</v>
      </c>
      <c r="K616">
        <v>6</v>
      </c>
      <c r="L616">
        <v>10</v>
      </c>
      <c r="M616">
        <v>0</v>
      </c>
    </row>
    <row r="617" spans="1:13" x14ac:dyDescent="0.35">
      <c r="A617">
        <v>13</v>
      </c>
      <c r="B617" t="s">
        <v>13</v>
      </c>
      <c r="C617">
        <v>4.5999999999999996</v>
      </c>
      <c r="D617" t="s">
        <v>17</v>
      </c>
      <c r="E617">
        <v>7.3</v>
      </c>
      <c r="F617">
        <v>1.6</v>
      </c>
      <c r="G617">
        <v>2.91</v>
      </c>
      <c r="H617">
        <v>0.4</v>
      </c>
      <c r="I617" t="s">
        <v>15</v>
      </c>
      <c r="J617">
        <v>10</v>
      </c>
      <c r="K617">
        <v>5</v>
      </c>
      <c r="L617">
        <v>7</v>
      </c>
      <c r="M617">
        <v>0</v>
      </c>
    </row>
    <row r="618" spans="1:13" x14ac:dyDescent="0.35">
      <c r="A618">
        <v>13</v>
      </c>
      <c r="B618" t="s">
        <v>13</v>
      </c>
      <c r="C618">
        <v>5.6</v>
      </c>
      <c r="D618" t="s">
        <v>14</v>
      </c>
      <c r="E618">
        <v>4.5999999999999996</v>
      </c>
      <c r="F618">
        <v>1.9</v>
      </c>
      <c r="G618">
        <v>2.54</v>
      </c>
      <c r="H618">
        <v>0.1</v>
      </c>
      <c r="I618" t="s">
        <v>15</v>
      </c>
      <c r="J618">
        <v>5</v>
      </c>
      <c r="K618">
        <v>5</v>
      </c>
      <c r="L618">
        <v>6</v>
      </c>
      <c r="M618">
        <v>0</v>
      </c>
    </row>
    <row r="619" spans="1:13" x14ac:dyDescent="0.35">
      <c r="A619">
        <v>13</v>
      </c>
      <c r="B619" t="s">
        <v>13</v>
      </c>
      <c r="C619">
        <v>7</v>
      </c>
      <c r="D619" t="s">
        <v>20</v>
      </c>
      <c r="E619">
        <v>4.0999999999999996</v>
      </c>
      <c r="F619">
        <v>1.9</v>
      </c>
      <c r="G619">
        <v>2.2999999999999998</v>
      </c>
      <c r="H619">
        <v>0.3</v>
      </c>
      <c r="I619" t="s">
        <v>19</v>
      </c>
      <c r="J619">
        <v>3</v>
      </c>
      <c r="K619">
        <v>10</v>
      </c>
      <c r="L619">
        <v>6</v>
      </c>
      <c r="M619">
        <v>0</v>
      </c>
    </row>
    <row r="620" spans="1:13" x14ac:dyDescent="0.35">
      <c r="A620">
        <v>13</v>
      </c>
      <c r="B620" t="s">
        <v>13</v>
      </c>
      <c r="C620">
        <v>4.5999999999999996</v>
      </c>
      <c r="D620" t="s">
        <v>17</v>
      </c>
      <c r="E620">
        <v>5.3</v>
      </c>
      <c r="F620">
        <v>2.2999999999999998</v>
      </c>
      <c r="G620">
        <v>2.42</v>
      </c>
      <c r="H620">
        <v>0.2</v>
      </c>
      <c r="I620" t="s">
        <v>15</v>
      </c>
      <c r="J620">
        <v>5</v>
      </c>
      <c r="K620">
        <v>9</v>
      </c>
      <c r="L620">
        <v>5</v>
      </c>
      <c r="M620">
        <v>0</v>
      </c>
    </row>
    <row r="621" spans="1:13" x14ac:dyDescent="0.35">
      <c r="A621">
        <v>13</v>
      </c>
      <c r="B621" t="s">
        <v>13</v>
      </c>
      <c r="C621">
        <v>5.4</v>
      </c>
      <c r="D621" t="s">
        <v>14</v>
      </c>
      <c r="E621">
        <v>6.5</v>
      </c>
      <c r="F621">
        <v>0.8</v>
      </c>
      <c r="G621">
        <v>3.17</v>
      </c>
      <c r="H621">
        <v>0.3</v>
      </c>
      <c r="I621" t="s">
        <v>19</v>
      </c>
      <c r="J621">
        <v>10</v>
      </c>
      <c r="K621">
        <v>3</v>
      </c>
      <c r="L621">
        <v>3</v>
      </c>
      <c r="M621">
        <v>0</v>
      </c>
    </row>
    <row r="622" spans="1:13" x14ac:dyDescent="0.35">
      <c r="A622">
        <v>13</v>
      </c>
      <c r="B622" t="s">
        <v>13</v>
      </c>
      <c r="C622">
        <v>6.4</v>
      </c>
      <c r="D622" t="s">
        <v>20</v>
      </c>
      <c r="E622">
        <v>8.3000000000000007</v>
      </c>
      <c r="F622">
        <v>1.3</v>
      </c>
      <c r="G622">
        <v>2.21</v>
      </c>
      <c r="H622">
        <v>1.2</v>
      </c>
      <c r="I622" t="s">
        <v>18</v>
      </c>
      <c r="J622">
        <v>4</v>
      </c>
      <c r="K622">
        <v>5</v>
      </c>
      <c r="L622">
        <v>9</v>
      </c>
      <c r="M622">
        <v>0</v>
      </c>
    </row>
    <row r="623" spans="1:13" x14ac:dyDescent="0.35">
      <c r="A623">
        <v>13</v>
      </c>
      <c r="B623" t="s">
        <v>13</v>
      </c>
      <c r="C623">
        <v>1.3</v>
      </c>
      <c r="D623" t="s">
        <v>17</v>
      </c>
      <c r="E623">
        <v>7.8</v>
      </c>
      <c r="F623">
        <v>2.6</v>
      </c>
      <c r="G623">
        <v>3.01</v>
      </c>
      <c r="H623">
        <v>0.3</v>
      </c>
      <c r="I623" t="s">
        <v>15</v>
      </c>
      <c r="J623">
        <v>2</v>
      </c>
      <c r="K623">
        <v>9</v>
      </c>
      <c r="L623">
        <v>10</v>
      </c>
      <c r="M623">
        <v>0</v>
      </c>
    </row>
    <row r="624" spans="1:13" x14ac:dyDescent="0.35">
      <c r="A624">
        <v>16</v>
      </c>
      <c r="B624" t="s">
        <v>16</v>
      </c>
      <c r="C624">
        <v>5.3</v>
      </c>
      <c r="D624" t="s">
        <v>17</v>
      </c>
      <c r="E624">
        <v>4.3</v>
      </c>
      <c r="F624">
        <v>1.5</v>
      </c>
      <c r="G624">
        <v>2.54</v>
      </c>
      <c r="H624">
        <v>0.3</v>
      </c>
      <c r="I624" t="s">
        <v>18</v>
      </c>
      <c r="J624">
        <v>7</v>
      </c>
      <c r="K624">
        <v>7</v>
      </c>
      <c r="L624">
        <v>10</v>
      </c>
      <c r="M624">
        <v>1</v>
      </c>
    </row>
    <row r="625" spans="1:13" x14ac:dyDescent="0.35">
      <c r="A625">
        <v>13</v>
      </c>
      <c r="B625" t="s">
        <v>13</v>
      </c>
      <c r="C625">
        <v>7.5</v>
      </c>
      <c r="D625" t="s">
        <v>14</v>
      </c>
      <c r="E625">
        <v>8.6</v>
      </c>
      <c r="F625">
        <v>1.9</v>
      </c>
      <c r="G625">
        <v>3.33</v>
      </c>
      <c r="H625">
        <v>0.9</v>
      </c>
      <c r="I625" t="s">
        <v>19</v>
      </c>
      <c r="J625">
        <v>7</v>
      </c>
      <c r="K625">
        <v>3</v>
      </c>
      <c r="L625">
        <v>10</v>
      </c>
      <c r="M625">
        <v>0</v>
      </c>
    </row>
    <row r="626" spans="1:13" x14ac:dyDescent="0.35">
      <c r="A626">
        <v>13</v>
      </c>
      <c r="B626" t="s">
        <v>13</v>
      </c>
      <c r="C626">
        <v>7.2</v>
      </c>
      <c r="D626" t="s">
        <v>17</v>
      </c>
      <c r="E626">
        <v>4.0999999999999996</v>
      </c>
      <c r="F626">
        <v>1.3</v>
      </c>
      <c r="G626">
        <v>2.4900000000000002</v>
      </c>
      <c r="H626">
        <v>1.8</v>
      </c>
      <c r="I626" t="s">
        <v>19</v>
      </c>
      <c r="J626">
        <v>5</v>
      </c>
      <c r="K626">
        <v>5</v>
      </c>
      <c r="L626">
        <v>4</v>
      </c>
      <c r="M626">
        <v>0</v>
      </c>
    </row>
    <row r="627" spans="1:13" x14ac:dyDescent="0.35">
      <c r="A627">
        <v>13</v>
      </c>
      <c r="B627" t="s">
        <v>13</v>
      </c>
      <c r="C627">
        <v>5.4</v>
      </c>
      <c r="D627" t="s">
        <v>14</v>
      </c>
      <c r="E627">
        <v>4.0999999999999996</v>
      </c>
      <c r="F627">
        <v>2</v>
      </c>
      <c r="G627">
        <v>3.82</v>
      </c>
      <c r="H627">
        <v>1.9</v>
      </c>
      <c r="I627" t="s">
        <v>19</v>
      </c>
      <c r="J627">
        <v>6</v>
      </c>
      <c r="K627">
        <v>10</v>
      </c>
      <c r="L627">
        <v>8</v>
      </c>
      <c r="M627">
        <v>0</v>
      </c>
    </row>
    <row r="628" spans="1:13" x14ac:dyDescent="0.35">
      <c r="A628">
        <v>13</v>
      </c>
      <c r="B628" t="s">
        <v>13</v>
      </c>
      <c r="C628">
        <v>3.4</v>
      </c>
      <c r="D628" t="s">
        <v>20</v>
      </c>
      <c r="E628">
        <v>8.6</v>
      </c>
      <c r="F628">
        <v>0.8</v>
      </c>
      <c r="G628">
        <v>3.08</v>
      </c>
      <c r="H628">
        <v>0.4</v>
      </c>
      <c r="I628" t="s">
        <v>15</v>
      </c>
      <c r="J628">
        <v>7</v>
      </c>
      <c r="K628">
        <v>10</v>
      </c>
      <c r="L628">
        <v>6</v>
      </c>
      <c r="M628">
        <v>0</v>
      </c>
    </row>
    <row r="629" spans="1:13" x14ac:dyDescent="0.35">
      <c r="A629">
        <v>13</v>
      </c>
      <c r="B629" t="s">
        <v>13</v>
      </c>
      <c r="C629">
        <v>2.4</v>
      </c>
      <c r="D629" t="s">
        <v>17</v>
      </c>
      <c r="E629">
        <v>8.4</v>
      </c>
      <c r="F629">
        <v>1.6</v>
      </c>
      <c r="G629">
        <v>2.82</v>
      </c>
      <c r="H629">
        <v>1.1000000000000001</v>
      </c>
      <c r="I629" t="s">
        <v>15</v>
      </c>
      <c r="J629">
        <v>1</v>
      </c>
      <c r="K629">
        <v>3</v>
      </c>
      <c r="L629">
        <v>2</v>
      </c>
      <c r="M629">
        <v>0</v>
      </c>
    </row>
    <row r="630" spans="1:13" x14ac:dyDescent="0.35">
      <c r="A630">
        <v>13</v>
      </c>
      <c r="B630" t="s">
        <v>13</v>
      </c>
      <c r="C630">
        <v>2.4</v>
      </c>
      <c r="D630" t="s">
        <v>14</v>
      </c>
      <c r="E630">
        <v>7.1</v>
      </c>
      <c r="F630">
        <v>0.7</v>
      </c>
      <c r="G630">
        <v>3.64</v>
      </c>
      <c r="H630">
        <v>1.1000000000000001</v>
      </c>
      <c r="I630" t="s">
        <v>18</v>
      </c>
      <c r="J630">
        <v>6</v>
      </c>
      <c r="K630">
        <v>5</v>
      </c>
      <c r="L630">
        <v>5</v>
      </c>
      <c r="M630">
        <v>0</v>
      </c>
    </row>
    <row r="631" spans="1:13" x14ac:dyDescent="0.35">
      <c r="A631">
        <v>13</v>
      </c>
      <c r="B631" t="s">
        <v>13</v>
      </c>
      <c r="C631">
        <v>8</v>
      </c>
      <c r="D631" t="s">
        <v>20</v>
      </c>
      <c r="E631">
        <v>8.9</v>
      </c>
      <c r="F631">
        <v>2.2000000000000002</v>
      </c>
      <c r="G631">
        <v>3.82</v>
      </c>
      <c r="H631">
        <v>1.2</v>
      </c>
      <c r="I631" t="s">
        <v>15</v>
      </c>
      <c r="J631">
        <v>8</v>
      </c>
      <c r="K631">
        <v>8</v>
      </c>
      <c r="L631">
        <v>4</v>
      </c>
      <c r="M631">
        <v>0</v>
      </c>
    </row>
    <row r="632" spans="1:13" x14ac:dyDescent="0.35">
      <c r="A632">
        <v>13</v>
      </c>
      <c r="B632" t="s">
        <v>13</v>
      </c>
      <c r="C632">
        <v>7.9</v>
      </c>
      <c r="D632" t="s">
        <v>14</v>
      </c>
      <c r="E632">
        <v>8.8000000000000007</v>
      </c>
      <c r="F632">
        <v>2.2999999999999998</v>
      </c>
      <c r="G632">
        <v>3.39</v>
      </c>
      <c r="H632">
        <v>0.5</v>
      </c>
      <c r="I632" t="s">
        <v>15</v>
      </c>
      <c r="J632">
        <v>1</v>
      </c>
      <c r="K632">
        <v>9</v>
      </c>
      <c r="L632">
        <v>3</v>
      </c>
      <c r="M632">
        <v>0</v>
      </c>
    </row>
    <row r="633" spans="1:13" x14ac:dyDescent="0.35">
      <c r="A633">
        <v>16</v>
      </c>
      <c r="B633" t="s">
        <v>16</v>
      </c>
      <c r="C633">
        <v>6.9</v>
      </c>
      <c r="D633" t="s">
        <v>14</v>
      </c>
      <c r="E633">
        <v>5.8</v>
      </c>
      <c r="F633">
        <v>0.6</v>
      </c>
      <c r="G633">
        <v>3.65</v>
      </c>
      <c r="H633">
        <v>0.5</v>
      </c>
      <c r="I633" t="s">
        <v>18</v>
      </c>
      <c r="J633">
        <v>10</v>
      </c>
      <c r="K633">
        <v>8</v>
      </c>
      <c r="L633">
        <v>10</v>
      </c>
      <c r="M633">
        <v>1</v>
      </c>
    </row>
    <row r="634" spans="1:13" x14ac:dyDescent="0.35">
      <c r="A634">
        <v>13</v>
      </c>
      <c r="B634" t="s">
        <v>13</v>
      </c>
      <c r="C634">
        <v>5.4</v>
      </c>
      <c r="D634" t="s">
        <v>14</v>
      </c>
      <c r="E634">
        <v>7.8</v>
      </c>
      <c r="F634">
        <v>1.8</v>
      </c>
      <c r="G634">
        <v>3.46</v>
      </c>
      <c r="H634">
        <v>1</v>
      </c>
      <c r="I634" t="s">
        <v>18</v>
      </c>
      <c r="J634">
        <v>4</v>
      </c>
      <c r="K634">
        <v>7</v>
      </c>
      <c r="L634">
        <v>7</v>
      </c>
      <c r="M634">
        <v>0</v>
      </c>
    </row>
    <row r="635" spans="1:13" x14ac:dyDescent="0.35">
      <c r="A635">
        <v>13</v>
      </c>
      <c r="B635" t="s">
        <v>13</v>
      </c>
      <c r="C635">
        <v>4</v>
      </c>
      <c r="D635" t="s">
        <v>20</v>
      </c>
      <c r="E635">
        <v>4.2</v>
      </c>
      <c r="F635">
        <v>0.5</v>
      </c>
      <c r="G635">
        <v>2.46</v>
      </c>
      <c r="H635">
        <v>0.6</v>
      </c>
      <c r="I635" t="s">
        <v>15</v>
      </c>
      <c r="J635">
        <v>2</v>
      </c>
      <c r="K635">
        <v>9</v>
      </c>
      <c r="L635">
        <v>9</v>
      </c>
      <c r="M635">
        <v>0</v>
      </c>
    </row>
    <row r="636" spans="1:13" x14ac:dyDescent="0.35">
      <c r="A636">
        <v>13</v>
      </c>
      <c r="B636" t="s">
        <v>13</v>
      </c>
      <c r="C636">
        <v>8</v>
      </c>
      <c r="D636" t="s">
        <v>14</v>
      </c>
      <c r="E636">
        <v>6.9</v>
      </c>
      <c r="F636">
        <v>2.5</v>
      </c>
      <c r="G636">
        <v>2.4500000000000002</v>
      </c>
      <c r="H636">
        <v>1.7</v>
      </c>
      <c r="I636" t="s">
        <v>19</v>
      </c>
      <c r="J636">
        <v>10</v>
      </c>
      <c r="K636">
        <v>1</v>
      </c>
      <c r="L636">
        <v>3</v>
      </c>
      <c r="M636">
        <v>0</v>
      </c>
    </row>
    <row r="637" spans="1:13" x14ac:dyDescent="0.35">
      <c r="A637">
        <v>13</v>
      </c>
      <c r="B637" t="s">
        <v>13</v>
      </c>
      <c r="C637">
        <v>3.8</v>
      </c>
      <c r="D637" t="s">
        <v>20</v>
      </c>
      <c r="E637">
        <v>5.3</v>
      </c>
      <c r="F637">
        <v>2.5</v>
      </c>
      <c r="G637">
        <v>3.48</v>
      </c>
      <c r="H637">
        <v>1</v>
      </c>
      <c r="I637" t="s">
        <v>15</v>
      </c>
      <c r="J637">
        <v>6</v>
      </c>
      <c r="K637">
        <v>7</v>
      </c>
      <c r="L637">
        <v>7</v>
      </c>
      <c r="M637">
        <v>0</v>
      </c>
    </row>
    <row r="638" spans="1:13" x14ac:dyDescent="0.35">
      <c r="A638">
        <v>13</v>
      </c>
      <c r="B638" t="s">
        <v>13</v>
      </c>
      <c r="C638">
        <v>6.4</v>
      </c>
      <c r="D638" t="s">
        <v>20</v>
      </c>
      <c r="E638">
        <v>4.0999999999999996</v>
      </c>
      <c r="F638">
        <v>1.3</v>
      </c>
      <c r="G638">
        <v>2.77</v>
      </c>
      <c r="H638">
        <v>1.3</v>
      </c>
      <c r="I638" t="s">
        <v>15</v>
      </c>
      <c r="J638">
        <v>10</v>
      </c>
      <c r="K638">
        <v>6</v>
      </c>
      <c r="L638">
        <v>1</v>
      </c>
      <c r="M638">
        <v>0</v>
      </c>
    </row>
    <row r="639" spans="1:13" x14ac:dyDescent="0.35">
      <c r="A639">
        <v>13</v>
      </c>
      <c r="B639" t="s">
        <v>13</v>
      </c>
      <c r="C639">
        <v>4.5</v>
      </c>
      <c r="D639" t="s">
        <v>20</v>
      </c>
      <c r="E639">
        <v>6.7</v>
      </c>
      <c r="F639">
        <v>2.2000000000000002</v>
      </c>
      <c r="G639">
        <v>3.73</v>
      </c>
      <c r="H639">
        <v>0.3</v>
      </c>
      <c r="I639" t="s">
        <v>15</v>
      </c>
      <c r="J639">
        <v>3</v>
      </c>
      <c r="K639">
        <v>5</v>
      </c>
      <c r="L639">
        <v>10</v>
      </c>
      <c r="M639">
        <v>0</v>
      </c>
    </row>
    <row r="640" spans="1:13" x14ac:dyDescent="0.35">
      <c r="A640">
        <v>13</v>
      </c>
      <c r="B640" t="s">
        <v>13</v>
      </c>
      <c r="C640">
        <v>5.2</v>
      </c>
      <c r="D640" t="s">
        <v>17</v>
      </c>
      <c r="E640">
        <v>6.7</v>
      </c>
      <c r="F640">
        <v>2.5</v>
      </c>
      <c r="G640">
        <v>3.82</v>
      </c>
      <c r="H640">
        <v>0.9</v>
      </c>
      <c r="I640" t="s">
        <v>19</v>
      </c>
      <c r="J640">
        <v>8</v>
      </c>
      <c r="K640">
        <v>8</v>
      </c>
      <c r="L640">
        <v>6</v>
      </c>
      <c r="M640">
        <v>0</v>
      </c>
    </row>
    <row r="641" spans="1:13" x14ac:dyDescent="0.35">
      <c r="A641">
        <v>13</v>
      </c>
      <c r="B641" t="s">
        <v>13</v>
      </c>
      <c r="C641">
        <v>7.9</v>
      </c>
      <c r="D641" t="s">
        <v>17</v>
      </c>
      <c r="E641">
        <v>6</v>
      </c>
      <c r="F641">
        <v>2.7</v>
      </c>
      <c r="G641">
        <v>2.85</v>
      </c>
      <c r="H641">
        <v>0.3</v>
      </c>
      <c r="I641" t="s">
        <v>15</v>
      </c>
      <c r="J641">
        <v>9</v>
      </c>
      <c r="K641">
        <v>10</v>
      </c>
      <c r="L641">
        <v>3</v>
      </c>
      <c r="M641">
        <v>0</v>
      </c>
    </row>
    <row r="642" spans="1:13" x14ac:dyDescent="0.35">
      <c r="A642">
        <v>13</v>
      </c>
      <c r="B642" t="s">
        <v>13</v>
      </c>
      <c r="C642">
        <v>2.2999999999999998</v>
      </c>
      <c r="D642" t="s">
        <v>17</v>
      </c>
      <c r="E642">
        <v>4.5</v>
      </c>
      <c r="F642">
        <v>0.7</v>
      </c>
      <c r="G642">
        <v>2.71</v>
      </c>
      <c r="H642">
        <v>0.2</v>
      </c>
      <c r="I642" t="s">
        <v>15</v>
      </c>
      <c r="J642">
        <v>6</v>
      </c>
      <c r="K642">
        <v>3</v>
      </c>
      <c r="L642">
        <v>7</v>
      </c>
      <c r="M642">
        <v>0</v>
      </c>
    </row>
    <row r="643" spans="1:13" x14ac:dyDescent="0.35">
      <c r="A643">
        <v>13</v>
      </c>
      <c r="B643" t="s">
        <v>13</v>
      </c>
      <c r="C643">
        <v>4.4000000000000004</v>
      </c>
      <c r="D643" t="s">
        <v>20</v>
      </c>
      <c r="E643">
        <v>8.1999999999999993</v>
      </c>
      <c r="F643">
        <v>1.5</v>
      </c>
      <c r="G643">
        <v>3.98</v>
      </c>
      <c r="H643">
        <v>1.4</v>
      </c>
      <c r="I643" t="s">
        <v>18</v>
      </c>
      <c r="J643">
        <v>9</v>
      </c>
      <c r="K643">
        <v>6</v>
      </c>
      <c r="L643">
        <v>6</v>
      </c>
      <c r="M643">
        <v>0</v>
      </c>
    </row>
    <row r="644" spans="1:13" x14ac:dyDescent="0.35">
      <c r="A644">
        <v>13</v>
      </c>
      <c r="B644" t="s">
        <v>13</v>
      </c>
      <c r="C644">
        <v>4</v>
      </c>
      <c r="D644" t="s">
        <v>17</v>
      </c>
      <c r="E644">
        <v>5</v>
      </c>
      <c r="F644">
        <v>2.9</v>
      </c>
      <c r="G644">
        <v>3.84</v>
      </c>
      <c r="H644">
        <v>0.1</v>
      </c>
      <c r="I644" t="s">
        <v>15</v>
      </c>
      <c r="J644">
        <v>7</v>
      </c>
      <c r="K644">
        <v>8</v>
      </c>
      <c r="L644">
        <v>10</v>
      </c>
      <c r="M644">
        <v>0</v>
      </c>
    </row>
    <row r="645" spans="1:13" x14ac:dyDescent="0.35">
      <c r="A645">
        <v>13</v>
      </c>
      <c r="B645" t="s">
        <v>13</v>
      </c>
      <c r="C645">
        <v>3.2</v>
      </c>
      <c r="D645" t="s">
        <v>17</v>
      </c>
      <c r="E645">
        <v>5.0999999999999996</v>
      </c>
      <c r="F645">
        <v>1.6</v>
      </c>
      <c r="G645">
        <v>2.87</v>
      </c>
      <c r="H645">
        <v>1.8</v>
      </c>
      <c r="I645" t="s">
        <v>19</v>
      </c>
      <c r="J645">
        <v>4</v>
      </c>
      <c r="K645">
        <v>9</v>
      </c>
      <c r="L645">
        <v>8</v>
      </c>
      <c r="M645">
        <v>0</v>
      </c>
    </row>
    <row r="646" spans="1:13" x14ac:dyDescent="0.35">
      <c r="A646">
        <v>13</v>
      </c>
      <c r="B646" t="s">
        <v>13</v>
      </c>
      <c r="C646">
        <v>7.4</v>
      </c>
      <c r="D646" t="s">
        <v>20</v>
      </c>
      <c r="E646">
        <v>7</v>
      </c>
      <c r="F646">
        <v>1.8</v>
      </c>
      <c r="G646">
        <v>2.17</v>
      </c>
      <c r="H646">
        <v>1.4</v>
      </c>
      <c r="I646" t="s">
        <v>19</v>
      </c>
      <c r="J646">
        <v>9</v>
      </c>
      <c r="K646">
        <v>10</v>
      </c>
      <c r="L646">
        <v>5</v>
      </c>
      <c r="M646">
        <v>0</v>
      </c>
    </row>
    <row r="647" spans="1:13" x14ac:dyDescent="0.35">
      <c r="A647">
        <v>13</v>
      </c>
      <c r="B647" t="s">
        <v>13</v>
      </c>
      <c r="C647">
        <v>1.8</v>
      </c>
      <c r="D647" t="s">
        <v>14</v>
      </c>
      <c r="E647">
        <v>4.4000000000000004</v>
      </c>
      <c r="F647">
        <v>0.6</v>
      </c>
      <c r="G647">
        <v>3.48</v>
      </c>
      <c r="H647">
        <v>1.7</v>
      </c>
      <c r="I647" t="s">
        <v>19</v>
      </c>
      <c r="J647">
        <v>3</v>
      </c>
      <c r="K647">
        <v>1</v>
      </c>
      <c r="L647">
        <v>10</v>
      </c>
      <c r="M647">
        <v>0</v>
      </c>
    </row>
    <row r="648" spans="1:13" x14ac:dyDescent="0.35">
      <c r="A648">
        <v>13</v>
      </c>
      <c r="B648" t="s">
        <v>13</v>
      </c>
      <c r="C648">
        <v>2.2000000000000002</v>
      </c>
      <c r="D648" t="s">
        <v>20</v>
      </c>
      <c r="E648">
        <v>5.8</v>
      </c>
      <c r="F648">
        <v>2</v>
      </c>
      <c r="G648">
        <v>3.63</v>
      </c>
      <c r="H648">
        <v>1.9</v>
      </c>
      <c r="I648" t="s">
        <v>15</v>
      </c>
      <c r="J648">
        <v>4</v>
      </c>
      <c r="K648">
        <v>4</v>
      </c>
      <c r="L648">
        <v>10</v>
      </c>
      <c r="M648">
        <v>0</v>
      </c>
    </row>
    <row r="649" spans="1:13" x14ac:dyDescent="0.35">
      <c r="A649">
        <v>13</v>
      </c>
      <c r="B649" t="s">
        <v>13</v>
      </c>
      <c r="C649">
        <v>2.7</v>
      </c>
      <c r="D649" t="s">
        <v>20</v>
      </c>
      <c r="E649">
        <v>6.9</v>
      </c>
      <c r="F649">
        <v>1.4</v>
      </c>
      <c r="G649">
        <v>2.87</v>
      </c>
      <c r="H649">
        <v>1.5</v>
      </c>
      <c r="I649" t="s">
        <v>15</v>
      </c>
      <c r="J649">
        <v>2</v>
      </c>
      <c r="K649">
        <v>6</v>
      </c>
      <c r="L649">
        <v>3</v>
      </c>
      <c r="M649">
        <v>0</v>
      </c>
    </row>
    <row r="650" spans="1:13" x14ac:dyDescent="0.35">
      <c r="A650">
        <v>13</v>
      </c>
      <c r="B650" t="s">
        <v>13</v>
      </c>
      <c r="C650">
        <v>3.9</v>
      </c>
      <c r="D650" t="s">
        <v>20</v>
      </c>
      <c r="E650">
        <v>5.8</v>
      </c>
      <c r="F650">
        <v>0.7</v>
      </c>
      <c r="G650">
        <v>2.77</v>
      </c>
      <c r="H650">
        <v>1.3</v>
      </c>
      <c r="I650" t="s">
        <v>19</v>
      </c>
      <c r="J650">
        <v>10</v>
      </c>
      <c r="K650">
        <v>3</v>
      </c>
      <c r="L650">
        <v>1</v>
      </c>
      <c r="M650">
        <v>0</v>
      </c>
    </row>
    <row r="651" spans="1:13" x14ac:dyDescent="0.35">
      <c r="A651">
        <v>13</v>
      </c>
      <c r="B651" t="s">
        <v>13</v>
      </c>
      <c r="C651">
        <v>7.1</v>
      </c>
      <c r="D651" t="s">
        <v>20</v>
      </c>
      <c r="E651">
        <v>5.7</v>
      </c>
      <c r="F651">
        <v>2.1</v>
      </c>
      <c r="G651">
        <v>3.52</v>
      </c>
      <c r="H651">
        <v>1.7</v>
      </c>
      <c r="I651" t="s">
        <v>15</v>
      </c>
      <c r="J651">
        <v>1</v>
      </c>
      <c r="K651">
        <v>1</v>
      </c>
      <c r="L651">
        <v>3</v>
      </c>
      <c r="M651">
        <v>0</v>
      </c>
    </row>
    <row r="652" spans="1:13" x14ac:dyDescent="0.35">
      <c r="A652">
        <v>13</v>
      </c>
      <c r="B652" t="s">
        <v>13</v>
      </c>
      <c r="C652">
        <v>2.5</v>
      </c>
      <c r="D652" t="s">
        <v>14</v>
      </c>
      <c r="E652">
        <v>5.3</v>
      </c>
      <c r="F652">
        <v>0.8</v>
      </c>
      <c r="G652">
        <v>3.12</v>
      </c>
      <c r="H652">
        <v>0.4</v>
      </c>
      <c r="I652" t="s">
        <v>18</v>
      </c>
      <c r="J652">
        <v>3</v>
      </c>
      <c r="K652">
        <v>5</v>
      </c>
      <c r="L652">
        <v>3</v>
      </c>
      <c r="M652">
        <v>0</v>
      </c>
    </row>
    <row r="653" spans="1:13" x14ac:dyDescent="0.35">
      <c r="A653">
        <v>13</v>
      </c>
      <c r="B653" t="s">
        <v>13</v>
      </c>
      <c r="C653">
        <v>5.2</v>
      </c>
      <c r="D653" t="s">
        <v>20</v>
      </c>
      <c r="E653">
        <v>5.4</v>
      </c>
      <c r="F653">
        <v>0.8</v>
      </c>
      <c r="G653">
        <v>2.39</v>
      </c>
      <c r="H653">
        <v>2</v>
      </c>
      <c r="I653" t="s">
        <v>15</v>
      </c>
      <c r="J653">
        <v>8</v>
      </c>
      <c r="K653">
        <v>3</v>
      </c>
      <c r="L653">
        <v>10</v>
      </c>
      <c r="M653">
        <v>0</v>
      </c>
    </row>
    <row r="654" spans="1:13" x14ac:dyDescent="0.35">
      <c r="A654">
        <v>13</v>
      </c>
      <c r="B654" t="s">
        <v>13</v>
      </c>
      <c r="C654">
        <v>4</v>
      </c>
      <c r="D654" t="s">
        <v>20</v>
      </c>
      <c r="E654">
        <v>8.3000000000000007</v>
      </c>
      <c r="F654">
        <v>0.6</v>
      </c>
      <c r="G654">
        <v>3.71</v>
      </c>
      <c r="H654">
        <v>0.1</v>
      </c>
      <c r="I654" t="s">
        <v>15</v>
      </c>
      <c r="J654">
        <v>2</v>
      </c>
      <c r="K654">
        <v>6</v>
      </c>
      <c r="L654">
        <v>1</v>
      </c>
      <c r="M654">
        <v>0</v>
      </c>
    </row>
    <row r="655" spans="1:13" x14ac:dyDescent="0.35">
      <c r="A655">
        <v>13</v>
      </c>
      <c r="B655" t="s">
        <v>13</v>
      </c>
      <c r="C655">
        <v>2</v>
      </c>
      <c r="D655" t="s">
        <v>14</v>
      </c>
      <c r="E655">
        <v>6.6</v>
      </c>
      <c r="F655">
        <v>0.9</v>
      </c>
      <c r="G655">
        <v>3.34</v>
      </c>
      <c r="H655">
        <v>1.5</v>
      </c>
      <c r="I655" t="s">
        <v>18</v>
      </c>
      <c r="J655">
        <v>5</v>
      </c>
      <c r="K655">
        <v>9</v>
      </c>
      <c r="L655">
        <v>4</v>
      </c>
      <c r="M655">
        <v>0</v>
      </c>
    </row>
    <row r="656" spans="1:13" x14ac:dyDescent="0.35">
      <c r="A656">
        <v>13</v>
      </c>
      <c r="B656" t="s">
        <v>13</v>
      </c>
      <c r="C656">
        <v>7.8</v>
      </c>
      <c r="D656" t="s">
        <v>17</v>
      </c>
      <c r="E656">
        <v>7.2</v>
      </c>
      <c r="F656">
        <v>1.3</v>
      </c>
      <c r="G656">
        <v>3.31</v>
      </c>
      <c r="H656">
        <v>0.8</v>
      </c>
      <c r="I656" t="s">
        <v>18</v>
      </c>
      <c r="J656">
        <v>9</v>
      </c>
      <c r="K656">
        <v>2</v>
      </c>
      <c r="L656">
        <v>4</v>
      </c>
      <c r="M656">
        <v>0</v>
      </c>
    </row>
    <row r="657" spans="1:13" x14ac:dyDescent="0.35">
      <c r="A657">
        <v>13</v>
      </c>
      <c r="B657" t="s">
        <v>13</v>
      </c>
      <c r="C657">
        <v>2.2000000000000002</v>
      </c>
      <c r="D657" t="s">
        <v>17</v>
      </c>
      <c r="E657">
        <v>5.4</v>
      </c>
      <c r="F657">
        <v>1.2</v>
      </c>
      <c r="G657">
        <v>2.33</v>
      </c>
      <c r="H657">
        <v>0.8</v>
      </c>
      <c r="I657" t="s">
        <v>19</v>
      </c>
      <c r="J657">
        <v>10</v>
      </c>
      <c r="K657">
        <v>3</v>
      </c>
      <c r="L657">
        <v>4</v>
      </c>
      <c r="M657">
        <v>0</v>
      </c>
    </row>
    <row r="658" spans="1:13" x14ac:dyDescent="0.35">
      <c r="A658">
        <v>13</v>
      </c>
      <c r="B658" t="s">
        <v>13</v>
      </c>
      <c r="C658">
        <v>5.3</v>
      </c>
      <c r="D658" t="s">
        <v>14</v>
      </c>
      <c r="E658">
        <v>6</v>
      </c>
      <c r="F658">
        <v>1</v>
      </c>
      <c r="G658">
        <v>2.92</v>
      </c>
      <c r="H658">
        <v>0.7</v>
      </c>
      <c r="I658" t="s">
        <v>18</v>
      </c>
      <c r="J658">
        <v>3</v>
      </c>
      <c r="K658">
        <v>8</v>
      </c>
      <c r="L658">
        <v>5</v>
      </c>
      <c r="M658">
        <v>0</v>
      </c>
    </row>
    <row r="659" spans="1:13" x14ac:dyDescent="0.35">
      <c r="A659">
        <v>13</v>
      </c>
      <c r="B659" t="s">
        <v>13</v>
      </c>
      <c r="C659">
        <v>3.4</v>
      </c>
      <c r="D659" t="s">
        <v>17</v>
      </c>
      <c r="E659">
        <v>4.5</v>
      </c>
      <c r="F659">
        <v>0.5</v>
      </c>
      <c r="G659">
        <v>3.71</v>
      </c>
      <c r="H659">
        <v>1</v>
      </c>
      <c r="I659" t="s">
        <v>19</v>
      </c>
      <c r="J659">
        <v>1</v>
      </c>
      <c r="K659">
        <v>10</v>
      </c>
      <c r="L659">
        <v>1</v>
      </c>
      <c r="M659">
        <v>0</v>
      </c>
    </row>
    <row r="660" spans="1:13" x14ac:dyDescent="0.35">
      <c r="A660">
        <v>13</v>
      </c>
      <c r="B660" t="s">
        <v>13</v>
      </c>
      <c r="C660">
        <v>3.6</v>
      </c>
      <c r="D660" t="s">
        <v>14</v>
      </c>
      <c r="E660">
        <v>8.6</v>
      </c>
      <c r="F660">
        <v>0.7</v>
      </c>
      <c r="G660">
        <v>2.42</v>
      </c>
      <c r="H660">
        <v>0.2</v>
      </c>
      <c r="I660" t="s">
        <v>19</v>
      </c>
      <c r="J660">
        <v>2</v>
      </c>
      <c r="K660">
        <v>6</v>
      </c>
      <c r="L660">
        <v>8</v>
      </c>
      <c r="M660">
        <v>0</v>
      </c>
    </row>
    <row r="661" spans="1:13" x14ac:dyDescent="0.35">
      <c r="A661">
        <v>13</v>
      </c>
      <c r="B661" t="s">
        <v>13</v>
      </c>
      <c r="C661">
        <v>7</v>
      </c>
      <c r="D661" t="s">
        <v>20</v>
      </c>
      <c r="E661">
        <v>5.7</v>
      </c>
      <c r="F661">
        <v>1.6</v>
      </c>
      <c r="G661">
        <v>3.45</v>
      </c>
      <c r="H661">
        <v>1.2</v>
      </c>
      <c r="I661" t="s">
        <v>19</v>
      </c>
      <c r="J661">
        <v>7</v>
      </c>
      <c r="K661">
        <v>1</v>
      </c>
      <c r="L661">
        <v>10</v>
      </c>
      <c r="M661">
        <v>0</v>
      </c>
    </row>
    <row r="662" spans="1:13" x14ac:dyDescent="0.35">
      <c r="A662">
        <v>13</v>
      </c>
      <c r="B662" t="s">
        <v>13</v>
      </c>
      <c r="C662">
        <v>5.0999999999999996</v>
      </c>
      <c r="D662" t="s">
        <v>17</v>
      </c>
      <c r="E662">
        <v>5.3</v>
      </c>
      <c r="F662">
        <v>2.6</v>
      </c>
      <c r="G662">
        <v>2.95</v>
      </c>
      <c r="H662">
        <v>1.2</v>
      </c>
      <c r="I662" t="s">
        <v>19</v>
      </c>
      <c r="J662">
        <v>2</v>
      </c>
      <c r="K662">
        <v>6</v>
      </c>
      <c r="L662">
        <v>10</v>
      </c>
      <c r="M662">
        <v>0</v>
      </c>
    </row>
    <row r="663" spans="1:13" x14ac:dyDescent="0.35">
      <c r="A663">
        <v>13</v>
      </c>
      <c r="B663" t="s">
        <v>13</v>
      </c>
      <c r="C663">
        <v>2.1</v>
      </c>
      <c r="D663" t="s">
        <v>14</v>
      </c>
      <c r="E663">
        <v>4.0999999999999996</v>
      </c>
      <c r="F663">
        <v>1.6</v>
      </c>
      <c r="G663">
        <v>2.12</v>
      </c>
      <c r="H663">
        <v>1.8</v>
      </c>
      <c r="I663" t="s">
        <v>18</v>
      </c>
      <c r="J663">
        <v>10</v>
      </c>
      <c r="K663">
        <v>9</v>
      </c>
      <c r="L663">
        <v>6</v>
      </c>
      <c r="M663">
        <v>0</v>
      </c>
    </row>
    <row r="664" spans="1:13" x14ac:dyDescent="0.35">
      <c r="A664">
        <v>13</v>
      </c>
      <c r="B664" t="s">
        <v>13</v>
      </c>
      <c r="C664">
        <v>2.1</v>
      </c>
      <c r="D664" t="s">
        <v>17</v>
      </c>
      <c r="E664">
        <v>5.8</v>
      </c>
      <c r="F664">
        <v>2.7</v>
      </c>
      <c r="G664">
        <v>3.83</v>
      </c>
      <c r="H664">
        <v>1.9</v>
      </c>
      <c r="I664" t="s">
        <v>15</v>
      </c>
      <c r="J664">
        <v>4</v>
      </c>
      <c r="K664">
        <v>6</v>
      </c>
      <c r="L664">
        <v>6</v>
      </c>
      <c r="M664">
        <v>0</v>
      </c>
    </row>
    <row r="665" spans="1:13" x14ac:dyDescent="0.35">
      <c r="A665">
        <v>13</v>
      </c>
      <c r="B665" t="s">
        <v>13</v>
      </c>
      <c r="C665">
        <v>5.6</v>
      </c>
      <c r="D665" t="s">
        <v>20</v>
      </c>
      <c r="E665">
        <v>4.4000000000000004</v>
      </c>
      <c r="F665">
        <v>2.9</v>
      </c>
      <c r="G665">
        <v>3.19</v>
      </c>
      <c r="H665">
        <v>0.9</v>
      </c>
      <c r="I665" t="s">
        <v>19</v>
      </c>
      <c r="J665">
        <v>6</v>
      </c>
      <c r="K665">
        <v>3</v>
      </c>
      <c r="L665">
        <v>4</v>
      </c>
      <c r="M665">
        <v>0</v>
      </c>
    </row>
    <row r="666" spans="1:13" x14ac:dyDescent="0.35">
      <c r="A666">
        <v>13</v>
      </c>
      <c r="B666" t="s">
        <v>13</v>
      </c>
      <c r="C666">
        <v>7</v>
      </c>
      <c r="D666" t="s">
        <v>17</v>
      </c>
      <c r="E666">
        <v>4.4000000000000004</v>
      </c>
      <c r="F666">
        <v>0.9</v>
      </c>
      <c r="G666">
        <v>3.67</v>
      </c>
      <c r="H666">
        <v>0.4</v>
      </c>
      <c r="I666" t="s">
        <v>15</v>
      </c>
      <c r="J666">
        <v>5</v>
      </c>
      <c r="K666">
        <v>3</v>
      </c>
      <c r="L666">
        <v>6</v>
      </c>
      <c r="M666">
        <v>0</v>
      </c>
    </row>
    <row r="667" spans="1:13" x14ac:dyDescent="0.35">
      <c r="A667">
        <v>13</v>
      </c>
      <c r="B667" t="s">
        <v>13</v>
      </c>
      <c r="C667">
        <v>6.2</v>
      </c>
      <c r="D667" t="s">
        <v>14</v>
      </c>
      <c r="E667">
        <v>8.6</v>
      </c>
      <c r="F667">
        <v>1.8</v>
      </c>
      <c r="G667">
        <v>2.19</v>
      </c>
      <c r="H667">
        <v>0.7</v>
      </c>
      <c r="I667" t="s">
        <v>18</v>
      </c>
      <c r="J667">
        <v>8</v>
      </c>
      <c r="K667">
        <v>4</v>
      </c>
      <c r="L667">
        <v>7</v>
      </c>
      <c r="M667">
        <v>0</v>
      </c>
    </row>
    <row r="668" spans="1:13" x14ac:dyDescent="0.35">
      <c r="A668">
        <v>13</v>
      </c>
      <c r="B668" t="s">
        <v>13</v>
      </c>
      <c r="C668">
        <v>6</v>
      </c>
      <c r="D668" t="s">
        <v>17</v>
      </c>
      <c r="E668">
        <v>4.8</v>
      </c>
      <c r="F668">
        <v>2.6</v>
      </c>
      <c r="G668">
        <v>2.74</v>
      </c>
      <c r="H668">
        <v>1.6</v>
      </c>
      <c r="I668" t="s">
        <v>18</v>
      </c>
      <c r="J668">
        <v>6</v>
      </c>
      <c r="K668">
        <v>10</v>
      </c>
      <c r="L668">
        <v>8</v>
      </c>
      <c r="M668">
        <v>0</v>
      </c>
    </row>
    <row r="669" spans="1:13" x14ac:dyDescent="0.35">
      <c r="A669">
        <v>13</v>
      </c>
      <c r="B669" t="s">
        <v>13</v>
      </c>
      <c r="C669">
        <v>3.9</v>
      </c>
      <c r="D669" t="s">
        <v>20</v>
      </c>
      <c r="E669">
        <v>8.6999999999999993</v>
      </c>
      <c r="F669">
        <v>1.5</v>
      </c>
      <c r="G669">
        <v>2.71</v>
      </c>
      <c r="H669">
        <v>0.7</v>
      </c>
      <c r="I669" t="s">
        <v>15</v>
      </c>
      <c r="J669">
        <v>7</v>
      </c>
      <c r="K669">
        <v>1</v>
      </c>
      <c r="L669">
        <v>4</v>
      </c>
      <c r="M669">
        <v>0</v>
      </c>
    </row>
    <row r="670" spans="1:13" x14ac:dyDescent="0.35">
      <c r="A670">
        <v>13</v>
      </c>
      <c r="B670" t="s">
        <v>13</v>
      </c>
      <c r="C670">
        <v>5.9</v>
      </c>
      <c r="D670" t="s">
        <v>17</v>
      </c>
      <c r="E670">
        <v>6.6</v>
      </c>
      <c r="F670">
        <v>2.6</v>
      </c>
      <c r="G670">
        <v>3.58</v>
      </c>
      <c r="H670">
        <v>1.6</v>
      </c>
      <c r="I670" t="s">
        <v>19</v>
      </c>
      <c r="J670">
        <v>7</v>
      </c>
      <c r="K670">
        <v>7</v>
      </c>
      <c r="L670">
        <v>10</v>
      </c>
      <c r="M670">
        <v>0</v>
      </c>
    </row>
    <row r="671" spans="1:13" x14ac:dyDescent="0.35">
      <c r="A671">
        <v>17</v>
      </c>
      <c r="B671" t="s">
        <v>16</v>
      </c>
      <c r="C671">
        <v>7.5</v>
      </c>
      <c r="D671" t="s">
        <v>17</v>
      </c>
      <c r="E671">
        <v>5.4</v>
      </c>
      <c r="F671">
        <v>2.2999999999999998</v>
      </c>
      <c r="G671">
        <v>3.44</v>
      </c>
      <c r="H671">
        <v>0.4</v>
      </c>
      <c r="I671" t="s">
        <v>19</v>
      </c>
      <c r="J671">
        <v>7</v>
      </c>
      <c r="K671">
        <v>9</v>
      </c>
      <c r="L671">
        <v>7</v>
      </c>
      <c r="M671">
        <v>1</v>
      </c>
    </row>
    <row r="672" spans="1:13" x14ac:dyDescent="0.35">
      <c r="A672">
        <v>13</v>
      </c>
      <c r="B672" t="s">
        <v>13</v>
      </c>
      <c r="C672">
        <v>1.5</v>
      </c>
      <c r="D672" t="s">
        <v>20</v>
      </c>
      <c r="E672">
        <v>5.2</v>
      </c>
      <c r="F672">
        <v>0.8</v>
      </c>
      <c r="G672">
        <v>2.16</v>
      </c>
      <c r="H672">
        <v>0.9</v>
      </c>
      <c r="I672" t="s">
        <v>19</v>
      </c>
      <c r="J672">
        <v>10</v>
      </c>
      <c r="K672">
        <v>6</v>
      </c>
      <c r="L672">
        <v>8</v>
      </c>
      <c r="M672">
        <v>0</v>
      </c>
    </row>
    <row r="673" spans="1:13" x14ac:dyDescent="0.35">
      <c r="A673">
        <v>13</v>
      </c>
      <c r="B673" t="s">
        <v>13</v>
      </c>
      <c r="C673">
        <v>1.3</v>
      </c>
      <c r="D673" t="s">
        <v>14</v>
      </c>
      <c r="E673">
        <v>5.7</v>
      </c>
      <c r="F673">
        <v>1.1000000000000001</v>
      </c>
      <c r="G673">
        <v>3.74</v>
      </c>
      <c r="H673">
        <v>1.3</v>
      </c>
      <c r="I673" t="s">
        <v>15</v>
      </c>
      <c r="J673">
        <v>9</v>
      </c>
      <c r="K673">
        <v>5</v>
      </c>
      <c r="L673">
        <v>10</v>
      </c>
      <c r="M673">
        <v>0</v>
      </c>
    </row>
    <row r="674" spans="1:13" x14ac:dyDescent="0.35">
      <c r="A674">
        <v>13</v>
      </c>
      <c r="B674" t="s">
        <v>13</v>
      </c>
      <c r="C674">
        <v>5</v>
      </c>
      <c r="D674" t="s">
        <v>20</v>
      </c>
      <c r="E674">
        <v>8.6</v>
      </c>
      <c r="F674">
        <v>0.7</v>
      </c>
      <c r="G674">
        <v>2.99</v>
      </c>
      <c r="H674">
        <v>1.5</v>
      </c>
      <c r="I674" t="s">
        <v>15</v>
      </c>
      <c r="J674">
        <v>3</v>
      </c>
      <c r="K674">
        <v>8</v>
      </c>
      <c r="L674">
        <v>3</v>
      </c>
      <c r="M674">
        <v>0</v>
      </c>
    </row>
    <row r="675" spans="1:13" x14ac:dyDescent="0.35">
      <c r="A675">
        <v>13</v>
      </c>
      <c r="B675" t="s">
        <v>13</v>
      </c>
      <c r="C675">
        <v>5.9</v>
      </c>
      <c r="D675" t="s">
        <v>14</v>
      </c>
      <c r="E675">
        <v>4.3</v>
      </c>
      <c r="F675">
        <v>0.8</v>
      </c>
      <c r="G675">
        <v>3.41</v>
      </c>
      <c r="H675">
        <v>1.1000000000000001</v>
      </c>
      <c r="I675" t="s">
        <v>19</v>
      </c>
      <c r="J675">
        <v>4</v>
      </c>
      <c r="K675">
        <v>3</v>
      </c>
      <c r="L675">
        <v>2</v>
      </c>
      <c r="M675">
        <v>0</v>
      </c>
    </row>
    <row r="676" spans="1:13" x14ac:dyDescent="0.35">
      <c r="A676">
        <v>13</v>
      </c>
      <c r="B676" t="s">
        <v>13</v>
      </c>
      <c r="C676">
        <v>3.5</v>
      </c>
      <c r="D676" t="s">
        <v>17</v>
      </c>
      <c r="E676">
        <v>5.8</v>
      </c>
      <c r="F676">
        <v>1.2</v>
      </c>
      <c r="G676">
        <v>2.44</v>
      </c>
      <c r="H676">
        <v>1.5</v>
      </c>
      <c r="I676" t="s">
        <v>19</v>
      </c>
      <c r="J676">
        <v>4</v>
      </c>
      <c r="K676">
        <v>1</v>
      </c>
      <c r="L676">
        <v>8</v>
      </c>
      <c r="M676">
        <v>0</v>
      </c>
    </row>
    <row r="677" spans="1:13" x14ac:dyDescent="0.35">
      <c r="A677">
        <v>13</v>
      </c>
      <c r="B677" t="s">
        <v>13</v>
      </c>
      <c r="C677">
        <v>6.5</v>
      </c>
      <c r="D677" t="s">
        <v>14</v>
      </c>
      <c r="E677">
        <v>6.5</v>
      </c>
      <c r="F677">
        <v>1.5</v>
      </c>
      <c r="G677">
        <v>2.0499999999999998</v>
      </c>
      <c r="H677">
        <v>0.5</v>
      </c>
      <c r="I677" t="s">
        <v>15</v>
      </c>
      <c r="J677">
        <v>3</v>
      </c>
      <c r="K677">
        <v>9</v>
      </c>
      <c r="L677">
        <v>4</v>
      </c>
      <c r="M677">
        <v>0</v>
      </c>
    </row>
    <row r="678" spans="1:13" x14ac:dyDescent="0.35">
      <c r="A678">
        <v>13</v>
      </c>
      <c r="B678" t="s">
        <v>13</v>
      </c>
      <c r="C678">
        <v>4</v>
      </c>
      <c r="D678" t="s">
        <v>14</v>
      </c>
      <c r="E678">
        <v>4.2</v>
      </c>
      <c r="F678">
        <v>0.9</v>
      </c>
      <c r="G678">
        <v>2.75</v>
      </c>
      <c r="H678">
        <v>1</v>
      </c>
      <c r="I678" t="s">
        <v>18</v>
      </c>
      <c r="J678">
        <v>5</v>
      </c>
      <c r="K678">
        <v>4</v>
      </c>
      <c r="L678">
        <v>8</v>
      </c>
      <c r="M678">
        <v>0</v>
      </c>
    </row>
    <row r="679" spans="1:13" x14ac:dyDescent="0.35">
      <c r="A679">
        <v>13</v>
      </c>
      <c r="B679" t="s">
        <v>13</v>
      </c>
      <c r="C679">
        <v>1.6</v>
      </c>
      <c r="D679" t="s">
        <v>17</v>
      </c>
      <c r="E679">
        <v>5</v>
      </c>
      <c r="F679">
        <v>2.7</v>
      </c>
      <c r="G679">
        <v>2.31</v>
      </c>
      <c r="H679">
        <v>1.9</v>
      </c>
      <c r="I679" t="s">
        <v>15</v>
      </c>
      <c r="J679">
        <v>8</v>
      </c>
      <c r="K679">
        <v>9</v>
      </c>
      <c r="L679">
        <v>5</v>
      </c>
      <c r="M679">
        <v>0</v>
      </c>
    </row>
    <row r="680" spans="1:13" x14ac:dyDescent="0.35">
      <c r="A680">
        <v>13</v>
      </c>
      <c r="B680" t="s">
        <v>13</v>
      </c>
      <c r="C680">
        <v>1.4</v>
      </c>
      <c r="D680" t="s">
        <v>20</v>
      </c>
      <c r="E680">
        <v>8.6</v>
      </c>
      <c r="F680">
        <v>2.4</v>
      </c>
      <c r="G680">
        <v>3.31</v>
      </c>
      <c r="H680">
        <v>0.7</v>
      </c>
      <c r="I680" t="s">
        <v>15</v>
      </c>
      <c r="J680">
        <v>2</v>
      </c>
      <c r="K680">
        <v>6</v>
      </c>
      <c r="L680">
        <v>2</v>
      </c>
      <c r="M680">
        <v>0</v>
      </c>
    </row>
    <row r="681" spans="1:13" x14ac:dyDescent="0.35">
      <c r="A681">
        <v>13</v>
      </c>
      <c r="B681" t="s">
        <v>13</v>
      </c>
      <c r="C681">
        <v>5</v>
      </c>
      <c r="D681" t="s">
        <v>14</v>
      </c>
      <c r="E681">
        <v>5.2</v>
      </c>
      <c r="F681">
        <v>2.6</v>
      </c>
      <c r="G681">
        <v>2.04</v>
      </c>
      <c r="H681">
        <v>1.7</v>
      </c>
      <c r="I681" t="s">
        <v>19</v>
      </c>
      <c r="J681">
        <v>4</v>
      </c>
      <c r="K681">
        <v>4</v>
      </c>
      <c r="L681">
        <v>5</v>
      </c>
      <c r="M681">
        <v>0</v>
      </c>
    </row>
    <row r="682" spans="1:13" x14ac:dyDescent="0.35">
      <c r="A682">
        <v>13</v>
      </c>
      <c r="B682" t="s">
        <v>13</v>
      </c>
      <c r="C682">
        <v>4.8</v>
      </c>
      <c r="D682" t="s">
        <v>14</v>
      </c>
      <c r="E682">
        <v>6</v>
      </c>
      <c r="F682">
        <v>0.6</v>
      </c>
      <c r="G682">
        <v>2.41</v>
      </c>
      <c r="H682">
        <v>0</v>
      </c>
      <c r="I682" t="s">
        <v>18</v>
      </c>
      <c r="J682">
        <v>3</v>
      </c>
      <c r="K682">
        <v>6</v>
      </c>
      <c r="L682">
        <v>9</v>
      </c>
      <c r="M682">
        <v>0</v>
      </c>
    </row>
    <row r="683" spans="1:13" x14ac:dyDescent="0.35">
      <c r="A683">
        <v>13</v>
      </c>
      <c r="B683" t="s">
        <v>13</v>
      </c>
      <c r="C683">
        <v>3.9</v>
      </c>
      <c r="D683" t="s">
        <v>20</v>
      </c>
      <c r="E683">
        <v>4.5</v>
      </c>
      <c r="F683">
        <v>1.6</v>
      </c>
      <c r="G683">
        <v>2.02</v>
      </c>
      <c r="H683">
        <v>0.6</v>
      </c>
      <c r="I683" t="s">
        <v>18</v>
      </c>
      <c r="J683">
        <v>6</v>
      </c>
      <c r="K683">
        <v>6</v>
      </c>
      <c r="L683">
        <v>5</v>
      </c>
      <c r="M683">
        <v>0</v>
      </c>
    </row>
    <row r="684" spans="1:13" x14ac:dyDescent="0.35">
      <c r="A684">
        <v>13</v>
      </c>
      <c r="B684" t="s">
        <v>13</v>
      </c>
      <c r="C684">
        <v>7.9</v>
      </c>
      <c r="D684" t="s">
        <v>14</v>
      </c>
      <c r="E684">
        <v>7.1</v>
      </c>
      <c r="F684">
        <v>0.7</v>
      </c>
      <c r="G684">
        <v>2.8</v>
      </c>
      <c r="H684">
        <v>0.3</v>
      </c>
      <c r="I684" t="s">
        <v>19</v>
      </c>
      <c r="J684">
        <v>6</v>
      </c>
      <c r="K684">
        <v>8</v>
      </c>
      <c r="L684">
        <v>8</v>
      </c>
      <c r="M684">
        <v>0</v>
      </c>
    </row>
    <row r="685" spans="1:13" x14ac:dyDescent="0.35">
      <c r="A685">
        <v>13</v>
      </c>
      <c r="B685" t="s">
        <v>13</v>
      </c>
      <c r="C685">
        <v>5.8</v>
      </c>
      <c r="D685" t="s">
        <v>17</v>
      </c>
      <c r="E685">
        <v>8.3000000000000007</v>
      </c>
      <c r="F685">
        <v>2.8</v>
      </c>
      <c r="G685">
        <v>2.63</v>
      </c>
      <c r="H685">
        <v>0.6</v>
      </c>
      <c r="I685" t="s">
        <v>18</v>
      </c>
      <c r="J685">
        <v>5</v>
      </c>
      <c r="K685">
        <v>3</v>
      </c>
      <c r="L685">
        <v>7</v>
      </c>
      <c r="M685">
        <v>0</v>
      </c>
    </row>
    <row r="686" spans="1:13" x14ac:dyDescent="0.35">
      <c r="A686">
        <v>13</v>
      </c>
      <c r="B686" t="s">
        <v>13</v>
      </c>
      <c r="C686">
        <v>3.5</v>
      </c>
      <c r="D686" t="s">
        <v>20</v>
      </c>
      <c r="E686">
        <v>6.8</v>
      </c>
      <c r="F686">
        <v>2.2999999999999998</v>
      </c>
      <c r="G686">
        <v>2.2799999999999998</v>
      </c>
      <c r="H686">
        <v>1</v>
      </c>
      <c r="I686" t="s">
        <v>15</v>
      </c>
      <c r="J686">
        <v>7</v>
      </c>
      <c r="K686">
        <v>2</v>
      </c>
      <c r="L686">
        <v>6</v>
      </c>
      <c r="M686">
        <v>0</v>
      </c>
    </row>
    <row r="687" spans="1:13" x14ac:dyDescent="0.35">
      <c r="A687">
        <v>13</v>
      </c>
      <c r="B687" t="s">
        <v>13</v>
      </c>
      <c r="C687">
        <v>5.8</v>
      </c>
      <c r="D687" t="s">
        <v>17</v>
      </c>
      <c r="E687">
        <v>7.2</v>
      </c>
      <c r="F687">
        <v>1.1000000000000001</v>
      </c>
      <c r="G687">
        <v>2.69</v>
      </c>
      <c r="H687">
        <v>0.4</v>
      </c>
      <c r="I687" t="s">
        <v>15</v>
      </c>
      <c r="J687">
        <v>7</v>
      </c>
      <c r="K687">
        <v>3</v>
      </c>
      <c r="L687">
        <v>7</v>
      </c>
      <c r="M687">
        <v>0</v>
      </c>
    </row>
    <row r="688" spans="1:13" x14ac:dyDescent="0.35">
      <c r="A688">
        <v>13</v>
      </c>
      <c r="B688" t="s">
        <v>13</v>
      </c>
      <c r="C688">
        <v>2.5</v>
      </c>
      <c r="D688" t="s">
        <v>14</v>
      </c>
      <c r="E688">
        <v>6.3</v>
      </c>
      <c r="F688">
        <v>1.8</v>
      </c>
      <c r="G688">
        <v>2.2000000000000002</v>
      </c>
      <c r="H688">
        <v>0.1</v>
      </c>
      <c r="I688" t="s">
        <v>18</v>
      </c>
      <c r="J688">
        <v>9</v>
      </c>
      <c r="K688">
        <v>3</v>
      </c>
      <c r="L688">
        <v>9</v>
      </c>
      <c r="M688">
        <v>0</v>
      </c>
    </row>
    <row r="689" spans="1:13" x14ac:dyDescent="0.35">
      <c r="A689">
        <v>13</v>
      </c>
      <c r="B689" t="s">
        <v>13</v>
      </c>
      <c r="C689">
        <v>5.2</v>
      </c>
      <c r="D689" t="s">
        <v>20</v>
      </c>
      <c r="E689">
        <v>6.4</v>
      </c>
      <c r="F689">
        <v>2.5</v>
      </c>
      <c r="G689">
        <v>3.13</v>
      </c>
      <c r="H689">
        <v>0.3</v>
      </c>
      <c r="I689" t="s">
        <v>19</v>
      </c>
      <c r="J689">
        <v>8</v>
      </c>
      <c r="K689">
        <v>6</v>
      </c>
      <c r="L689">
        <v>7</v>
      </c>
      <c r="M689">
        <v>0</v>
      </c>
    </row>
    <row r="690" spans="1:13" x14ac:dyDescent="0.35">
      <c r="A690">
        <v>13</v>
      </c>
      <c r="B690" t="s">
        <v>13</v>
      </c>
      <c r="C690">
        <v>1.3</v>
      </c>
      <c r="D690" t="s">
        <v>17</v>
      </c>
      <c r="E690">
        <v>4.4000000000000004</v>
      </c>
      <c r="F690">
        <v>0.9</v>
      </c>
      <c r="G690">
        <v>2.99</v>
      </c>
      <c r="H690">
        <v>0</v>
      </c>
      <c r="I690" t="s">
        <v>18</v>
      </c>
      <c r="J690">
        <v>8</v>
      </c>
      <c r="K690">
        <v>2</v>
      </c>
      <c r="L690">
        <v>5</v>
      </c>
      <c r="M690">
        <v>0</v>
      </c>
    </row>
    <row r="691" spans="1:13" x14ac:dyDescent="0.35">
      <c r="A691">
        <v>13</v>
      </c>
      <c r="B691" t="s">
        <v>13</v>
      </c>
      <c r="C691">
        <v>3</v>
      </c>
      <c r="D691" t="s">
        <v>20</v>
      </c>
      <c r="E691">
        <v>6.2</v>
      </c>
      <c r="F691">
        <v>0.8</v>
      </c>
      <c r="G691">
        <v>3.96</v>
      </c>
      <c r="H691">
        <v>1.1000000000000001</v>
      </c>
      <c r="I691" t="s">
        <v>15</v>
      </c>
      <c r="J691">
        <v>9</v>
      </c>
      <c r="K691">
        <v>10</v>
      </c>
      <c r="L691">
        <v>3</v>
      </c>
      <c r="M691">
        <v>0</v>
      </c>
    </row>
    <row r="692" spans="1:13" x14ac:dyDescent="0.35">
      <c r="A692">
        <v>13</v>
      </c>
      <c r="B692" t="s">
        <v>13</v>
      </c>
      <c r="C692">
        <v>5.9</v>
      </c>
      <c r="D692" t="s">
        <v>14</v>
      </c>
      <c r="E692">
        <v>8.6</v>
      </c>
      <c r="F692">
        <v>1.9</v>
      </c>
      <c r="G692">
        <v>3.88</v>
      </c>
      <c r="H692">
        <v>0.2</v>
      </c>
      <c r="I692" t="s">
        <v>19</v>
      </c>
      <c r="J692">
        <v>1</v>
      </c>
      <c r="K692">
        <v>6</v>
      </c>
      <c r="L692">
        <v>9</v>
      </c>
      <c r="M692">
        <v>0</v>
      </c>
    </row>
    <row r="693" spans="1:13" x14ac:dyDescent="0.35">
      <c r="A693">
        <v>13</v>
      </c>
      <c r="B693" t="s">
        <v>13</v>
      </c>
      <c r="C693">
        <v>7.8</v>
      </c>
      <c r="D693" t="s">
        <v>17</v>
      </c>
      <c r="E693">
        <v>5.9</v>
      </c>
      <c r="F693">
        <v>1.5</v>
      </c>
      <c r="G693">
        <v>3.31</v>
      </c>
      <c r="H693">
        <v>1.9</v>
      </c>
      <c r="I693" t="s">
        <v>18</v>
      </c>
      <c r="J693">
        <v>10</v>
      </c>
      <c r="K693">
        <v>1</v>
      </c>
      <c r="L693">
        <v>10</v>
      </c>
      <c r="M693">
        <v>0</v>
      </c>
    </row>
    <row r="694" spans="1:13" x14ac:dyDescent="0.35">
      <c r="A694">
        <v>14</v>
      </c>
      <c r="B694" t="s">
        <v>13</v>
      </c>
      <c r="C694">
        <v>7.9</v>
      </c>
      <c r="D694" t="s">
        <v>14</v>
      </c>
      <c r="E694">
        <v>7.4</v>
      </c>
      <c r="F694">
        <v>2.9</v>
      </c>
      <c r="G694">
        <v>3.01</v>
      </c>
      <c r="H694">
        <v>1.5</v>
      </c>
      <c r="I694" t="s">
        <v>15</v>
      </c>
      <c r="J694">
        <v>2</v>
      </c>
      <c r="K694">
        <v>2</v>
      </c>
      <c r="L694">
        <v>1</v>
      </c>
      <c r="M694">
        <v>0</v>
      </c>
    </row>
    <row r="695" spans="1:13" x14ac:dyDescent="0.35">
      <c r="A695">
        <v>14</v>
      </c>
      <c r="B695" t="s">
        <v>13</v>
      </c>
      <c r="C695">
        <v>2.5</v>
      </c>
      <c r="D695" t="s">
        <v>17</v>
      </c>
      <c r="E695">
        <v>5.6</v>
      </c>
      <c r="F695">
        <v>2.9</v>
      </c>
      <c r="G695">
        <v>2.2400000000000002</v>
      </c>
      <c r="H695">
        <v>0.5</v>
      </c>
      <c r="I695" t="s">
        <v>15</v>
      </c>
      <c r="J695">
        <v>3</v>
      </c>
      <c r="K695">
        <v>9</v>
      </c>
      <c r="L695">
        <v>5</v>
      </c>
      <c r="M695">
        <v>0</v>
      </c>
    </row>
    <row r="696" spans="1:13" x14ac:dyDescent="0.35">
      <c r="A696">
        <v>14</v>
      </c>
      <c r="B696" t="s">
        <v>13</v>
      </c>
      <c r="C696">
        <v>4.0999999999999996</v>
      </c>
      <c r="D696" t="s">
        <v>17</v>
      </c>
      <c r="E696">
        <v>8</v>
      </c>
      <c r="F696">
        <v>3</v>
      </c>
      <c r="G696">
        <v>2.31</v>
      </c>
      <c r="H696">
        <v>0.8</v>
      </c>
      <c r="I696" t="s">
        <v>15</v>
      </c>
      <c r="J696">
        <v>8</v>
      </c>
      <c r="K696">
        <v>4</v>
      </c>
      <c r="L696">
        <v>1</v>
      </c>
      <c r="M696">
        <v>0</v>
      </c>
    </row>
    <row r="697" spans="1:13" x14ac:dyDescent="0.35">
      <c r="A697">
        <v>14</v>
      </c>
      <c r="B697" t="s">
        <v>13</v>
      </c>
      <c r="C697">
        <v>6.4</v>
      </c>
      <c r="D697" t="s">
        <v>14</v>
      </c>
      <c r="E697">
        <v>5.7</v>
      </c>
      <c r="F697">
        <v>0.9</v>
      </c>
      <c r="G697">
        <v>2.06</v>
      </c>
      <c r="H697">
        <v>1.8</v>
      </c>
      <c r="I697" t="s">
        <v>18</v>
      </c>
      <c r="J697">
        <v>10</v>
      </c>
      <c r="K697">
        <v>4</v>
      </c>
      <c r="L697">
        <v>2</v>
      </c>
      <c r="M697">
        <v>0</v>
      </c>
    </row>
    <row r="698" spans="1:13" x14ac:dyDescent="0.35">
      <c r="A698">
        <v>14</v>
      </c>
      <c r="B698" t="s">
        <v>13</v>
      </c>
      <c r="C698">
        <v>5.2</v>
      </c>
      <c r="D698" t="s">
        <v>20</v>
      </c>
      <c r="E698">
        <v>4.0999999999999996</v>
      </c>
      <c r="F698">
        <v>2.1</v>
      </c>
      <c r="G698">
        <v>3.07</v>
      </c>
      <c r="H698">
        <v>0.2</v>
      </c>
      <c r="I698" t="s">
        <v>19</v>
      </c>
      <c r="J698">
        <v>9</v>
      </c>
      <c r="K698">
        <v>3</v>
      </c>
      <c r="L698">
        <v>8</v>
      </c>
      <c r="M698">
        <v>0</v>
      </c>
    </row>
    <row r="699" spans="1:13" x14ac:dyDescent="0.35">
      <c r="A699">
        <v>14</v>
      </c>
      <c r="B699" t="s">
        <v>13</v>
      </c>
      <c r="C699">
        <v>1.2</v>
      </c>
      <c r="D699" t="s">
        <v>14</v>
      </c>
      <c r="E699">
        <v>8.5</v>
      </c>
      <c r="F699">
        <v>1.8</v>
      </c>
      <c r="G699">
        <v>3.65</v>
      </c>
      <c r="H699">
        <v>1.8</v>
      </c>
      <c r="I699" t="s">
        <v>18</v>
      </c>
      <c r="J699">
        <v>5</v>
      </c>
      <c r="K699">
        <v>10</v>
      </c>
      <c r="L699">
        <v>10</v>
      </c>
      <c r="M699">
        <v>0</v>
      </c>
    </row>
    <row r="700" spans="1:13" x14ac:dyDescent="0.35">
      <c r="A700">
        <v>14</v>
      </c>
      <c r="B700" t="s">
        <v>13</v>
      </c>
      <c r="C700">
        <v>5.2</v>
      </c>
      <c r="D700" t="s">
        <v>20</v>
      </c>
      <c r="E700">
        <v>6.7</v>
      </c>
      <c r="F700">
        <v>2</v>
      </c>
      <c r="G700">
        <v>3.48</v>
      </c>
      <c r="H700">
        <v>1</v>
      </c>
      <c r="I700" t="s">
        <v>19</v>
      </c>
      <c r="J700">
        <v>2</v>
      </c>
      <c r="K700">
        <v>1</v>
      </c>
      <c r="L700">
        <v>5</v>
      </c>
      <c r="M700">
        <v>0</v>
      </c>
    </row>
    <row r="701" spans="1:13" x14ac:dyDescent="0.35">
      <c r="A701">
        <v>14</v>
      </c>
      <c r="B701" t="s">
        <v>13</v>
      </c>
      <c r="C701">
        <v>2.7</v>
      </c>
      <c r="D701" t="s">
        <v>14</v>
      </c>
      <c r="E701">
        <v>8.4</v>
      </c>
      <c r="F701">
        <v>1.3</v>
      </c>
      <c r="G701">
        <v>2.0099999999999998</v>
      </c>
      <c r="H701">
        <v>0.6</v>
      </c>
      <c r="I701" t="s">
        <v>15</v>
      </c>
      <c r="J701">
        <v>6</v>
      </c>
      <c r="K701">
        <v>3</v>
      </c>
      <c r="L701">
        <v>8</v>
      </c>
      <c r="M701">
        <v>0</v>
      </c>
    </row>
    <row r="702" spans="1:13" x14ac:dyDescent="0.35">
      <c r="A702">
        <v>14</v>
      </c>
      <c r="B702" t="s">
        <v>13</v>
      </c>
      <c r="C702">
        <v>1.5</v>
      </c>
      <c r="D702" t="s">
        <v>20</v>
      </c>
      <c r="E702">
        <v>4.3</v>
      </c>
      <c r="F702">
        <v>2.1</v>
      </c>
      <c r="G702">
        <v>3.9</v>
      </c>
      <c r="H702">
        <v>1.5</v>
      </c>
      <c r="I702" t="s">
        <v>15</v>
      </c>
      <c r="J702">
        <v>10</v>
      </c>
      <c r="K702">
        <v>2</v>
      </c>
      <c r="L702">
        <v>4</v>
      </c>
      <c r="M702">
        <v>0</v>
      </c>
    </row>
    <row r="703" spans="1:13" x14ac:dyDescent="0.35">
      <c r="A703">
        <v>14</v>
      </c>
      <c r="B703" t="s">
        <v>13</v>
      </c>
      <c r="C703">
        <v>1.2</v>
      </c>
      <c r="D703" t="s">
        <v>20</v>
      </c>
      <c r="E703">
        <v>5.2</v>
      </c>
      <c r="F703">
        <v>2.2000000000000002</v>
      </c>
      <c r="G703">
        <v>2.19</v>
      </c>
      <c r="H703">
        <v>1.9</v>
      </c>
      <c r="I703" t="s">
        <v>19</v>
      </c>
      <c r="J703">
        <v>9</v>
      </c>
      <c r="K703">
        <v>9</v>
      </c>
      <c r="L703">
        <v>4</v>
      </c>
      <c r="M703">
        <v>0</v>
      </c>
    </row>
    <row r="704" spans="1:13" x14ac:dyDescent="0.35">
      <c r="A704">
        <v>14</v>
      </c>
      <c r="B704" t="s">
        <v>13</v>
      </c>
      <c r="C704">
        <v>2.2999999999999998</v>
      </c>
      <c r="D704" t="s">
        <v>17</v>
      </c>
      <c r="E704">
        <v>8</v>
      </c>
      <c r="F704">
        <v>2.5</v>
      </c>
      <c r="G704">
        <v>3.08</v>
      </c>
      <c r="H704">
        <v>1.7</v>
      </c>
      <c r="I704" t="s">
        <v>19</v>
      </c>
      <c r="J704">
        <v>5</v>
      </c>
      <c r="K704">
        <v>6</v>
      </c>
      <c r="L704">
        <v>7</v>
      </c>
      <c r="M704">
        <v>0</v>
      </c>
    </row>
    <row r="705" spans="1:13" x14ac:dyDescent="0.35">
      <c r="A705">
        <v>14</v>
      </c>
      <c r="B705" t="s">
        <v>13</v>
      </c>
      <c r="C705">
        <v>2.1</v>
      </c>
      <c r="D705" t="s">
        <v>14</v>
      </c>
      <c r="E705">
        <v>8.5</v>
      </c>
      <c r="F705">
        <v>1.1000000000000001</v>
      </c>
      <c r="G705">
        <v>3.03</v>
      </c>
      <c r="H705">
        <v>1.6</v>
      </c>
      <c r="I705" t="s">
        <v>19</v>
      </c>
      <c r="J705">
        <v>5</v>
      </c>
      <c r="K705">
        <v>6</v>
      </c>
      <c r="L705">
        <v>7</v>
      </c>
      <c r="M705">
        <v>0</v>
      </c>
    </row>
    <row r="706" spans="1:13" x14ac:dyDescent="0.35">
      <c r="A706">
        <v>14</v>
      </c>
      <c r="B706" t="s">
        <v>13</v>
      </c>
      <c r="C706">
        <v>2.1</v>
      </c>
      <c r="D706" t="s">
        <v>17</v>
      </c>
      <c r="E706">
        <v>5</v>
      </c>
      <c r="F706">
        <v>1.4</v>
      </c>
      <c r="G706">
        <v>2.96</v>
      </c>
      <c r="H706">
        <v>1.1000000000000001</v>
      </c>
      <c r="I706" t="s">
        <v>15</v>
      </c>
      <c r="J706">
        <v>7</v>
      </c>
      <c r="K706">
        <v>1</v>
      </c>
      <c r="L706">
        <v>9</v>
      </c>
      <c r="M706">
        <v>0</v>
      </c>
    </row>
    <row r="707" spans="1:13" x14ac:dyDescent="0.35">
      <c r="A707">
        <v>14</v>
      </c>
      <c r="B707" t="s">
        <v>13</v>
      </c>
      <c r="C707">
        <v>2.5</v>
      </c>
      <c r="D707" t="s">
        <v>20</v>
      </c>
      <c r="E707">
        <v>5.3</v>
      </c>
      <c r="F707">
        <v>2.4</v>
      </c>
      <c r="G707">
        <v>3.87</v>
      </c>
      <c r="H707">
        <v>1.3</v>
      </c>
      <c r="I707" t="s">
        <v>18</v>
      </c>
      <c r="J707">
        <v>10</v>
      </c>
      <c r="K707">
        <v>9</v>
      </c>
      <c r="L707">
        <v>6</v>
      </c>
      <c r="M707">
        <v>0</v>
      </c>
    </row>
    <row r="708" spans="1:13" x14ac:dyDescent="0.35">
      <c r="A708">
        <v>14</v>
      </c>
      <c r="B708" t="s">
        <v>13</v>
      </c>
      <c r="C708">
        <v>3.2</v>
      </c>
      <c r="D708" t="s">
        <v>17</v>
      </c>
      <c r="E708">
        <v>8</v>
      </c>
      <c r="F708">
        <v>1.3</v>
      </c>
      <c r="G708">
        <v>2.5</v>
      </c>
      <c r="H708">
        <v>1.1000000000000001</v>
      </c>
      <c r="I708" t="s">
        <v>18</v>
      </c>
      <c r="J708">
        <v>2</v>
      </c>
      <c r="K708">
        <v>7</v>
      </c>
      <c r="L708">
        <v>5</v>
      </c>
      <c r="M708">
        <v>0</v>
      </c>
    </row>
    <row r="709" spans="1:13" x14ac:dyDescent="0.35">
      <c r="A709">
        <v>14</v>
      </c>
      <c r="B709" t="s">
        <v>13</v>
      </c>
      <c r="C709">
        <v>5.4</v>
      </c>
      <c r="D709" t="s">
        <v>14</v>
      </c>
      <c r="E709">
        <v>5.6</v>
      </c>
      <c r="F709">
        <v>1.8</v>
      </c>
      <c r="G709">
        <v>3.01</v>
      </c>
      <c r="H709">
        <v>0.9</v>
      </c>
      <c r="I709" t="s">
        <v>15</v>
      </c>
      <c r="J709">
        <v>10</v>
      </c>
      <c r="K709">
        <v>6</v>
      </c>
      <c r="L709">
        <v>8</v>
      </c>
      <c r="M709">
        <v>0</v>
      </c>
    </row>
    <row r="710" spans="1:13" x14ac:dyDescent="0.35">
      <c r="A710">
        <v>14</v>
      </c>
      <c r="B710" t="s">
        <v>13</v>
      </c>
      <c r="C710">
        <v>5.8</v>
      </c>
      <c r="D710" t="s">
        <v>20</v>
      </c>
      <c r="E710">
        <v>6.9</v>
      </c>
      <c r="F710">
        <v>0.7</v>
      </c>
      <c r="G710">
        <v>3.01</v>
      </c>
      <c r="H710">
        <v>1.9</v>
      </c>
      <c r="I710" t="s">
        <v>18</v>
      </c>
      <c r="J710">
        <v>9</v>
      </c>
      <c r="K710">
        <v>9</v>
      </c>
      <c r="L710">
        <v>4</v>
      </c>
      <c r="M710">
        <v>0</v>
      </c>
    </row>
    <row r="711" spans="1:13" x14ac:dyDescent="0.35">
      <c r="A711">
        <v>14</v>
      </c>
      <c r="B711" t="s">
        <v>13</v>
      </c>
      <c r="C711">
        <v>1.3</v>
      </c>
      <c r="D711" t="s">
        <v>14</v>
      </c>
      <c r="E711">
        <v>8.5</v>
      </c>
      <c r="F711">
        <v>0.9</v>
      </c>
      <c r="G711">
        <v>3.71</v>
      </c>
      <c r="H711">
        <v>0.7</v>
      </c>
      <c r="I711" t="s">
        <v>18</v>
      </c>
      <c r="J711">
        <v>3</v>
      </c>
      <c r="K711">
        <v>3</v>
      </c>
      <c r="L711">
        <v>6</v>
      </c>
      <c r="M711">
        <v>0</v>
      </c>
    </row>
    <row r="712" spans="1:13" x14ac:dyDescent="0.35">
      <c r="A712">
        <v>14</v>
      </c>
      <c r="B712" t="s">
        <v>13</v>
      </c>
      <c r="C712">
        <v>3.8</v>
      </c>
      <c r="D712" t="s">
        <v>14</v>
      </c>
      <c r="E712">
        <v>5.3</v>
      </c>
      <c r="F712">
        <v>1</v>
      </c>
      <c r="G712">
        <v>2.2799999999999998</v>
      </c>
      <c r="H712">
        <v>1.2</v>
      </c>
      <c r="I712" t="s">
        <v>15</v>
      </c>
      <c r="J712">
        <v>9</v>
      </c>
      <c r="K712">
        <v>3</v>
      </c>
      <c r="L712">
        <v>1</v>
      </c>
      <c r="M712">
        <v>0</v>
      </c>
    </row>
    <row r="713" spans="1:13" x14ac:dyDescent="0.35">
      <c r="A713">
        <v>14</v>
      </c>
      <c r="B713" t="s">
        <v>13</v>
      </c>
      <c r="C713">
        <v>1.5</v>
      </c>
      <c r="D713" t="s">
        <v>20</v>
      </c>
      <c r="E713">
        <v>7.2</v>
      </c>
      <c r="F713">
        <v>1.7</v>
      </c>
      <c r="G713">
        <v>2.76</v>
      </c>
      <c r="H713">
        <v>0</v>
      </c>
      <c r="I713" t="s">
        <v>15</v>
      </c>
      <c r="J713">
        <v>10</v>
      </c>
      <c r="K713">
        <v>7</v>
      </c>
      <c r="L713">
        <v>10</v>
      </c>
      <c r="M713">
        <v>0</v>
      </c>
    </row>
    <row r="714" spans="1:13" x14ac:dyDescent="0.35">
      <c r="A714">
        <v>14</v>
      </c>
      <c r="B714" t="s">
        <v>13</v>
      </c>
      <c r="C714">
        <v>6.5</v>
      </c>
      <c r="D714" t="s">
        <v>14</v>
      </c>
      <c r="E714">
        <v>5.3</v>
      </c>
      <c r="F714">
        <v>2.7</v>
      </c>
      <c r="G714">
        <v>3.79</v>
      </c>
      <c r="H714">
        <v>0.8</v>
      </c>
      <c r="I714" t="s">
        <v>15</v>
      </c>
      <c r="J714">
        <v>8</v>
      </c>
      <c r="K714">
        <v>6</v>
      </c>
      <c r="L714">
        <v>4</v>
      </c>
      <c r="M714">
        <v>0</v>
      </c>
    </row>
    <row r="715" spans="1:13" x14ac:dyDescent="0.35">
      <c r="A715">
        <v>14</v>
      </c>
      <c r="B715" t="s">
        <v>13</v>
      </c>
      <c r="C715">
        <v>7.2</v>
      </c>
      <c r="D715" t="s">
        <v>17</v>
      </c>
      <c r="E715">
        <v>4.8</v>
      </c>
      <c r="F715">
        <v>1.4</v>
      </c>
      <c r="G715">
        <v>2.36</v>
      </c>
      <c r="H715">
        <v>0.1</v>
      </c>
      <c r="I715" t="s">
        <v>15</v>
      </c>
      <c r="J715">
        <v>5</v>
      </c>
      <c r="K715">
        <v>7</v>
      </c>
      <c r="L715">
        <v>1</v>
      </c>
      <c r="M715">
        <v>0</v>
      </c>
    </row>
    <row r="716" spans="1:13" x14ac:dyDescent="0.35">
      <c r="A716">
        <v>14</v>
      </c>
      <c r="B716" t="s">
        <v>13</v>
      </c>
      <c r="C716">
        <v>3.8</v>
      </c>
      <c r="D716" t="s">
        <v>14</v>
      </c>
      <c r="E716">
        <v>4.8</v>
      </c>
      <c r="F716">
        <v>1.9</v>
      </c>
      <c r="G716">
        <v>3.97</v>
      </c>
      <c r="H716">
        <v>0.2</v>
      </c>
      <c r="I716" t="s">
        <v>18</v>
      </c>
      <c r="J716">
        <v>4</v>
      </c>
      <c r="K716">
        <v>6</v>
      </c>
      <c r="L716">
        <v>6</v>
      </c>
      <c r="M716">
        <v>0</v>
      </c>
    </row>
    <row r="717" spans="1:13" x14ac:dyDescent="0.35">
      <c r="A717">
        <v>14</v>
      </c>
      <c r="B717" t="s">
        <v>13</v>
      </c>
      <c r="C717">
        <v>5.4</v>
      </c>
      <c r="D717" t="s">
        <v>20</v>
      </c>
      <c r="E717">
        <v>8.1</v>
      </c>
      <c r="F717">
        <v>1.8</v>
      </c>
      <c r="G717">
        <v>2.5299999999999998</v>
      </c>
      <c r="H717">
        <v>0.9</v>
      </c>
      <c r="I717" t="s">
        <v>19</v>
      </c>
      <c r="J717">
        <v>5</v>
      </c>
      <c r="K717">
        <v>8</v>
      </c>
      <c r="L717">
        <v>8</v>
      </c>
      <c r="M717">
        <v>0</v>
      </c>
    </row>
    <row r="718" spans="1:13" x14ac:dyDescent="0.35">
      <c r="A718">
        <v>14</v>
      </c>
      <c r="B718" t="s">
        <v>13</v>
      </c>
      <c r="C718">
        <v>1.4</v>
      </c>
      <c r="D718" t="s">
        <v>20</v>
      </c>
      <c r="E718">
        <v>7</v>
      </c>
      <c r="F718">
        <v>1.8</v>
      </c>
      <c r="G718">
        <v>2.69</v>
      </c>
      <c r="H718">
        <v>0.9</v>
      </c>
      <c r="I718" t="s">
        <v>15</v>
      </c>
      <c r="J718">
        <v>10</v>
      </c>
      <c r="K718">
        <v>4</v>
      </c>
      <c r="L718">
        <v>2</v>
      </c>
      <c r="M718">
        <v>0</v>
      </c>
    </row>
    <row r="719" spans="1:13" x14ac:dyDescent="0.35">
      <c r="A719">
        <v>14</v>
      </c>
      <c r="B719" t="s">
        <v>13</v>
      </c>
      <c r="C719">
        <v>5</v>
      </c>
      <c r="D719" t="s">
        <v>20</v>
      </c>
      <c r="E719">
        <v>4.3</v>
      </c>
      <c r="F719">
        <v>1.1000000000000001</v>
      </c>
      <c r="G719">
        <v>3.8</v>
      </c>
      <c r="H719">
        <v>0.4</v>
      </c>
      <c r="I719" t="s">
        <v>19</v>
      </c>
      <c r="J719">
        <v>9</v>
      </c>
      <c r="K719">
        <v>4</v>
      </c>
      <c r="L719">
        <v>10</v>
      </c>
      <c r="M719">
        <v>0</v>
      </c>
    </row>
    <row r="720" spans="1:13" x14ac:dyDescent="0.35">
      <c r="A720">
        <v>14</v>
      </c>
      <c r="B720" t="s">
        <v>13</v>
      </c>
      <c r="C720">
        <v>5.5</v>
      </c>
      <c r="D720" t="s">
        <v>17</v>
      </c>
      <c r="E720">
        <v>7.3</v>
      </c>
      <c r="F720">
        <v>1.4</v>
      </c>
      <c r="G720">
        <v>2.61</v>
      </c>
      <c r="H720">
        <v>1.2</v>
      </c>
      <c r="I720" t="s">
        <v>18</v>
      </c>
      <c r="J720">
        <v>5</v>
      </c>
      <c r="K720">
        <v>7</v>
      </c>
      <c r="L720">
        <v>1</v>
      </c>
      <c r="M720">
        <v>0</v>
      </c>
    </row>
    <row r="721" spans="1:13" x14ac:dyDescent="0.35">
      <c r="A721">
        <v>14</v>
      </c>
      <c r="B721" t="s">
        <v>13</v>
      </c>
      <c r="C721">
        <v>2.8</v>
      </c>
      <c r="D721" t="s">
        <v>14</v>
      </c>
      <c r="E721">
        <v>5</v>
      </c>
      <c r="F721">
        <v>2.5</v>
      </c>
      <c r="G721">
        <v>3.92</v>
      </c>
      <c r="H721">
        <v>1.8</v>
      </c>
      <c r="I721" t="s">
        <v>18</v>
      </c>
      <c r="J721">
        <v>1</v>
      </c>
      <c r="K721">
        <v>3</v>
      </c>
      <c r="L721">
        <v>4</v>
      </c>
      <c r="M721">
        <v>0</v>
      </c>
    </row>
    <row r="722" spans="1:13" x14ac:dyDescent="0.35">
      <c r="A722">
        <v>14</v>
      </c>
      <c r="B722" t="s">
        <v>13</v>
      </c>
      <c r="C722">
        <v>7</v>
      </c>
      <c r="D722" t="s">
        <v>17</v>
      </c>
      <c r="E722">
        <v>6.9</v>
      </c>
      <c r="F722">
        <v>1</v>
      </c>
      <c r="G722">
        <v>3.93</v>
      </c>
      <c r="H722">
        <v>1.1000000000000001</v>
      </c>
      <c r="I722" t="s">
        <v>18</v>
      </c>
      <c r="J722">
        <v>9</v>
      </c>
      <c r="K722">
        <v>3</v>
      </c>
      <c r="L722">
        <v>7</v>
      </c>
      <c r="M722">
        <v>0</v>
      </c>
    </row>
    <row r="723" spans="1:13" x14ac:dyDescent="0.35">
      <c r="A723">
        <v>14</v>
      </c>
      <c r="B723" t="s">
        <v>13</v>
      </c>
      <c r="C723">
        <v>4.0999999999999996</v>
      </c>
      <c r="D723" t="s">
        <v>17</v>
      </c>
      <c r="E723">
        <v>5.0999999999999996</v>
      </c>
      <c r="F723">
        <v>2</v>
      </c>
      <c r="G723">
        <v>3.51</v>
      </c>
      <c r="H723">
        <v>0.7</v>
      </c>
      <c r="I723" t="s">
        <v>18</v>
      </c>
      <c r="J723">
        <v>2</v>
      </c>
      <c r="K723">
        <v>9</v>
      </c>
      <c r="L723">
        <v>1</v>
      </c>
      <c r="M723">
        <v>0</v>
      </c>
    </row>
    <row r="724" spans="1:13" x14ac:dyDescent="0.35">
      <c r="A724">
        <v>14</v>
      </c>
      <c r="B724" t="s">
        <v>13</v>
      </c>
      <c r="C724">
        <v>5.3</v>
      </c>
      <c r="D724" t="s">
        <v>20</v>
      </c>
      <c r="E724">
        <v>9</v>
      </c>
      <c r="F724">
        <v>2.8</v>
      </c>
      <c r="G724">
        <v>3.1</v>
      </c>
      <c r="H724">
        <v>1.6</v>
      </c>
      <c r="I724" t="s">
        <v>18</v>
      </c>
      <c r="J724">
        <v>10</v>
      </c>
      <c r="K724">
        <v>7</v>
      </c>
      <c r="L724">
        <v>6</v>
      </c>
      <c r="M724">
        <v>0</v>
      </c>
    </row>
    <row r="725" spans="1:13" x14ac:dyDescent="0.35">
      <c r="A725">
        <v>14</v>
      </c>
      <c r="B725" t="s">
        <v>13</v>
      </c>
      <c r="C725">
        <v>4.3</v>
      </c>
      <c r="D725" t="s">
        <v>14</v>
      </c>
      <c r="E725">
        <v>8.4</v>
      </c>
      <c r="F725">
        <v>0.9</v>
      </c>
      <c r="G725">
        <v>3.2</v>
      </c>
      <c r="H725">
        <v>1.6</v>
      </c>
      <c r="I725" t="s">
        <v>18</v>
      </c>
      <c r="J725">
        <v>10</v>
      </c>
      <c r="K725">
        <v>10</v>
      </c>
      <c r="L725">
        <v>1</v>
      </c>
      <c r="M725">
        <v>0</v>
      </c>
    </row>
    <row r="726" spans="1:13" x14ac:dyDescent="0.35">
      <c r="A726">
        <v>14</v>
      </c>
      <c r="B726" t="s">
        <v>13</v>
      </c>
      <c r="C726">
        <v>6.1</v>
      </c>
      <c r="D726" t="s">
        <v>20</v>
      </c>
      <c r="E726">
        <v>7.6</v>
      </c>
      <c r="F726">
        <v>1.4</v>
      </c>
      <c r="G726">
        <v>2.72</v>
      </c>
      <c r="H726">
        <v>0.9</v>
      </c>
      <c r="I726" t="s">
        <v>15</v>
      </c>
      <c r="J726">
        <v>9</v>
      </c>
      <c r="K726">
        <v>3</v>
      </c>
      <c r="L726">
        <v>3</v>
      </c>
      <c r="M726">
        <v>0</v>
      </c>
    </row>
    <row r="727" spans="1:13" x14ac:dyDescent="0.35">
      <c r="A727">
        <v>14</v>
      </c>
      <c r="B727" t="s">
        <v>13</v>
      </c>
      <c r="C727">
        <v>3.8</v>
      </c>
      <c r="D727" t="s">
        <v>14</v>
      </c>
      <c r="E727">
        <v>8.9</v>
      </c>
      <c r="F727">
        <v>1.9</v>
      </c>
      <c r="G727">
        <v>2.77</v>
      </c>
      <c r="H727">
        <v>0.2</v>
      </c>
      <c r="I727" t="s">
        <v>19</v>
      </c>
      <c r="J727">
        <v>6</v>
      </c>
      <c r="K727">
        <v>2</v>
      </c>
      <c r="L727">
        <v>2</v>
      </c>
      <c r="M727">
        <v>0</v>
      </c>
    </row>
    <row r="728" spans="1:13" x14ac:dyDescent="0.35">
      <c r="A728">
        <v>14</v>
      </c>
      <c r="B728" t="s">
        <v>13</v>
      </c>
      <c r="C728">
        <v>5.6</v>
      </c>
      <c r="D728" t="s">
        <v>14</v>
      </c>
      <c r="E728">
        <v>8.8000000000000007</v>
      </c>
      <c r="F728">
        <v>0.9</v>
      </c>
      <c r="G728">
        <v>3.03</v>
      </c>
      <c r="H728">
        <v>2</v>
      </c>
      <c r="I728" t="s">
        <v>15</v>
      </c>
      <c r="J728">
        <v>8</v>
      </c>
      <c r="K728">
        <v>10</v>
      </c>
      <c r="L728">
        <v>3</v>
      </c>
      <c r="M728">
        <v>0</v>
      </c>
    </row>
    <row r="729" spans="1:13" x14ac:dyDescent="0.35">
      <c r="A729">
        <v>14</v>
      </c>
      <c r="B729" t="s">
        <v>13</v>
      </c>
      <c r="C729">
        <v>4.0999999999999996</v>
      </c>
      <c r="D729" t="s">
        <v>14</v>
      </c>
      <c r="E729">
        <v>8.1999999999999993</v>
      </c>
      <c r="F729">
        <v>1.7</v>
      </c>
      <c r="G729">
        <v>2.3199999999999998</v>
      </c>
      <c r="H729">
        <v>1.4</v>
      </c>
      <c r="I729" t="s">
        <v>18</v>
      </c>
      <c r="J729">
        <v>9</v>
      </c>
      <c r="K729">
        <v>2</v>
      </c>
      <c r="L729">
        <v>4</v>
      </c>
      <c r="M729">
        <v>0</v>
      </c>
    </row>
    <row r="730" spans="1:13" x14ac:dyDescent="0.35">
      <c r="A730">
        <v>14</v>
      </c>
      <c r="B730" t="s">
        <v>13</v>
      </c>
      <c r="C730">
        <v>3.3</v>
      </c>
      <c r="D730" t="s">
        <v>14</v>
      </c>
      <c r="E730">
        <v>6.5</v>
      </c>
      <c r="F730">
        <v>0.8</v>
      </c>
      <c r="G730">
        <v>2.54</v>
      </c>
      <c r="H730">
        <v>0.8</v>
      </c>
      <c r="I730" t="s">
        <v>15</v>
      </c>
      <c r="J730">
        <v>1</v>
      </c>
      <c r="K730">
        <v>2</v>
      </c>
      <c r="L730">
        <v>3</v>
      </c>
      <c r="M730">
        <v>0</v>
      </c>
    </row>
    <row r="731" spans="1:13" x14ac:dyDescent="0.35">
      <c r="A731">
        <v>14</v>
      </c>
      <c r="B731" t="s">
        <v>13</v>
      </c>
      <c r="C731">
        <v>1.4</v>
      </c>
      <c r="D731" t="s">
        <v>20</v>
      </c>
      <c r="E731">
        <v>4.5</v>
      </c>
      <c r="F731">
        <v>1.4</v>
      </c>
      <c r="G731">
        <v>3.17</v>
      </c>
      <c r="H731">
        <v>1.7</v>
      </c>
      <c r="I731" t="s">
        <v>18</v>
      </c>
      <c r="J731">
        <v>9</v>
      </c>
      <c r="K731">
        <v>10</v>
      </c>
      <c r="L731">
        <v>9</v>
      </c>
      <c r="M731">
        <v>0</v>
      </c>
    </row>
    <row r="732" spans="1:13" x14ac:dyDescent="0.35">
      <c r="A732">
        <v>14</v>
      </c>
      <c r="B732" t="s">
        <v>13</v>
      </c>
      <c r="C732">
        <v>2.7</v>
      </c>
      <c r="D732" t="s">
        <v>20</v>
      </c>
      <c r="E732">
        <v>6.3</v>
      </c>
      <c r="F732">
        <v>0.6</v>
      </c>
      <c r="G732">
        <v>3.88</v>
      </c>
      <c r="H732">
        <v>0.3</v>
      </c>
      <c r="I732" t="s">
        <v>19</v>
      </c>
      <c r="J732">
        <v>6</v>
      </c>
      <c r="K732">
        <v>6</v>
      </c>
      <c r="L732">
        <v>6</v>
      </c>
      <c r="M732">
        <v>0</v>
      </c>
    </row>
    <row r="733" spans="1:13" x14ac:dyDescent="0.35">
      <c r="A733">
        <v>14</v>
      </c>
      <c r="B733" t="s">
        <v>13</v>
      </c>
      <c r="C733">
        <v>3.9</v>
      </c>
      <c r="D733" t="s">
        <v>14</v>
      </c>
      <c r="E733">
        <v>7.7</v>
      </c>
      <c r="F733">
        <v>1.4</v>
      </c>
      <c r="G733">
        <v>2.86</v>
      </c>
      <c r="H733">
        <v>1.7</v>
      </c>
      <c r="I733" t="s">
        <v>18</v>
      </c>
      <c r="J733">
        <v>3</v>
      </c>
      <c r="K733">
        <v>5</v>
      </c>
      <c r="L733">
        <v>1</v>
      </c>
      <c r="M733">
        <v>0</v>
      </c>
    </row>
    <row r="734" spans="1:13" x14ac:dyDescent="0.35">
      <c r="A734">
        <v>14</v>
      </c>
      <c r="B734" t="s">
        <v>13</v>
      </c>
      <c r="C734">
        <v>5.5</v>
      </c>
      <c r="D734" t="s">
        <v>17</v>
      </c>
      <c r="E734">
        <v>7.4</v>
      </c>
      <c r="F734">
        <v>2.9</v>
      </c>
      <c r="G734">
        <v>3.54</v>
      </c>
      <c r="H734">
        <v>1.1000000000000001</v>
      </c>
      <c r="I734" t="s">
        <v>18</v>
      </c>
      <c r="J734">
        <v>8</v>
      </c>
      <c r="K734">
        <v>4</v>
      </c>
      <c r="L734">
        <v>10</v>
      </c>
      <c r="M734">
        <v>0</v>
      </c>
    </row>
    <row r="735" spans="1:13" x14ac:dyDescent="0.35">
      <c r="A735">
        <v>14</v>
      </c>
      <c r="B735" t="s">
        <v>13</v>
      </c>
      <c r="C735">
        <v>3.1</v>
      </c>
      <c r="D735" t="s">
        <v>17</v>
      </c>
      <c r="E735">
        <v>8.8000000000000007</v>
      </c>
      <c r="F735">
        <v>1.5</v>
      </c>
      <c r="G735">
        <v>3.91</v>
      </c>
      <c r="H735">
        <v>0.6</v>
      </c>
      <c r="I735" t="s">
        <v>19</v>
      </c>
      <c r="J735">
        <v>4</v>
      </c>
      <c r="K735">
        <v>9</v>
      </c>
      <c r="L735">
        <v>6</v>
      </c>
      <c r="M735">
        <v>0</v>
      </c>
    </row>
    <row r="736" spans="1:13" x14ac:dyDescent="0.35">
      <c r="A736">
        <v>14</v>
      </c>
      <c r="B736" t="s">
        <v>13</v>
      </c>
      <c r="C736">
        <v>3.8</v>
      </c>
      <c r="D736" t="s">
        <v>20</v>
      </c>
      <c r="E736">
        <v>7.5</v>
      </c>
      <c r="F736">
        <v>0.5</v>
      </c>
      <c r="G736">
        <v>2.1800000000000002</v>
      </c>
      <c r="H736">
        <v>1</v>
      </c>
      <c r="I736" t="s">
        <v>19</v>
      </c>
      <c r="J736">
        <v>5</v>
      </c>
      <c r="K736">
        <v>2</v>
      </c>
      <c r="L736">
        <v>2</v>
      </c>
      <c r="M736">
        <v>0</v>
      </c>
    </row>
    <row r="737" spans="1:13" x14ac:dyDescent="0.35">
      <c r="A737">
        <v>14</v>
      </c>
      <c r="B737" t="s">
        <v>13</v>
      </c>
      <c r="C737">
        <v>5.6</v>
      </c>
      <c r="D737" t="s">
        <v>14</v>
      </c>
      <c r="E737">
        <v>7</v>
      </c>
      <c r="F737">
        <v>1.9</v>
      </c>
      <c r="G737">
        <v>2.58</v>
      </c>
      <c r="H737">
        <v>0.4</v>
      </c>
      <c r="I737" t="s">
        <v>15</v>
      </c>
      <c r="J737">
        <v>5</v>
      </c>
      <c r="K737">
        <v>7</v>
      </c>
      <c r="L737">
        <v>3</v>
      </c>
      <c r="M737">
        <v>0</v>
      </c>
    </row>
    <row r="738" spans="1:13" x14ac:dyDescent="0.35">
      <c r="A738">
        <v>14</v>
      </c>
      <c r="B738" t="s">
        <v>13</v>
      </c>
      <c r="C738">
        <v>4.2</v>
      </c>
      <c r="D738" t="s">
        <v>20</v>
      </c>
      <c r="E738">
        <v>7</v>
      </c>
      <c r="F738">
        <v>1.1000000000000001</v>
      </c>
      <c r="G738">
        <v>2.12</v>
      </c>
      <c r="H738">
        <v>0.9</v>
      </c>
      <c r="I738" t="s">
        <v>18</v>
      </c>
      <c r="J738">
        <v>4</v>
      </c>
      <c r="K738">
        <v>8</v>
      </c>
      <c r="L738">
        <v>1</v>
      </c>
      <c r="M738">
        <v>0</v>
      </c>
    </row>
    <row r="739" spans="1:13" x14ac:dyDescent="0.35">
      <c r="A739">
        <v>14</v>
      </c>
      <c r="B739" t="s">
        <v>13</v>
      </c>
      <c r="C739">
        <v>4.7</v>
      </c>
      <c r="D739" t="s">
        <v>17</v>
      </c>
      <c r="E739">
        <v>7.9</v>
      </c>
      <c r="F739">
        <v>2.9</v>
      </c>
      <c r="G739">
        <v>2.54</v>
      </c>
      <c r="H739">
        <v>0.7</v>
      </c>
      <c r="I739" t="s">
        <v>18</v>
      </c>
      <c r="J739">
        <v>5</v>
      </c>
      <c r="K739">
        <v>8</v>
      </c>
      <c r="L739">
        <v>7</v>
      </c>
      <c r="M739">
        <v>0</v>
      </c>
    </row>
    <row r="740" spans="1:13" x14ac:dyDescent="0.35">
      <c r="A740">
        <v>14</v>
      </c>
      <c r="B740" t="s">
        <v>13</v>
      </c>
      <c r="C740">
        <v>5.8</v>
      </c>
      <c r="D740" t="s">
        <v>14</v>
      </c>
      <c r="E740">
        <v>5.0999999999999996</v>
      </c>
      <c r="F740">
        <v>2.6</v>
      </c>
      <c r="G740">
        <v>2.06</v>
      </c>
      <c r="H740">
        <v>1.5</v>
      </c>
      <c r="I740" t="s">
        <v>19</v>
      </c>
      <c r="J740">
        <v>7</v>
      </c>
      <c r="K740">
        <v>5</v>
      </c>
      <c r="L740">
        <v>2</v>
      </c>
      <c r="M740">
        <v>0</v>
      </c>
    </row>
    <row r="741" spans="1:13" x14ac:dyDescent="0.35">
      <c r="A741">
        <v>14</v>
      </c>
      <c r="B741" t="s">
        <v>13</v>
      </c>
      <c r="C741">
        <v>3.6</v>
      </c>
      <c r="D741" t="s">
        <v>17</v>
      </c>
      <c r="E741">
        <v>4</v>
      </c>
      <c r="F741">
        <v>1.4</v>
      </c>
      <c r="G741">
        <v>3.83</v>
      </c>
      <c r="H741">
        <v>0.5</v>
      </c>
      <c r="I741" t="s">
        <v>19</v>
      </c>
      <c r="J741">
        <v>1</v>
      </c>
      <c r="K741">
        <v>5</v>
      </c>
      <c r="L741">
        <v>2</v>
      </c>
      <c r="M741">
        <v>0</v>
      </c>
    </row>
    <row r="742" spans="1:13" x14ac:dyDescent="0.35">
      <c r="A742">
        <v>14</v>
      </c>
      <c r="B742" t="s">
        <v>13</v>
      </c>
      <c r="C742">
        <v>2.9</v>
      </c>
      <c r="D742" t="s">
        <v>14</v>
      </c>
      <c r="E742">
        <v>7.2</v>
      </c>
      <c r="F742">
        <v>2</v>
      </c>
      <c r="G742">
        <v>3.96</v>
      </c>
      <c r="H742">
        <v>1.5</v>
      </c>
      <c r="I742" t="s">
        <v>19</v>
      </c>
      <c r="J742">
        <v>9</v>
      </c>
      <c r="K742">
        <v>10</v>
      </c>
      <c r="L742">
        <v>4</v>
      </c>
      <c r="M742">
        <v>0</v>
      </c>
    </row>
    <row r="743" spans="1:13" x14ac:dyDescent="0.35">
      <c r="A743">
        <v>14</v>
      </c>
      <c r="B743" t="s">
        <v>13</v>
      </c>
      <c r="C743">
        <v>1.8</v>
      </c>
      <c r="D743" t="s">
        <v>20</v>
      </c>
      <c r="E743">
        <v>5.0999999999999996</v>
      </c>
      <c r="F743">
        <v>2.7</v>
      </c>
      <c r="G743">
        <v>3.47</v>
      </c>
      <c r="H743">
        <v>0.2</v>
      </c>
      <c r="I743" t="s">
        <v>15</v>
      </c>
      <c r="J743">
        <v>8</v>
      </c>
      <c r="K743">
        <v>4</v>
      </c>
      <c r="L743">
        <v>6</v>
      </c>
      <c r="M743">
        <v>0</v>
      </c>
    </row>
    <row r="744" spans="1:13" x14ac:dyDescent="0.35">
      <c r="A744">
        <v>14</v>
      </c>
      <c r="B744" t="s">
        <v>13</v>
      </c>
      <c r="C744">
        <v>6.4</v>
      </c>
      <c r="D744" t="s">
        <v>14</v>
      </c>
      <c r="E744">
        <v>5.6</v>
      </c>
      <c r="F744">
        <v>0.8</v>
      </c>
      <c r="G744">
        <v>4</v>
      </c>
      <c r="H744">
        <v>1.9</v>
      </c>
      <c r="I744" t="s">
        <v>19</v>
      </c>
      <c r="J744">
        <v>5</v>
      </c>
      <c r="K744">
        <v>1</v>
      </c>
      <c r="L744">
        <v>3</v>
      </c>
      <c r="M744">
        <v>0</v>
      </c>
    </row>
    <row r="745" spans="1:13" x14ac:dyDescent="0.35">
      <c r="A745">
        <v>14</v>
      </c>
      <c r="B745" t="s">
        <v>13</v>
      </c>
      <c r="C745">
        <v>3.4</v>
      </c>
      <c r="D745" t="s">
        <v>14</v>
      </c>
      <c r="E745">
        <v>4.5999999999999996</v>
      </c>
      <c r="F745">
        <v>2</v>
      </c>
      <c r="G745">
        <v>2.27</v>
      </c>
      <c r="H745">
        <v>1.9</v>
      </c>
      <c r="I745" t="s">
        <v>18</v>
      </c>
      <c r="J745">
        <v>7</v>
      </c>
      <c r="K745">
        <v>10</v>
      </c>
      <c r="L745">
        <v>6</v>
      </c>
      <c r="M745">
        <v>0</v>
      </c>
    </row>
    <row r="746" spans="1:13" x14ac:dyDescent="0.35">
      <c r="A746">
        <v>14</v>
      </c>
      <c r="B746" t="s">
        <v>13</v>
      </c>
      <c r="C746">
        <v>7.9</v>
      </c>
      <c r="D746" t="s">
        <v>14</v>
      </c>
      <c r="E746">
        <v>5.7</v>
      </c>
      <c r="F746">
        <v>1.6</v>
      </c>
      <c r="G746">
        <v>3.67</v>
      </c>
      <c r="H746">
        <v>0.6</v>
      </c>
      <c r="I746" t="s">
        <v>19</v>
      </c>
      <c r="J746">
        <v>4</v>
      </c>
      <c r="K746">
        <v>3</v>
      </c>
      <c r="L746">
        <v>4</v>
      </c>
      <c r="M746">
        <v>0</v>
      </c>
    </row>
    <row r="747" spans="1:13" x14ac:dyDescent="0.35">
      <c r="A747">
        <v>14</v>
      </c>
      <c r="B747" t="s">
        <v>13</v>
      </c>
      <c r="C747">
        <v>5.2</v>
      </c>
      <c r="D747" t="s">
        <v>14</v>
      </c>
      <c r="E747">
        <v>5.5</v>
      </c>
      <c r="F747">
        <v>1.6</v>
      </c>
      <c r="G747">
        <v>3.08</v>
      </c>
      <c r="H747">
        <v>0.5</v>
      </c>
      <c r="I747" t="s">
        <v>19</v>
      </c>
      <c r="J747">
        <v>3</v>
      </c>
      <c r="K747">
        <v>8</v>
      </c>
      <c r="L747">
        <v>1</v>
      </c>
      <c r="M747">
        <v>0</v>
      </c>
    </row>
    <row r="748" spans="1:13" x14ac:dyDescent="0.35">
      <c r="A748">
        <v>14</v>
      </c>
      <c r="B748" t="s">
        <v>13</v>
      </c>
      <c r="C748">
        <v>3.2</v>
      </c>
      <c r="D748" t="s">
        <v>14</v>
      </c>
      <c r="E748">
        <v>5.4</v>
      </c>
      <c r="F748">
        <v>2.6</v>
      </c>
      <c r="G748">
        <v>3.18</v>
      </c>
      <c r="H748">
        <v>0.9</v>
      </c>
      <c r="I748" t="s">
        <v>15</v>
      </c>
      <c r="J748">
        <v>9</v>
      </c>
      <c r="K748">
        <v>1</v>
      </c>
      <c r="L748">
        <v>7</v>
      </c>
      <c r="M748">
        <v>0</v>
      </c>
    </row>
    <row r="749" spans="1:13" x14ac:dyDescent="0.35">
      <c r="A749">
        <v>17</v>
      </c>
      <c r="B749" t="s">
        <v>13</v>
      </c>
      <c r="C749">
        <v>6.9</v>
      </c>
      <c r="D749" t="s">
        <v>20</v>
      </c>
      <c r="E749">
        <v>4.5999999999999996</v>
      </c>
      <c r="F749">
        <v>2.5</v>
      </c>
      <c r="G749">
        <v>2.04</v>
      </c>
      <c r="H749">
        <v>0.8</v>
      </c>
      <c r="I749" t="s">
        <v>18</v>
      </c>
      <c r="J749">
        <v>10</v>
      </c>
      <c r="K749">
        <v>9</v>
      </c>
      <c r="L749">
        <v>2</v>
      </c>
      <c r="M749">
        <v>1</v>
      </c>
    </row>
    <row r="750" spans="1:13" x14ac:dyDescent="0.35">
      <c r="A750">
        <v>14</v>
      </c>
      <c r="B750" t="s">
        <v>13</v>
      </c>
      <c r="C750">
        <v>7.6</v>
      </c>
      <c r="D750" t="s">
        <v>14</v>
      </c>
      <c r="E750">
        <v>5.8</v>
      </c>
      <c r="F750">
        <v>1.9</v>
      </c>
      <c r="G750">
        <v>3.49</v>
      </c>
      <c r="H750">
        <v>1.7</v>
      </c>
      <c r="I750" t="s">
        <v>18</v>
      </c>
      <c r="J750">
        <v>10</v>
      </c>
      <c r="K750">
        <v>1</v>
      </c>
      <c r="L750">
        <v>3</v>
      </c>
      <c r="M750">
        <v>0</v>
      </c>
    </row>
    <row r="751" spans="1:13" x14ac:dyDescent="0.35">
      <c r="A751">
        <v>14</v>
      </c>
      <c r="B751" t="s">
        <v>13</v>
      </c>
      <c r="C751">
        <v>4.9000000000000004</v>
      </c>
      <c r="D751" t="s">
        <v>14</v>
      </c>
      <c r="E751">
        <v>5.5</v>
      </c>
      <c r="F751">
        <v>1.6</v>
      </c>
      <c r="G751">
        <v>2.85</v>
      </c>
      <c r="H751">
        <v>0.4</v>
      </c>
      <c r="I751" t="s">
        <v>15</v>
      </c>
      <c r="J751">
        <v>8</v>
      </c>
      <c r="K751">
        <v>1</v>
      </c>
      <c r="L751">
        <v>8</v>
      </c>
      <c r="M751">
        <v>0</v>
      </c>
    </row>
    <row r="752" spans="1:13" x14ac:dyDescent="0.35">
      <c r="A752">
        <v>14</v>
      </c>
      <c r="B752" t="s">
        <v>13</v>
      </c>
      <c r="C752">
        <v>3.9</v>
      </c>
      <c r="D752" t="s">
        <v>20</v>
      </c>
      <c r="E752">
        <v>4.8</v>
      </c>
      <c r="F752">
        <v>0.8</v>
      </c>
      <c r="G752">
        <v>3.32</v>
      </c>
      <c r="H752">
        <v>0.3</v>
      </c>
      <c r="I752" t="s">
        <v>18</v>
      </c>
      <c r="J752">
        <v>5</v>
      </c>
      <c r="K752">
        <v>2</v>
      </c>
      <c r="L752">
        <v>5</v>
      </c>
      <c r="M752">
        <v>0</v>
      </c>
    </row>
    <row r="753" spans="1:13" x14ac:dyDescent="0.35">
      <c r="A753">
        <v>14</v>
      </c>
      <c r="B753" t="s">
        <v>13</v>
      </c>
      <c r="C753">
        <v>7.4</v>
      </c>
      <c r="D753" t="s">
        <v>14</v>
      </c>
      <c r="E753">
        <v>8.9</v>
      </c>
      <c r="F753">
        <v>2.4</v>
      </c>
      <c r="G753">
        <v>2.29</v>
      </c>
      <c r="H753">
        <v>1.1000000000000001</v>
      </c>
      <c r="I753" t="s">
        <v>15</v>
      </c>
      <c r="J753">
        <v>10</v>
      </c>
      <c r="K753">
        <v>4</v>
      </c>
      <c r="L753">
        <v>8</v>
      </c>
      <c r="M753">
        <v>0</v>
      </c>
    </row>
    <row r="754" spans="1:13" x14ac:dyDescent="0.35">
      <c r="A754">
        <v>14</v>
      </c>
      <c r="B754" t="s">
        <v>13</v>
      </c>
      <c r="C754">
        <v>1.5</v>
      </c>
      <c r="D754" t="s">
        <v>20</v>
      </c>
      <c r="E754">
        <v>6.8</v>
      </c>
      <c r="F754">
        <v>0.8</v>
      </c>
      <c r="G754">
        <v>3.14</v>
      </c>
      <c r="H754">
        <v>0</v>
      </c>
      <c r="I754" t="s">
        <v>19</v>
      </c>
      <c r="J754">
        <v>4</v>
      </c>
      <c r="K754">
        <v>5</v>
      </c>
      <c r="L754">
        <v>8</v>
      </c>
      <c r="M754">
        <v>0</v>
      </c>
    </row>
    <row r="755" spans="1:13" x14ac:dyDescent="0.35">
      <c r="A755">
        <v>14</v>
      </c>
      <c r="B755" t="s">
        <v>13</v>
      </c>
      <c r="C755">
        <v>2.8</v>
      </c>
      <c r="D755" t="s">
        <v>20</v>
      </c>
      <c r="E755">
        <v>4.3</v>
      </c>
      <c r="F755">
        <v>3</v>
      </c>
      <c r="G755">
        <v>2.14</v>
      </c>
      <c r="H755">
        <v>1.9</v>
      </c>
      <c r="I755" t="s">
        <v>19</v>
      </c>
      <c r="J755">
        <v>9</v>
      </c>
      <c r="K755">
        <v>3</v>
      </c>
      <c r="L755">
        <v>7</v>
      </c>
      <c r="M755">
        <v>0</v>
      </c>
    </row>
    <row r="756" spans="1:13" x14ac:dyDescent="0.35">
      <c r="A756">
        <v>14</v>
      </c>
      <c r="B756" t="s">
        <v>13</v>
      </c>
      <c r="C756">
        <v>7</v>
      </c>
      <c r="D756" t="s">
        <v>14</v>
      </c>
      <c r="E756">
        <v>5.2</v>
      </c>
      <c r="F756">
        <v>1.4</v>
      </c>
      <c r="G756">
        <v>3.27</v>
      </c>
      <c r="H756">
        <v>1.7</v>
      </c>
      <c r="I756" t="s">
        <v>19</v>
      </c>
      <c r="J756">
        <v>5</v>
      </c>
      <c r="K756">
        <v>7</v>
      </c>
      <c r="L756">
        <v>8</v>
      </c>
      <c r="M756">
        <v>0</v>
      </c>
    </row>
    <row r="757" spans="1:13" x14ac:dyDescent="0.35">
      <c r="A757">
        <v>14</v>
      </c>
      <c r="B757" t="s">
        <v>13</v>
      </c>
      <c r="C757">
        <v>5</v>
      </c>
      <c r="D757" t="s">
        <v>17</v>
      </c>
      <c r="E757">
        <v>5.2</v>
      </c>
      <c r="F757">
        <v>0.5</v>
      </c>
      <c r="G757">
        <v>3.55</v>
      </c>
      <c r="H757">
        <v>0.4</v>
      </c>
      <c r="I757" t="s">
        <v>15</v>
      </c>
      <c r="J757">
        <v>10</v>
      </c>
      <c r="K757">
        <v>6</v>
      </c>
      <c r="L757">
        <v>8</v>
      </c>
      <c r="M757">
        <v>0</v>
      </c>
    </row>
    <row r="758" spans="1:13" x14ac:dyDescent="0.35">
      <c r="A758">
        <v>14</v>
      </c>
      <c r="B758" t="s">
        <v>13</v>
      </c>
      <c r="C758">
        <v>3.4</v>
      </c>
      <c r="D758" t="s">
        <v>20</v>
      </c>
      <c r="E758">
        <v>5.8</v>
      </c>
      <c r="F758">
        <v>3</v>
      </c>
      <c r="G758">
        <v>3.32</v>
      </c>
      <c r="H758">
        <v>0.6</v>
      </c>
      <c r="I758" t="s">
        <v>19</v>
      </c>
      <c r="J758">
        <v>1</v>
      </c>
      <c r="K758">
        <v>4</v>
      </c>
      <c r="L758">
        <v>4</v>
      </c>
      <c r="M758">
        <v>0</v>
      </c>
    </row>
    <row r="759" spans="1:13" x14ac:dyDescent="0.35">
      <c r="A759">
        <v>14</v>
      </c>
      <c r="B759" t="s">
        <v>13</v>
      </c>
      <c r="C759">
        <v>5.0999999999999996</v>
      </c>
      <c r="D759" t="s">
        <v>14</v>
      </c>
      <c r="E759">
        <v>6.3</v>
      </c>
      <c r="F759">
        <v>1.6</v>
      </c>
      <c r="G759">
        <v>2.7</v>
      </c>
      <c r="H759">
        <v>0.1</v>
      </c>
      <c r="I759" t="s">
        <v>19</v>
      </c>
      <c r="J759">
        <v>7</v>
      </c>
      <c r="K759">
        <v>2</v>
      </c>
      <c r="L759">
        <v>7</v>
      </c>
      <c r="M759">
        <v>0</v>
      </c>
    </row>
    <row r="760" spans="1:13" x14ac:dyDescent="0.35">
      <c r="A760">
        <v>14</v>
      </c>
      <c r="B760" t="s">
        <v>13</v>
      </c>
      <c r="C760">
        <v>7.5</v>
      </c>
      <c r="D760" t="s">
        <v>20</v>
      </c>
      <c r="E760">
        <v>7.6</v>
      </c>
      <c r="F760">
        <v>2.8</v>
      </c>
      <c r="G760">
        <v>3.1</v>
      </c>
      <c r="H760">
        <v>0.7</v>
      </c>
      <c r="I760" t="s">
        <v>19</v>
      </c>
      <c r="J760">
        <v>3</v>
      </c>
      <c r="K760">
        <v>1</v>
      </c>
      <c r="L760">
        <v>2</v>
      </c>
      <c r="M760">
        <v>0</v>
      </c>
    </row>
    <row r="761" spans="1:13" x14ac:dyDescent="0.35">
      <c r="A761">
        <v>14</v>
      </c>
      <c r="B761" t="s">
        <v>13</v>
      </c>
      <c r="C761">
        <v>2.8</v>
      </c>
      <c r="D761" t="s">
        <v>20</v>
      </c>
      <c r="E761">
        <v>6.2</v>
      </c>
      <c r="F761">
        <v>1.2</v>
      </c>
      <c r="G761">
        <v>3.21</v>
      </c>
      <c r="H761">
        <v>1</v>
      </c>
      <c r="I761" t="s">
        <v>15</v>
      </c>
      <c r="J761">
        <v>3</v>
      </c>
      <c r="K761">
        <v>10</v>
      </c>
      <c r="L761">
        <v>6</v>
      </c>
      <c r="M761">
        <v>0</v>
      </c>
    </row>
    <row r="762" spans="1:13" x14ac:dyDescent="0.35">
      <c r="A762">
        <v>14</v>
      </c>
      <c r="B762" t="s">
        <v>13</v>
      </c>
      <c r="C762">
        <v>5.3</v>
      </c>
      <c r="D762" t="s">
        <v>14</v>
      </c>
      <c r="E762">
        <v>6.8</v>
      </c>
      <c r="F762">
        <v>2.9</v>
      </c>
      <c r="G762">
        <v>2.1800000000000002</v>
      </c>
      <c r="H762">
        <v>0.8</v>
      </c>
      <c r="I762" t="s">
        <v>19</v>
      </c>
      <c r="J762">
        <v>10</v>
      </c>
      <c r="K762">
        <v>1</v>
      </c>
      <c r="L762">
        <v>6</v>
      </c>
      <c r="M762">
        <v>0</v>
      </c>
    </row>
    <row r="763" spans="1:13" x14ac:dyDescent="0.35">
      <c r="A763">
        <v>14</v>
      </c>
      <c r="B763" t="s">
        <v>13</v>
      </c>
      <c r="C763">
        <v>4.4000000000000004</v>
      </c>
      <c r="D763" t="s">
        <v>14</v>
      </c>
      <c r="E763">
        <v>8.8000000000000007</v>
      </c>
      <c r="F763">
        <v>2.2999999999999998</v>
      </c>
      <c r="G763">
        <v>2.73</v>
      </c>
      <c r="H763">
        <v>0.3</v>
      </c>
      <c r="I763" t="s">
        <v>19</v>
      </c>
      <c r="J763">
        <v>9</v>
      </c>
      <c r="K763">
        <v>2</v>
      </c>
      <c r="L763">
        <v>2</v>
      </c>
      <c r="M763">
        <v>0</v>
      </c>
    </row>
    <row r="764" spans="1:13" x14ac:dyDescent="0.35">
      <c r="A764">
        <v>14</v>
      </c>
      <c r="B764" t="s">
        <v>13</v>
      </c>
      <c r="C764">
        <v>4</v>
      </c>
      <c r="D764" t="s">
        <v>17</v>
      </c>
      <c r="E764">
        <v>4.9000000000000004</v>
      </c>
      <c r="F764">
        <v>2.7</v>
      </c>
      <c r="G764">
        <v>2.2999999999999998</v>
      </c>
      <c r="H764">
        <v>0.5</v>
      </c>
      <c r="I764" t="s">
        <v>18</v>
      </c>
      <c r="J764">
        <v>7</v>
      </c>
      <c r="K764">
        <v>8</v>
      </c>
      <c r="L764">
        <v>6</v>
      </c>
      <c r="M764">
        <v>0</v>
      </c>
    </row>
    <row r="765" spans="1:13" x14ac:dyDescent="0.35">
      <c r="A765">
        <v>14</v>
      </c>
      <c r="B765" t="s">
        <v>13</v>
      </c>
      <c r="C765">
        <v>7.2</v>
      </c>
      <c r="D765" t="s">
        <v>17</v>
      </c>
      <c r="E765">
        <v>5.7</v>
      </c>
      <c r="F765">
        <v>2.7</v>
      </c>
      <c r="G765">
        <v>2.76</v>
      </c>
      <c r="H765">
        <v>0.4</v>
      </c>
      <c r="I765" t="s">
        <v>15</v>
      </c>
      <c r="J765">
        <v>7</v>
      </c>
      <c r="K765">
        <v>3</v>
      </c>
      <c r="L765">
        <v>7</v>
      </c>
      <c r="M765">
        <v>0</v>
      </c>
    </row>
    <row r="766" spans="1:13" x14ac:dyDescent="0.35">
      <c r="A766">
        <v>14</v>
      </c>
      <c r="B766" t="s">
        <v>13</v>
      </c>
      <c r="C766">
        <v>6.4</v>
      </c>
      <c r="D766" t="s">
        <v>14</v>
      </c>
      <c r="E766">
        <v>4.3</v>
      </c>
      <c r="F766">
        <v>2.2999999999999998</v>
      </c>
      <c r="G766">
        <v>3.99</v>
      </c>
      <c r="H766">
        <v>1.1000000000000001</v>
      </c>
      <c r="I766" t="s">
        <v>15</v>
      </c>
      <c r="J766">
        <v>7</v>
      </c>
      <c r="K766">
        <v>4</v>
      </c>
      <c r="L766">
        <v>3</v>
      </c>
      <c r="M766">
        <v>0</v>
      </c>
    </row>
    <row r="767" spans="1:13" x14ac:dyDescent="0.35">
      <c r="A767">
        <v>14</v>
      </c>
      <c r="B767" t="s">
        <v>13</v>
      </c>
      <c r="C767">
        <v>5.6</v>
      </c>
      <c r="D767" t="s">
        <v>20</v>
      </c>
      <c r="E767">
        <v>4.5</v>
      </c>
      <c r="F767">
        <v>1.4</v>
      </c>
      <c r="G767">
        <v>2.44</v>
      </c>
      <c r="H767">
        <v>1.2</v>
      </c>
      <c r="I767" t="s">
        <v>15</v>
      </c>
      <c r="J767">
        <v>5</v>
      </c>
      <c r="K767">
        <v>10</v>
      </c>
      <c r="L767">
        <v>9</v>
      </c>
      <c r="M767">
        <v>0</v>
      </c>
    </row>
    <row r="768" spans="1:13" x14ac:dyDescent="0.35">
      <c r="A768">
        <v>14</v>
      </c>
      <c r="B768" t="s">
        <v>13</v>
      </c>
      <c r="C768">
        <v>7</v>
      </c>
      <c r="D768" t="s">
        <v>20</v>
      </c>
      <c r="E768">
        <v>6.7</v>
      </c>
      <c r="F768">
        <v>1.9</v>
      </c>
      <c r="G768">
        <v>2.48</v>
      </c>
      <c r="H768">
        <v>1.3</v>
      </c>
      <c r="I768" t="s">
        <v>15</v>
      </c>
      <c r="J768">
        <v>7</v>
      </c>
      <c r="K768">
        <v>1</v>
      </c>
      <c r="L768">
        <v>5</v>
      </c>
      <c r="M768">
        <v>0</v>
      </c>
    </row>
    <row r="769" spans="1:13" x14ac:dyDescent="0.35">
      <c r="A769">
        <v>15</v>
      </c>
      <c r="B769" t="s">
        <v>13</v>
      </c>
      <c r="C769">
        <v>7.4</v>
      </c>
      <c r="D769" t="s">
        <v>17</v>
      </c>
      <c r="E769">
        <v>6.9</v>
      </c>
      <c r="F769">
        <v>1.6</v>
      </c>
      <c r="G769">
        <v>3.48</v>
      </c>
      <c r="H769">
        <v>0.8</v>
      </c>
      <c r="I769" t="s">
        <v>19</v>
      </c>
      <c r="J769">
        <v>1</v>
      </c>
      <c r="K769">
        <v>7</v>
      </c>
      <c r="L769">
        <v>9</v>
      </c>
      <c r="M769">
        <v>0</v>
      </c>
    </row>
    <row r="770" spans="1:13" x14ac:dyDescent="0.35">
      <c r="A770">
        <v>15</v>
      </c>
      <c r="B770" t="s">
        <v>13</v>
      </c>
      <c r="C770">
        <v>1.9</v>
      </c>
      <c r="D770" t="s">
        <v>17</v>
      </c>
      <c r="E770">
        <v>4.9000000000000004</v>
      </c>
      <c r="F770">
        <v>1.5</v>
      </c>
      <c r="G770">
        <v>3.77</v>
      </c>
      <c r="H770">
        <v>1.1000000000000001</v>
      </c>
      <c r="I770" t="s">
        <v>18</v>
      </c>
      <c r="J770">
        <v>1</v>
      </c>
      <c r="K770">
        <v>1</v>
      </c>
      <c r="L770">
        <v>4</v>
      </c>
      <c r="M770">
        <v>0</v>
      </c>
    </row>
    <row r="771" spans="1:13" x14ac:dyDescent="0.35">
      <c r="A771">
        <v>15</v>
      </c>
      <c r="B771" t="s">
        <v>13</v>
      </c>
      <c r="C771">
        <v>5.7</v>
      </c>
      <c r="D771" t="s">
        <v>17</v>
      </c>
      <c r="E771">
        <v>5.9</v>
      </c>
      <c r="F771">
        <v>0.8</v>
      </c>
      <c r="G771">
        <v>3.5</v>
      </c>
      <c r="H771">
        <v>0.7</v>
      </c>
      <c r="I771" t="s">
        <v>15</v>
      </c>
      <c r="J771">
        <v>1</v>
      </c>
      <c r="K771">
        <v>9</v>
      </c>
      <c r="L771">
        <v>1</v>
      </c>
      <c r="M771">
        <v>0</v>
      </c>
    </row>
    <row r="772" spans="1:13" x14ac:dyDescent="0.35">
      <c r="A772">
        <v>15</v>
      </c>
      <c r="B772" t="s">
        <v>13</v>
      </c>
      <c r="C772">
        <v>4</v>
      </c>
      <c r="D772" t="s">
        <v>20</v>
      </c>
      <c r="E772">
        <v>8.8000000000000007</v>
      </c>
      <c r="F772">
        <v>1.3</v>
      </c>
      <c r="G772">
        <v>3.59</v>
      </c>
      <c r="H772">
        <v>1.9</v>
      </c>
      <c r="I772" t="s">
        <v>19</v>
      </c>
      <c r="J772">
        <v>10</v>
      </c>
      <c r="K772">
        <v>6</v>
      </c>
      <c r="L772">
        <v>10</v>
      </c>
      <c r="M772">
        <v>0</v>
      </c>
    </row>
    <row r="773" spans="1:13" x14ac:dyDescent="0.35">
      <c r="A773">
        <v>15</v>
      </c>
      <c r="B773" t="s">
        <v>13</v>
      </c>
      <c r="C773">
        <v>7.5</v>
      </c>
      <c r="D773" t="s">
        <v>20</v>
      </c>
      <c r="E773">
        <v>7</v>
      </c>
      <c r="F773">
        <v>0.9</v>
      </c>
      <c r="G773">
        <v>3.48</v>
      </c>
      <c r="H773">
        <v>1.1000000000000001</v>
      </c>
      <c r="I773" t="s">
        <v>18</v>
      </c>
      <c r="J773">
        <v>2</v>
      </c>
      <c r="K773">
        <v>2</v>
      </c>
      <c r="L773">
        <v>6</v>
      </c>
      <c r="M773">
        <v>0</v>
      </c>
    </row>
    <row r="774" spans="1:13" x14ac:dyDescent="0.35">
      <c r="A774">
        <v>15</v>
      </c>
      <c r="B774" t="s">
        <v>13</v>
      </c>
      <c r="C774">
        <v>6.7</v>
      </c>
      <c r="D774" t="s">
        <v>20</v>
      </c>
      <c r="E774">
        <v>4.5</v>
      </c>
      <c r="F774">
        <v>2.1</v>
      </c>
      <c r="G774">
        <v>3.71</v>
      </c>
      <c r="H774">
        <v>1.3</v>
      </c>
      <c r="I774" t="s">
        <v>18</v>
      </c>
      <c r="J774">
        <v>3</v>
      </c>
      <c r="K774">
        <v>3</v>
      </c>
      <c r="L774">
        <v>3</v>
      </c>
      <c r="M774">
        <v>0</v>
      </c>
    </row>
    <row r="775" spans="1:13" x14ac:dyDescent="0.35">
      <c r="A775">
        <v>15</v>
      </c>
      <c r="B775" t="s">
        <v>13</v>
      </c>
      <c r="C775">
        <v>2.7</v>
      </c>
      <c r="D775" t="s">
        <v>17</v>
      </c>
      <c r="E775">
        <v>6.6</v>
      </c>
      <c r="F775">
        <v>1.9</v>
      </c>
      <c r="G775">
        <v>2.75</v>
      </c>
      <c r="H775">
        <v>1.9</v>
      </c>
      <c r="I775" t="s">
        <v>19</v>
      </c>
      <c r="J775">
        <v>3</v>
      </c>
      <c r="K775">
        <v>6</v>
      </c>
      <c r="L775">
        <v>6</v>
      </c>
      <c r="M775">
        <v>0</v>
      </c>
    </row>
    <row r="776" spans="1:13" x14ac:dyDescent="0.35">
      <c r="A776">
        <v>15</v>
      </c>
      <c r="B776" t="s">
        <v>13</v>
      </c>
      <c r="C776">
        <v>4.5999999999999996</v>
      </c>
      <c r="D776" t="s">
        <v>17</v>
      </c>
      <c r="E776">
        <v>5.2</v>
      </c>
      <c r="F776">
        <v>1.4</v>
      </c>
      <c r="G776">
        <v>2.98</v>
      </c>
      <c r="H776">
        <v>1.9</v>
      </c>
      <c r="I776" t="s">
        <v>15</v>
      </c>
      <c r="J776">
        <v>1</v>
      </c>
      <c r="K776">
        <v>4</v>
      </c>
      <c r="L776">
        <v>5</v>
      </c>
      <c r="M776">
        <v>0</v>
      </c>
    </row>
    <row r="777" spans="1:13" x14ac:dyDescent="0.35">
      <c r="A777">
        <v>15</v>
      </c>
      <c r="B777" t="s">
        <v>13</v>
      </c>
      <c r="C777">
        <v>6.5</v>
      </c>
      <c r="D777" t="s">
        <v>20</v>
      </c>
      <c r="E777">
        <v>8.1</v>
      </c>
      <c r="F777">
        <v>2</v>
      </c>
      <c r="G777">
        <v>3.89</v>
      </c>
      <c r="H777">
        <v>1.3</v>
      </c>
      <c r="I777" t="s">
        <v>18</v>
      </c>
      <c r="J777">
        <v>8</v>
      </c>
      <c r="K777">
        <v>2</v>
      </c>
      <c r="L777">
        <v>2</v>
      </c>
      <c r="M777">
        <v>0</v>
      </c>
    </row>
    <row r="778" spans="1:13" x14ac:dyDescent="0.35">
      <c r="A778">
        <v>15</v>
      </c>
      <c r="B778" t="s">
        <v>13</v>
      </c>
      <c r="C778">
        <v>7.4</v>
      </c>
      <c r="D778" t="s">
        <v>17</v>
      </c>
      <c r="E778">
        <v>6.3</v>
      </c>
      <c r="F778">
        <v>1.3</v>
      </c>
      <c r="G778">
        <v>3.47</v>
      </c>
      <c r="H778">
        <v>1.2</v>
      </c>
      <c r="I778" t="s">
        <v>19</v>
      </c>
      <c r="J778">
        <v>1</v>
      </c>
      <c r="K778">
        <v>3</v>
      </c>
      <c r="L778">
        <v>9</v>
      </c>
      <c r="M778">
        <v>0</v>
      </c>
    </row>
    <row r="779" spans="1:13" x14ac:dyDescent="0.35">
      <c r="A779">
        <v>15</v>
      </c>
      <c r="B779" t="s">
        <v>13</v>
      </c>
      <c r="C779">
        <v>7.6</v>
      </c>
      <c r="D779" t="s">
        <v>14</v>
      </c>
      <c r="E779">
        <v>7.6</v>
      </c>
      <c r="F779">
        <v>2.7</v>
      </c>
      <c r="G779">
        <v>2.36</v>
      </c>
      <c r="H779">
        <v>1.2</v>
      </c>
      <c r="I779" t="s">
        <v>19</v>
      </c>
      <c r="J779">
        <v>5</v>
      </c>
      <c r="K779">
        <v>10</v>
      </c>
      <c r="L779">
        <v>3</v>
      </c>
      <c r="M779">
        <v>0</v>
      </c>
    </row>
    <row r="780" spans="1:13" x14ac:dyDescent="0.35">
      <c r="A780">
        <v>15</v>
      </c>
      <c r="B780" t="s">
        <v>13</v>
      </c>
      <c r="C780">
        <v>7.3</v>
      </c>
      <c r="D780" t="s">
        <v>20</v>
      </c>
      <c r="E780">
        <v>4.8</v>
      </c>
      <c r="F780">
        <v>2.6</v>
      </c>
      <c r="G780">
        <v>3.81</v>
      </c>
      <c r="H780">
        <v>1.5</v>
      </c>
      <c r="I780" t="s">
        <v>15</v>
      </c>
      <c r="J780">
        <v>4</v>
      </c>
      <c r="K780">
        <v>7</v>
      </c>
      <c r="L780">
        <v>4</v>
      </c>
      <c r="M780">
        <v>0</v>
      </c>
    </row>
    <row r="781" spans="1:13" x14ac:dyDescent="0.35">
      <c r="A781">
        <v>15</v>
      </c>
      <c r="B781" t="s">
        <v>13</v>
      </c>
      <c r="C781">
        <v>1.9</v>
      </c>
      <c r="D781" t="s">
        <v>17</v>
      </c>
      <c r="E781">
        <v>5.8</v>
      </c>
      <c r="F781">
        <v>2.2999999999999998</v>
      </c>
      <c r="G781">
        <v>2.4700000000000002</v>
      </c>
      <c r="H781">
        <v>0.3</v>
      </c>
      <c r="I781" t="s">
        <v>18</v>
      </c>
      <c r="J781">
        <v>10</v>
      </c>
      <c r="K781">
        <v>9</v>
      </c>
      <c r="L781">
        <v>4</v>
      </c>
      <c r="M781">
        <v>0</v>
      </c>
    </row>
    <row r="782" spans="1:13" x14ac:dyDescent="0.35">
      <c r="A782">
        <v>15</v>
      </c>
      <c r="B782" t="s">
        <v>13</v>
      </c>
      <c r="C782">
        <v>6.2</v>
      </c>
      <c r="D782" t="s">
        <v>17</v>
      </c>
      <c r="E782">
        <v>6.3</v>
      </c>
      <c r="F782">
        <v>1.7</v>
      </c>
      <c r="G782">
        <v>2.2599999999999998</v>
      </c>
      <c r="H782">
        <v>1.1000000000000001</v>
      </c>
      <c r="I782" t="s">
        <v>18</v>
      </c>
      <c r="J782">
        <v>9</v>
      </c>
      <c r="K782">
        <v>6</v>
      </c>
      <c r="L782">
        <v>2</v>
      </c>
      <c r="M782">
        <v>0</v>
      </c>
    </row>
    <row r="783" spans="1:13" x14ac:dyDescent="0.35">
      <c r="A783">
        <v>15</v>
      </c>
      <c r="B783" t="s">
        <v>13</v>
      </c>
      <c r="C783">
        <v>1.6</v>
      </c>
      <c r="D783" t="s">
        <v>14</v>
      </c>
      <c r="E783">
        <v>6.9</v>
      </c>
      <c r="F783">
        <v>2.2999999999999998</v>
      </c>
      <c r="G783">
        <v>3.16</v>
      </c>
      <c r="H783">
        <v>0.9</v>
      </c>
      <c r="I783" t="s">
        <v>19</v>
      </c>
      <c r="J783">
        <v>3</v>
      </c>
      <c r="K783">
        <v>1</v>
      </c>
      <c r="L783">
        <v>5</v>
      </c>
      <c r="M783">
        <v>0</v>
      </c>
    </row>
    <row r="784" spans="1:13" x14ac:dyDescent="0.35">
      <c r="A784">
        <v>15</v>
      </c>
      <c r="B784" t="s">
        <v>13</v>
      </c>
      <c r="C784">
        <v>2.8</v>
      </c>
      <c r="D784" t="s">
        <v>14</v>
      </c>
      <c r="E784">
        <v>7.2</v>
      </c>
      <c r="F784">
        <v>1.8</v>
      </c>
      <c r="G784">
        <v>2.91</v>
      </c>
      <c r="H784">
        <v>0.2</v>
      </c>
      <c r="I784" t="s">
        <v>15</v>
      </c>
      <c r="J784">
        <v>5</v>
      </c>
      <c r="K784">
        <v>5</v>
      </c>
      <c r="L784">
        <v>4</v>
      </c>
      <c r="M784">
        <v>0</v>
      </c>
    </row>
    <row r="785" spans="1:13" x14ac:dyDescent="0.35">
      <c r="A785">
        <v>15</v>
      </c>
      <c r="B785" t="s">
        <v>13</v>
      </c>
      <c r="C785">
        <v>2.2000000000000002</v>
      </c>
      <c r="D785" t="s">
        <v>14</v>
      </c>
      <c r="E785">
        <v>5.2</v>
      </c>
      <c r="F785">
        <v>1.4</v>
      </c>
      <c r="G785">
        <v>2.62</v>
      </c>
      <c r="H785">
        <v>1.5</v>
      </c>
      <c r="I785" t="s">
        <v>19</v>
      </c>
      <c r="J785">
        <v>10</v>
      </c>
      <c r="K785">
        <v>7</v>
      </c>
      <c r="L785">
        <v>5</v>
      </c>
      <c r="M785">
        <v>0</v>
      </c>
    </row>
    <row r="786" spans="1:13" x14ac:dyDescent="0.35">
      <c r="A786">
        <v>15</v>
      </c>
      <c r="B786" t="s">
        <v>13</v>
      </c>
      <c r="C786">
        <v>7.5</v>
      </c>
      <c r="D786" t="s">
        <v>14</v>
      </c>
      <c r="E786">
        <v>8.1</v>
      </c>
      <c r="F786">
        <v>2.5</v>
      </c>
      <c r="G786">
        <v>3.56</v>
      </c>
      <c r="H786">
        <v>1.2</v>
      </c>
      <c r="I786" t="s">
        <v>19</v>
      </c>
      <c r="J786">
        <v>6</v>
      </c>
      <c r="K786">
        <v>8</v>
      </c>
      <c r="L786">
        <v>10</v>
      </c>
      <c r="M786">
        <v>0</v>
      </c>
    </row>
    <row r="787" spans="1:13" x14ac:dyDescent="0.35">
      <c r="A787">
        <v>15</v>
      </c>
      <c r="B787" t="s">
        <v>13</v>
      </c>
      <c r="C787">
        <v>3.6</v>
      </c>
      <c r="D787" t="s">
        <v>17</v>
      </c>
      <c r="E787">
        <v>4.3</v>
      </c>
      <c r="F787">
        <v>2.9</v>
      </c>
      <c r="G787">
        <v>2.2000000000000002</v>
      </c>
      <c r="H787">
        <v>1</v>
      </c>
      <c r="I787" t="s">
        <v>18</v>
      </c>
      <c r="J787">
        <v>10</v>
      </c>
      <c r="K787">
        <v>9</v>
      </c>
      <c r="L787">
        <v>7</v>
      </c>
      <c r="M787">
        <v>0</v>
      </c>
    </row>
    <row r="788" spans="1:13" x14ac:dyDescent="0.35">
      <c r="A788">
        <v>15</v>
      </c>
      <c r="B788" t="s">
        <v>13</v>
      </c>
      <c r="C788">
        <v>3</v>
      </c>
      <c r="D788" t="s">
        <v>14</v>
      </c>
      <c r="E788">
        <v>8.6</v>
      </c>
      <c r="F788">
        <v>1.5</v>
      </c>
      <c r="G788">
        <v>3.27</v>
      </c>
      <c r="H788">
        <v>0.8</v>
      </c>
      <c r="I788" t="s">
        <v>19</v>
      </c>
      <c r="J788">
        <v>10</v>
      </c>
      <c r="K788">
        <v>10</v>
      </c>
      <c r="L788">
        <v>4</v>
      </c>
      <c r="M788">
        <v>0</v>
      </c>
    </row>
    <row r="789" spans="1:13" x14ac:dyDescent="0.35">
      <c r="A789">
        <v>15</v>
      </c>
      <c r="B789" t="s">
        <v>13</v>
      </c>
      <c r="C789">
        <v>7.6</v>
      </c>
      <c r="D789" t="s">
        <v>17</v>
      </c>
      <c r="E789">
        <v>7.9</v>
      </c>
      <c r="F789">
        <v>0.8</v>
      </c>
      <c r="G789">
        <v>3.55</v>
      </c>
      <c r="H789">
        <v>1.9</v>
      </c>
      <c r="I789" t="s">
        <v>18</v>
      </c>
      <c r="J789">
        <v>10</v>
      </c>
      <c r="K789">
        <v>8</v>
      </c>
      <c r="L789">
        <v>6</v>
      </c>
      <c r="M789">
        <v>0</v>
      </c>
    </row>
    <row r="790" spans="1:13" x14ac:dyDescent="0.35">
      <c r="A790">
        <v>18</v>
      </c>
      <c r="B790" t="s">
        <v>16</v>
      </c>
      <c r="C790">
        <v>7.2</v>
      </c>
      <c r="D790" t="s">
        <v>17</v>
      </c>
      <c r="E790">
        <v>5</v>
      </c>
      <c r="F790">
        <v>1.4</v>
      </c>
      <c r="G790">
        <v>3.65</v>
      </c>
      <c r="H790">
        <v>1.1000000000000001</v>
      </c>
      <c r="I790" t="s">
        <v>15</v>
      </c>
      <c r="J790">
        <v>8</v>
      </c>
      <c r="K790">
        <v>8</v>
      </c>
      <c r="L790">
        <v>4</v>
      </c>
      <c r="M790">
        <v>1</v>
      </c>
    </row>
    <row r="791" spans="1:13" x14ac:dyDescent="0.35">
      <c r="A791">
        <v>15</v>
      </c>
      <c r="B791" t="s">
        <v>13</v>
      </c>
      <c r="C791">
        <v>2.2999999999999998</v>
      </c>
      <c r="D791" t="s">
        <v>20</v>
      </c>
      <c r="E791">
        <v>7.8</v>
      </c>
      <c r="F791">
        <v>3</v>
      </c>
      <c r="G791">
        <v>2.2999999999999998</v>
      </c>
      <c r="H791">
        <v>1.4</v>
      </c>
      <c r="I791" t="s">
        <v>19</v>
      </c>
      <c r="J791">
        <v>4</v>
      </c>
      <c r="K791">
        <v>9</v>
      </c>
      <c r="L791">
        <v>10</v>
      </c>
      <c r="M791">
        <v>0</v>
      </c>
    </row>
    <row r="792" spans="1:13" x14ac:dyDescent="0.35">
      <c r="A792">
        <v>15</v>
      </c>
      <c r="B792" t="s">
        <v>13</v>
      </c>
      <c r="C792">
        <v>7.3</v>
      </c>
      <c r="D792" t="s">
        <v>20</v>
      </c>
      <c r="E792">
        <v>4.4000000000000004</v>
      </c>
      <c r="F792">
        <v>2.2999999999999998</v>
      </c>
      <c r="G792">
        <v>2.76</v>
      </c>
      <c r="H792">
        <v>1.8</v>
      </c>
      <c r="I792" t="s">
        <v>19</v>
      </c>
      <c r="J792">
        <v>4</v>
      </c>
      <c r="K792">
        <v>6</v>
      </c>
      <c r="L792">
        <v>9</v>
      </c>
      <c r="M792">
        <v>0</v>
      </c>
    </row>
    <row r="793" spans="1:13" x14ac:dyDescent="0.35">
      <c r="A793">
        <v>15</v>
      </c>
      <c r="B793" t="s">
        <v>13</v>
      </c>
      <c r="C793">
        <v>7</v>
      </c>
      <c r="D793" t="s">
        <v>20</v>
      </c>
      <c r="E793">
        <v>8.6999999999999993</v>
      </c>
      <c r="F793">
        <v>3</v>
      </c>
      <c r="G793">
        <v>2.84</v>
      </c>
      <c r="H793">
        <v>1.4</v>
      </c>
      <c r="I793" t="s">
        <v>19</v>
      </c>
      <c r="J793">
        <v>5</v>
      </c>
      <c r="K793">
        <v>3</v>
      </c>
      <c r="L793">
        <v>2</v>
      </c>
      <c r="M793">
        <v>0</v>
      </c>
    </row>
    <row r="794" spans="1:13" x14ac:dyDescent="0.35">
      <c r="A794">
        <v>15</v>
      </c>
      <c r="B794" t="s">
        <v>13</v>
      </c>
      <c r="C794">
        <v>2.8</v>
      </c>
      <c r="D794" t="s">
        <v>17</v>
      </c>
      <c r="E794">
        <v>6.1</v>
      </c>
      <c r="F794">
        <v>2.9</v>
      </c>
      <c r="G794">
        <v>2.98</v>
      </c>
      <c r="H794">
        <v>1.8</v>
      </c>
      <c r="I794" t="s">
        <v>19</v>
      </c>
      <c r="J794">
        <v>6</v>
      </c>
      <c r="K794">
        <v>3</v>
      </c>
      <c r="L794">
        <v>7</v>
      </c>
      <c r="M794">
        <v>0</v>
      </c>
    </row>
    <row r="795" spans="1:13" x14ac:dyDescent="0.35">
      <c r="A795">
        <v>15</v>
      </c>
      <c r="B795" t="s">
        <v>13</v>
      </c>
      <c r="C795">
        <v>7.9</v>
      </c>
      <c r="D795" t="s">
        <v>17</v>
      </c>
      <c r="E795">
        <v>4.0999999999999996</v>
      </c>
      <c r="F795">
        <v>0.7</v>
      </c>
      <c r="G795">
        <v>2.33</v>
      </c>
      <c r="H795">
        <v>1.2</v>
      </c>
      <c r="I795" t="s">
        <v>19</v>
      </c>
      <c r="J795">
        <v>3</v>
      </c>
      <c r="K795">
        <v>8</v>
      </c>
      <c r="L795">
        <v>1</v>
      </c>
      <c r="M795">
        <v>0</v>
      </c>
    </row>
    <row r="796" spans="1:13" x14ac:dyDescent="0.35">
      <c r="A796">
        <v>15</v>
      </c>
      <c r="B796" t="s">
        <v>13</v>
      </c>
      <c r="C796">
        <v>5.0999999999999996</v>
      </c>
      <c r="D796" t="s">
        <v>14</v>
      </c>
      <c r="E796">
        <v>7.4</v>
      </c>
      <c r="F796">
        <v>0.7</v>
      </c>
      <c r="G796">
        <v>2.64</v>
      </c>
      <c r="H796">
        <v>0.2</v>
      </c>
      <c r="I796" t="s">
        <v>19</v>
      </c>
      <c r="J796">
        <v>5</v>
      </c>
      <c r="K796">
        <v>8</v>
      </c>
      <c r="L796">
        <v>1</v>
      </c>
      <c r="M796">
        <v>0</v>
      </c>
    </row>
    <row r="797" spans="1:13" x14ac:dyDescent="0.35">
      <c r="A797">
        <v>15</v>
      </c>
      <c r="B797" t="s">
        <v>13</v>
      </c>
      <c r="C797">
        <v>6.6</v>
      </c>
      <c r="D797" t="s">
        <v>14</v>
      </c>
      <c r="E797">
        <v>8.6</v>
      </c>
      <c r="F797">
        <v>1.5</v>
      </c>
      <c r="G797">
        <v>2.63</v>
      </c>
      <c r="H797">
        <v>1.1000000000000001</v>
      </c>
      <c r="I797" t="s">
        <v>15</v>
      </c>
      <c r="J797">
        <v>1</v>
      </c>
      <c r="K797">
        <v>9</v>
      </c>
      <c r="L797">
        <v>9</v>
      </c>
      <c r="M797">
        <v>0</v>
      </c>
    </row>
    <row r="798" spans="1:13" x14ac:dyDescent="0.35">
      <c r="A798">
        <v>15</v>
      </c>
      <c r="B798" t="s">
        <v>13</v>
      </c>
      <c r="C798">
        <v>5.2</v>
      </c>
      <c r="D798" t="s">
        <v>20</v>
      </c>
      <c r="E798">
        <v>5.6</v>
      </c>
      <c r="F798">
        <v>1.1000000000000001</v>
      </c>
      <c r="G798">
        <v>2.88</v>
      </c>
      <c r="H798">
        <v>0.1</v>
      </c>
      <c r="I798" t="s">
        <v>19</v>
      </c>
      <c r="J798">
        <v>4</v>
      </c>
      <c r="K798">
        <v>8</v>
      </c>
      <c r="L798">
        <v>7</v>
      </c>
      <c r="M798">
        <v>0</v>
      </c>
    </row>
    <row r="799" spans="1:13" x14ac:dyDescent="0.35">
      <c r="A799">
        <v>15</v>
      </c>
      <c r="B799" t="s">
        <v>13</v>
      </c>
      <c r="C799">
        <v>6.2</v>
      </c>
      <c r="D799" t="s">
        <v>17</v>
      </c>
      <c r="E799">
        <v>4.5999999999999996</v>
      </c>
      <c r="F799">
        <v>1.1000000000000001</v>
      </c>
      <c r="G799">
        <v>2.94</v>
      </c>
      <c r="H799">
        <v>1.8</v>
      </c>
      <c r="I799" t="s">
        <v>18</v>
      </c>
      <c r="J799">
        <v>4</v>
      </c>
      <c r="K799">
        <v>2</v>
      </c>
      <c r="L799">
        <v>3</v>
      </c>
      <c r="M799">
        <v>0</v>
      </c>
    </row>
    <row r="800" spans="1:13" x14ac:dyDescent="0.35">
      <c r="A800">
        <v>15</v>
      </c>
      <c r="B800" t="s">
        <v>13</v>
      </c>
      <c r="C800">
        <v>2.1</v>
      </c>
      <c r="D800" t="s">
        <v>14</v>
      </c>
      <c r="E800">
        <v>4.4000000000000004</v>
      </c>
      <c r="F800">
        <v>2.1</v>
      </c>
      <c r="G800">
        <v>3.43</v>
      </c>
      <c r="H800">
        <v>1.9</v>
      </c>
      <c r="I800" t="s">
        <v>15</v>
      </c>
      <c r="J800">
        <v>6</v>
      </c>
      <c r="K800">
        <v>6</v>
      </c>
      <c r="L800">
        <v>7</v>
      </c>
      <c r="M800">
        <v>0</v>
      </c>
    </row>
    <row r="801" spans="1:13" x14ac:dyDescent="0.35">
      <c r="A801">
        <v>15</v>
      </c>
      <c r="B801" t="s">
        <v>13</v>
      </c>
      <c r="C801">
        <v>6.4</v>
      </c>
      <c r="D801" t="s">
        <v>14</v>
      </c>
      <c r="E801">
        <v>7.8</v>
      </c>
      <c r="F801">
        <v>0.7</v>
      </c>
      <c r="G801">
        <v>2.6</v>
      </c>
      <c r="H801">
        <v>0.7</v>
      </c>
      <c r="I801" t="s">
        <v>18</v>
      </c>
      <c r="J801">
        <v>4</v>
      </c>
      <c r="K801">
        <v>4</v>
      </c>
      <c r="L801">
        <v>2</v>
      </c>
      <c r="M801">
        <v>0</v>
      </c>
    </row>
    <row r="802" spans="1:13" x14ac:dyDescent="0.35">
      <c r="A802">
        <v>15</v>
      </c>
      <c r="B802" t="s">
        <v>13</v>
      </c>
      <c r="C802">
        <v>1.3</v>
      </c>
      <c r="D802" t="s">
        <v>17</v>
      </c>
      <c r="E802">
        <v>7.5</v>
      </c>
      <c r="F802">
        <v>1.3</v>
      </c>
      <c r="G802">
        <v>2.99</v>
      </c>
      <c r="H802">
        <v>1.4</v>
      </c>
      <c r="I802" t="s">
        <v>15</v>
      </c>
      <c r="J802">
        <v>1</v>
      </c>
      <c r="K802">
        <v>5</v>
      </c>
      <c r="L802">
        <v>2</v>
      </c>
      <c r="M802">
        <v>0</v>
      </c>
    </row>
    <row r="803" spans="1:13" x14ac:dyDescent="0.35">
      <c r="A803">
        <v>15</v>
      </c>
      <c r="B803" t="s">
        <v>13</v>
      </c>
      <c r="C803">
        <v>7.4</v>
      </c>
      <c r="D803" t="s">
        <v>20</v>
      </c>
      <c r="E803">
        <v>5.9</v>
      </c>
      <c r="F803">
        <v>2.6</v>
      </c>
      <c r="G803">
        <v>2.89</v>
      </c>
      <c r="H803">
        <v>1.9</v>
      </c>
      <c r="I803" t="s">
        <v>19</v>
      </c>
      <c r="J803">
        <v>7</v>
      </c>
      <c r="K803">
        <v>3</v>
      </c>
      <c r="L803">
        <v>8</v>
      </c>
      <c r="M803">
        <v>0</v>
      </c>
    </row>
    <row r="804" spans="1:13" x14ac:dyDescent="0.35">
      <c r="A804">
        <v>15</v>
      </c>
      <c r="B804" t="s">
        <v>13</v>
      </c>
      <c r="C804">
        <v>6.2</v>
      </c>
      <c r="D804" t="s">
        <v>14</v>
      </c>
      <c r="E804">
        <v>8.1</v>
      </c>
      <c r="F804">
        <v>2.2999999999999998</v>
      </c>
      <c r="G804">
        <v>3.46</v>
      </c>
      <c r="H804">
        <v>1.3</v>
      </c>
      <c r="I804" t="s">
        <v>15</v>
      </c>
      <c r="J804">
        <v>5</v>
      </c>
      <c r="K804">
        <v>4</v>
      </c>
      <c r="L804">
        <v>9</v>
      </c>
      <c r="M804">
        <v>0</v>
      </c>
    </row>
    <row r="805" spans="1:13" x14ac:dyDescent="0.35">
      <c r="A805">
        <v>15</v>
      </c>
      <c r="B805" t="s">
        <v>13</v>
      </c>
      <c r="C805">
        <v>5.3</v>
      </c>
      <c r="D805" t="s">
        <v>20</v>
      </c>
      <c r="E805">
        <v>7.3</v>
      </c>
      <c r="F805">
        <v>1.9</v>
      </c>
      <c r="G805">
        <v>2.5099999999999998</v>
      </c>
      <c r="H805">
        <v>1.4</v>
      </c>
      <c r="I805" t="s">
        <v>18</v>
      </c>
      <c r="J805">
        <v>10</v>
      </c>
      <c r="K805">
        <v>4</v>
      </c>
      <c r="L805">
        <v>2</v>
      </c>
      <c r="M805">
        <v>0</v>
      </c>
    </row>
    <row r="806" spans="1:13" x14ac:dyDescent="0.35">
      <c r="A806">
        <v>15</v>
      </c>
      <c r="B806" t="s">
        <v>13</v>
      </c>
      <c r="C806">
        <v>2.2999999999999998</v>
      </c>
      <c r="D806" t="s">
        <v>20</v>
      </c>
      <c r="E806">
        <v>5.7</v>
      </c>
      <c r="F806">
        <v>2.8</v>
      </c>
      <c r="G806">
        <v>2.79</v>
      </c>
      <c r="H806">
        <v>1.9</v>
      </c>
      <c r="I806" t="s">
        <v>19</v>
      </c>
      <c r="J806">
        <v>4</v>
      </c>
      <c r="K806">
        <v>1</v>
      </c>
      <c r="L806">
        <v>4</v>
      </c>
      <c r="M806">
        <v>0</v>
      </c>
    </row>
    <row r="807" spans="1:13" x14ac:dyDescent="0.35">
      <c r="A807">
        <v>15</v>
      </c>
      <c r="B807" t="s">
        <v>13</v>
      </c>
      <c r="C807">
        <v>4.7</v>
      </c>
      <c r="D807" t="s">
        <v>14</v>
      </c>
      <c r="E807">
        <v>8.4</v>
      </c>
      <c r="F807">
        <v>1.9</v>
      </c>
      <c r="G807">
        <v>3.9</v>
      </c>
      <c r="H807">
        <v>1</v>
      </c>
      <c r="I807" t="s">
        <v>18</v>
      </c>
      <c r="J807">
        <v>4</v>
      </c>
      <c r="K807">
        <v>10</v>
      </c>
      <c r="L807">
        <v>6</v>
      </c>
      <c r="M807">
        <v>0</v>
      </c>
    </row>
    <row r="808" spans="1:13" x14ac:dyDescent="0.35">
      <c r="A808">
        <v>15</v>
      </c>
      <c r="B808" t="s">
        <v>13</v>
      </c>
      <c r="C808">
        <v>7.1</v>
      </c>
      <c r="D808" t="s">
        <v>20</v>
      </c>
      <c r="E808">
        <v>6.5</v>
      </c>
      <c r="F808">
        <v>0.7</v>
      </c>
      <c r="G808">
        <v>3.94</v>
      </c>
      <c r="H808">
        <v>0.2</v>
      </c>
      <c r="I808" t="s">
        <v>19</v>
      </c>
      <c r="J808">
        <v>4</v>
      </c>
      <c r="K808">
        <v>7</v>
      </c>
      <c r="L808">
        <v>1</v>
      </c>
      <c r="M808">
        <v>0</v>
      </c>
    </row>
    <row r="809" spans="1:13" x14ac:dyDescent="0.35">
      <c r="A809">
        <v>15</v>
      </c>
      <c r="B809" t="s">
        <v>13</v>
      </c>
      <c r="C809">
        <v>3.4</v>
      </c>
      <c r="D809" t="s">
        <v>20</v>
      </c>
      <c r="E809">
        <v>8</v>
      </c>
      <c r="F809">
        <v>1</v>
      </c>
      <c r="G809">
        <v>2.31</v>
      </c>
      <c r="H809">
        <v>1</v>
      </c>
      <c r="I809" t="s">
        <v>18</v>
      </c>
      <c r="J809">
        <v>4</v>
      </c>
      <c r="K809">
        <v>7</v>
      </c>
      <c r="L809">
        <v>6</v>
      </c>
      <c r="M809">
        <v>0</v>
      </c>
    </row>
    <row r="810" spans="1:13" x14ac:dyDescent="0.35">
      <c r="A810">
        <v>15</v>
      </c>
      <c r="B810" t="s">
        <v>13</v>
      </c>
      <c r="C810">
        <v>5.4</v>
      </c>
      <c r="D810" t="s">
        <v>14</v>
      </c>
      <c r="E810">
        <v>7.2</v>
      </c>
      <c r="F810">
        <v>1.2</v>
      </c>
      <c r="G810">
        <v>3.32</v>
      </c>
      <c r="H810">
        <v>1.3</v>
      </c>
      <c r="I810" t="s">
        <v>18</v>
      </c>
      <c r="J810">
        <v>7</v>
      </c>
      <c r="K810">
        <v>8</v>
      </c>
      <c r="L810">
        <v>1</v>
      </c>
      <c r="M810">
        <v>0</v>
      </c>
    </row>
    <row r="811" spans="1:13" x14ac:dyDescent="0.35">
      <c r="A811">
        <v>15</v>
      </c>
      <c r="B811" t="s">
        <v>13</v>
      </c>
      <c r="C811">
        <v>4.5</v>
      </c>
      <c r="D811" t="s">
        <v>17</v>
      </c>
      <c r="E811">
        <v>6.2</v>
      </c>
      <c r="F811">
        <v>2.8</v>
      </c>
      <c r="G811">
        <v>2.74</v>
      </c>
      <c r="H811">
        <v>0.1</v>
      </c>
      <c r="I811" t="s">
        <v>18</v>
      </c>
      <c r="J811">
        <v>2</v>
      </c>
      <c r="K811">
        <v>3</v>
      </c>
      <c r="L811">
        <v>5</v>
      </c>
      <c r="M811">
        <v>0</v>
      </c>
    </row>
    <row r="812" spans="1:13" x14ac:dyDescent="0.35">
      <c r="A812">
        <v>15</v>
      </c>
      <c r="B812" t="s">
        <v>13</v>
      </c>
      <c r="C812">
        <v>2.7</v>
      </c>
      <c r="D812" t="s">
        <v>14</v>
      </c>
      <c r="E812">
        <v>5.4</v>
      </c>
      <c r="F812">
        <v>1.6</v>
      </c>
      <c r="G812">
        <v>2.34</v>
      </c>
      <c r="H812">
        <v>0.3</v>
      </c>
      <c r="I812" t="s">
        <v>18</v>
      </c>
      <c r="J812">
        <v>2</v>
      </c>
      <c r="K812">
        <v>6</v>
      </c>
      <c r="L812">
        <v>8</v>
      </c>
      <c r="M812">
        <v>0</v>
      </c>
    </row>
    <row r="813" spans="1:13" x14ac:dyDescent="0.35">
      <c r="A813">
        <v>15</v>
      </c>
      <c r="B813" t="s">
        <v>13</v>
      </c>
      <c r="C813">
        <v>3.7</v>
      </c>
      <c r="D813" t="s">
        <v>20</v>
      </c>
      <c r="E813">
        <v>4</v>
      </c>
      <c r="F813">
        <v>0.9</v>
      </c>
      <c r="G813">
        <v>3</v>
      </c>
      <c r="H813">
        <v>1.4</v>
      </c>
      <c r="I813" t="s">
        <v>19</v>
      </c>
      <c r="J813">
        <v>1</v>
      </c>
      <c r="K813">
        <v>8</v>
      </c>
      <c r="L813">
        <v>10</v>
      </c>
      <c r="M813">
        <v>0</v>
      </c>
    </row>
    <row r="814" spans="1:13" x14ac:dyDescent="0.35">
      <c r="A814">
        <v>15</v>
      </c>
      <c r="B814" t="s">
        <v>13</v>
      </c>
      <c r="C814">
        <v>6.7</v>
      </c>
      <c r="D814" t="s">
        <v>20</v>
      </c>
      <c r="E814">
        <v>4.3</v>
      </c>
      <c r="F814">
        <v>1.8</v>
      </c>
      <c r="G814">
        <v>3.69</v>
      </c>
      <c r="H814">
        <v>0.7</v>
      </c>
      <c r="I814" t="s">
        <v>18</v>
      </c>
      <c r="J814">
        <v>2</v>
      </c>
      <c r="K814">
        <v>8</v>
      </c>
      <c r="L814">
        <v>7</v>
      </c>
      <c r="M814">
        <v>0</v>
      </c>
    </row>
    <row r="815" spans="1:13" x14ac:dyDescent="0.35">
      <c r="A815">
        <v>15</v>
      </c>
      <c r="B815" t="s">
        <v>13</v>
      </c>
      <c r="C815">
        <v>4.3</v>
      </c>
      <c r="D815" t="s">
        <v>14</v>
      </c>
      <c r="E815">
        <v>7.5</v>
      </c>
      <c r="F815">
        <v>1.1000000000000001</v>
      </c>
      <c r="G815">
        <v>2.06</v>
      </c>
      <c r="H815">
        <v>1.8</v>
      </c>
      <c r="I815" t="s">
        <v>19</v>
      </c>
      <c r="J815">
        <v>5</v>
      </c>
      <c r="K815">
        <v>7</v>
      </c>
      <c r="L815">
        <v>2</v>
      </c>
      <c r="M815">
        <v>0</v>
      </c>
    </row>
    <row r="816" spans="1:13" x14ac:dyDescent="0.35">
      <c r="A816">
        <v>15</v>
      </c>
      <c r="B816" t="s">
        <v>13</v>
      </c>
      <c r="C816">
        <v>6.9</v>
      </c>
      <c r="D816" t="s">
        <v>17</v>
      </c>
      <c r="E816">
        <v>5.6</v>
      </c>
      <c r="F816">
        <v>1.4</v>
      </c>
      <c r="G816">
        <v>2.09</v>
      </c>
      <c r="H816">
        <v>0.7</v>
      </c>
      <c r="I816" t="s">
        <v>15</v>
      </c>
      <c r="J816">
        <v>9</v>
      </c>
      <c r="K816">
        <v>5</v>
      </c>
      <c r="L816">
        <v>9</v>
      </c>
      <c r="M816">
        <v>0</v>
      </c>
    </row>
    <row r="817" spans="1:13" x14ac:dyDescent="0.35">
      <c r="A817">
        <v>15</v>
      </c>
      <c r="B817" t="s">
        <v>13</v>
      </c>
      <c r="C817">
        <v>7.7</v>
      </c>
      <c r="D817" t="s">
        <v>14</v>
      </c>
      <c r="E817">
        <v>8</v>
      </c>
      <c r="F817">
        <v>1.3</v>
      </c>
      <c r="G817">
        <v>3.78</v>
      </c>
      <c r="H817">
        <v>1.1000000000000001</v>
      </c>
      <c r="I817" t="s">
        <v>19</v>
      </c>
      <c r="J817">
        <v>1</v>
      </c>
      <c r="K817">
        <v>6</v>
      </c>
      <c r="L817">
        <v>5</v>
      </c>
      <c r="M817">
        <v>0</v>
      </c>
    </row>
    <row r="818" spans="1:13" x14ac:dyDescent="0.35">
      <c r="A818">
        <v>15</v>
      </c>
      <c r="B818" t="s">
        <v>13</v>
      </c>
      <c r="C818">
        <v>1</v>
      </c>
      <c r="D818" t="s">
        <v>17</v>
      </c>
      <c r="E818">
        <v>8.5</v>
      </c>
      <c r="F818">
        <v>2</v>
      </c>
      <c r="G818">
        <v>3.77</v>
      </c>
      <c r="H818">
        <v>1.9</v>
      </c>
      <c r="I818" t="s">
        <v>18</v>
      </c>
      <c r="J818">
        <v>4</v>
      </c>
      <c r="K818">
        <v>1</v>
      </c>
      <c r="L818">
        <v>7</v>
      </c>
      <c r="M818">
        <v>0</v>
      </c>
    </row>
    <row r="819" spans="1:13" x14ac:dyDescent="0.35">
      <c r="A819">
        <v>15</v>
      </c>
      <c r="B819" t="s">
        <v>13</v>
      </c>
      <c r="C819">
        <v>8</v>
      </c>
      <c r="D819" t="s">
        <v>14</v>
      </c>
      <c r="E819">
        <v>4.7</v>
      </c>
      <c r="F819">
        <v>0.6</v>
      </c>
      <c r="G819">
        <v>3.01</v>
      </c>
      <c r="H819">
        <v>1.8</v>
      </c>
      <c r="I819" t="s">
        <v>19</v>
      </c>
      <c r="J819">
        <v>2</v>
      </c>
      <c r="K819">
        <v>9</v>
      </c>
      <c r="L819">
        <v>10</v>
      </c>
      <c r="M819">
        <v>0</v>
      </c>
    </row>
    <row r="820" spans="1:13" x14ac:dyDescent="0.35">
      <c r="A820">
        <v>15</v>
      </c>
      <c r="B820" t="s">
        <v>13</v>
      </c>
      <c r="C820">
        <v>4</v>
      </c>
      <c r="D820" t="s">
        <v>20</v>
      </c>
      <c r="E820">
        <v>5.2</v>
      </c>
      <c r="F820">
        <v>1.8</v>
      </c>
      <c r="G820">
        <v>3.3</v>
      </c>
      <c r="H820">
        <v>0.7</v>
      </c>
      <c r="I820" t="s">
        <v>19</v>
      </c>
      <c r="J820">
        <v>10</v>
      </c>
      <c r="K820">
        <v>5</v>
      </c>
      <c r="L820">
        <v>1</v>
      </c>
      <c r="M820">
        <v>0</v>
      </c>
    </row>
    <row r="821" spans="1:13" x14ac:dyDescent="0.35">
      <c r="A821">
        <v>15</v>
      </c>
      <c r="B821" t="s">
        <v>13</v>
      </c>
      <c r="C821">
        <v>3.7</v>
      </c>
      <c r="D821" t="s">
        <v>20</v>
      </c>
      <c r="E821">
        <v>5.7</v>
      </c>
      <c r="F821">
        <v>1.3</v>
      </c>
      <c r="G821">
        <v>3.24</v>
      </c>
      <c r="H821">
        <v>0.2</v>
      </c>
      <c r="I821" t="s">
        <v>15</v>
      </c>
      <c r="J821">
        <v>4</v>
      </c>
      <c r="K821">
        <v>9</v>
      </c>
      <c r="L821">
        <v>10</v>
      </c>
      <c r="M821">
        <v>0</v>
      </c>
    </row>
    <row r="822" spans="1:13" x14ac:dyDescent="0.35">
      <c r="A822">
        <v>15</v>
      </c>
      <c r="B822" t="s">
        <v>13</v>
      </c>
      <c r="C822">
        <v>6.4</v>
      </c>
      <c r="D822" t="s">
        <v>17</v>
      </c>
      <c r="E822">
        <v>6.9</v>
      </c>
      <c r="F822">
        <v>2.9</v>
      </c>
      <c r="G822">
        <v>2.48</v>
      </c>
      <c r="H822">
        <v>0.9</v>
      </c>
      <c r="I822" t="s">
        <v>15</v>
      </c>
      <c r="J822">
        <v>8</v>
      </c>
      <c r="K822">
        <v>4</v>
      </c>
      <c r="L822">
        <v>8</v>
      </c>
      <c r="M822">
        <v>0</v>
      </c>
    </row>
    <row r="823" spans="1:13" x14ac:dyDescent="0.35">
      <c r="A823">
        <v>15</v>
      </c>
      <c r="B823" t="s">
        <v>13</v>
      </c>
      <c r="C823">
        <v>4</v>
      </c>
      <c r="D823" t="s">
        <v>17</v>
      </c>
      <c r="E823">
        <v>4.5</v>
      </c>
      <c r="F823">
        <v>1.9</v>
      </c>
      <c r="G823">
        <v>3.22</v>
      </c>
      <c r="H823">
        <v>0.2</v>
      </c>
      <c r="I823" t="s">
        <v>19</v>
      </c>
      <c r="J823">
        <v>4</v>
      </c>
      <c r="K823">
        <v>5</v>
      </c>
      <c r="L823">
        <v>3</v>
      </c>
      <c r="M823">
        <v>0</v>
      </c>
    </row>
    <row r="824" spans="1:13" x14ac:dyDescent="0.35">
      <c r="A824">
        <v>15</v>
      </c>
      <c r="B824" t="s">
        <v>13</v>
      </c>
      <c r="C824">
        <v>5.4</v>
      </c>
      <c r="D824" t="s">
        <v>17</v>
      </c>
      <c r="E824">
        <v>4.2</v>
      </c>
      <c r="F824">
        <v>1.8</v>
      </c>
      <c r="G824">
        <v>2.15</v>
      </c>
      <c r="H824">
        <v>0.3</v>
      </c>
      <c r="I824" t="s">
        <v>19</v>
      </c>
      <c r="J824">
        <v>1</v>
      </c>
      <c r="K824">
        <v>10</v>
      </c>
      <c r="L824">
        <v>5</v>
      </c>
      <c r="M824">
        <v>0</v>
      </c>
    </row>
    <row r="825" spans="1:13" x14ac:dyDescent="0.35">
      <c r="A825">
        <v>15</v>
      </c>
      <c r="B825" t="s">
        <v>13</v>
      </c>
      <c r="C825">
        <v>7.8</v>
      </c>
      <c r="D825" t="s">
        <v>20</v>
      </c>
      <c r="E825">
        <v>6.8</v>
      </c>
      <c r="F825">
        <v>0.6</v>
      </c>
      <c r="G825">
        <v>3.2</v>
      </c>
      <c r="H825">
        <v>1.7</v>
      </c>
      <c r="I825" t="s">
        <v>19</v>
      </c>
      <c r="J825">
        <v>1</v>
      </c>
      <c r="K825">
        <v>7</v>
      </c>
      <c r="L825">
        <v>5</v>
      </c>
      <c r="M825">
        <v>0</v>
      </c>
    </row>
    <row r="826" spans="1:13" x14ac:dyDescent="0.35">
      <c r="A826">
        <v>15</v>
      </c>
      <c r="B826" t="s">
        <v>13</v>
      </c>
      <c r="C826">
        <v>3.5</v>
      </c>
      <c r="D826" t="s">
        <v>20</v>
      </c>
      <c r="E826">
        <v>8.8000000000000007</v>
      </c>
      <c r="F826">
        <v>1.8</v>
      </c>
      <c r="G826">
        <v>3.5</v>
      </c>
      <c r="H826">
        <v>0.8</v>
      </c>
      <c r="I826" t="s">
        <v>15</v>
      </c>
      <c r="J826">
        <v>3</v>
      </c>
      <c r="K826">
        <v>6</v>
      </c>
      <c r="L826">
        <v>3</v>
      </c>
      <c r="M826">
        <v>0</v>
      </c>
    </row>
    <row r="827" spans="1:13" x14ac:dyDescent="0.35">
      <c r="A827">
        <v>15</v>
      </c>
      <c r="B827" t="s">
        <v>13</v>
      </c>
      <c r="C827">
        <v>4.5</v>
      </c>
      <c r="D827" t="s">
        <v>20</v>
      </c>
      <c r="E827">
        <v>7</v>
      </c>
      <c r="F827">
        <v>1.5</v>
      </c>
      <c r="G827">
        <v>3.16</v>
      </c>
      <c r="H827">
        <v>1.7</v>
      </c>
      <c r="I827" t="s">
        <v>19</v>
      </c>
      <c r="J827">
        <v>4</v>
      </c>
      <c r="K827">
        <v>7</v>
      </c>
      <c r="L827">
        <v>10</v>
      </c>
      <c r="M827">
        <v>0</v>
      </c>
    </row>
    <row r="828" spans="1:13" x14ac:dyDescent="0.35">
      <c r="A828">
        <v>15</v>
      </c>
      <c r="B828" t="s">
        <v>13</v>
      </c>
      <c r="C828">
        <v>2.2000000000000002</v>
      </c>
      <c r="D828" t="s">
        <v>14</v>
      </c>
      <c r="E828">
        <v>6.1</v>
      </c>
      <c r="F828">
        <v>0.9</v>
      </c>
      <c r="G828">
        <v>3.81</v>
      </c>
      <c r="H828">
        <v>0.1</v>
      </c>
      <c r="I828" t="s">
        <v>18</v>
      </c>
      <c r="J828">
        <v>2</v>
      </c>
      <c r="K828">
        <v>7</v>
      </c>
      <c r="L828">
        <v>3</v>
      </c>
      <c r="M828">
        <v>0</v>
      </c>
    </row>
    <row r="829" spans="1:13" x14ac:dyDescent="0.35">
      <c r="A829">
        <v>15</v>
      </c>
      <c r="B829" t="s">
        <v>13</v>
      </c>
      <c r="C829">
        <v>4.4000000000000004</v>
      </c>
      <c r="D829" t="s">
        <v>14</v>
      </c>
      <c r="E829">
        <v>6</v>
      </c>
      <c r="F829">
        <v>0.5</v>
      </c>
      <c r="G829">
        <v>3.33</v>
      </c>
      <c r="H829">
        <v>0.7</v>
      </c>
      <c r="I829" t="s">
        <v>19</v>
      </c>
      <c r="J829">
        <v>1</v>
      </c>
      <c r="K829">
        <v>6</v>
      </c>
      <c r="L829">
        <v>10</v>
      </c>
      <c r="M829">
        <v>0</v>
      </c>
    </row>
    <row r="830" spans="1:13" x14ac:dyDescent="0.35">
      <c r="A830">
        <v>15</v>
      </c>
      <c r="B830" t="s">
        <v>13</v>
      </c>
      <c r="C830">
        <v>3.5</v>
      </c>
      <c r="D830" t="s">
        <v>17</v>
      </c>
      <c r="E830">
        <v>4.5</v>
      </c>
      <c r="F830">
        <v>2.7</v>
      </c>
      <c r="G830">
        <v>2.4700000000000002</v>
      </c>
      <c r="H830">
        <v>1.4</v>
      </c>
      <c r="I830" t="s">
        <v>15</v>
      </c>
      <c r="J830">
        <v>1</v>
      </c>
      <c r="K830">
        <v>5</v>
      </c>
      <c r="L830">
        <v>10</v>
      </c>
      <c r="M830">
        <v>0</v>
      </c>
    </row>
    <row r="831" spans="1:13" x14ac:dyDescent="0.35">
      <c r="A831">
        <v>15</v>
      </c>
      <c r="B831" t="s">
        <v>13</v>
      </c>
      <c r="C831">
        <v>6.8</v>
      </c>
      <c r="D831" t="s">
        <v>20</v>
      </c>
      <c r="E831">
        <v>6.6</v>
      </c>
      <c r="F831">
        <v>2.1</v>
      </c>
      <c r="G831">
        <v>3.43</v>
      </c>
      <c r="H831">
        <v>1.7</v>
      </c>
      <c r="I831" t="s">
        <v>15</v>
      </c>
      <c r="J831">
        <v>10</v>
      </c>
      <c r="K831">
        <v>10</v>
      </c>
      <c r="L831">
        <v>8</v>
      </c>
      <c r="M831">
        <v>0</v>
      </c>
    </row>
    <row r="832" spans="1:13" x14ac:dyDescent="0.35">
      <c r="A832">
        <v>15</v>
      </c>
      <c r="B832" t="s">
        <v>13</v>
      </c>
      <c r="C832">
        <v>6.5</v>
      </c>
      <c r="D832" t="s">
        <v>17</v>
      </c>
      <c r="E832">
        <v>5.4</v>
      </c>
      <c r="F832">
        <v>2.1</v>
      </c>
      <c r="G832">
        <v>3.44</v>
      </c>
      <c r="H832">
        <v>1.8</v>
      </c>
      <c r="I832" t="s">
        <v>15</v>
      </c>
      <c r="J832">
        <v>7</v>
      </c>
      <c r="K832">
        <v>3</v>
      </c>
      <c r="L832">
        <v>6</v>
      </c>
      <c r="M832">
        <v>0</v>
      </c>
    </row>
    <row r="833" spans="1:13" x14ac:dyDescent="0.35">
      <c r="A833">
        <v>15</v>
      </c>
      <c r="B833" t="s">
        <v>13</v>
      </c>
      <c r="C833">
        <v>4.7</v>
      </c>
      <c r="D833" t="s">
        <v>14</v>
      </c>
      <c r="E833">
        <v>8.1999999999999993</v>
      </c>
      <c r="F833">
        <v>2.2999999999999998</v>
      </c>
      <c r="G833">
        <v>3.35</v>
      </c>
      <c r="H833">
        <v>0.6</v>
      </c>
      <c r="I833" t="s">
        <v>15</v>
      </c>
      <c r="J833">
        <v>6</v>
      </c>
      <c r="K833">
        <v>2</v>
      </c>
      <c r="L833">
        <v>5</v>
      </c>
      <c r="M833">
        <v>0</v>
      </c>
    </row>
    <row r="834" spans="1:13" x14ac:dyDescent="0.35">
      <c r="A834">
        <v>15</v>
      </c>
      <c r="B834" t="s">
        <v>13</v>
      </c>
      <c r="C834">
        <v>2.7</v>
      </c>
      <c r="D834" t="s">
        <v>14</v>
      </c>
      <c r="E834">
        <v>7.2</v>
      </c>
      <c r="F834">
        <v>2.9</v>
      </c>
      <c r="G834">
        <v>3.27</v>
      </c>
      <c r="H834">
        <v>0.8</v>
      </c>
      <c r="I834" t="s">
        <v>19</v>
      </c>
      <c r="J834">
        <v>5</v>
      </c>
      <c r="K834">
        <v>2</v>
      </c>
      <c r="L834">
        <v>9</v>
      </c>
      <c r="M834">
        <v>0</v>
      </c>
    </row>
    <row r="835" spans="1:13" x14ac:dyDescent="0.35">
      <c r="A835">
        <v>15</v>
      </c>
      <c r="B835" t="s">
        <v>13</v>
      </c>
      <c r="C835">
        <v>3.2</v>
      </c>
      <c r="D835" t="s">
        <v>14</v>
      </c>
      <c r="E835">
        <v>5.6</v>
      </c>
      <c r="F835">
        <v>0.7</v>
      </c>
      <c r="G835">
        <v>3.1</v>
      </c>
      <c r="H835">
        <v>1.5</v>
      </c>
      <c r="I835" t="s">
        <v>18</v>
      </c>
      <c r="J835">
        <v>6</v>
      </c>
      <c r="K835">
        <v>3</v>
      </c>
      <c r="L835">
        <v>1</v>
      </c>
      <c r="M835">
        <v>0</v>
      </c>
    </row>
    <row r="836" spans="1:13" x14ac:dyDescent="0.35">
      <c r="A836">
        <v>15</v>
      </c>
      <c r="B836" t="s">
        <v>13</v>
      </c>
      <c r="C836">
        <v>7.6</v>
      </c>
      <c r="D836" t="s">
        <v>20</v>
      </c>
      <c r="E836">
        <v>6</v>
      </c>
      <c r="F836">
        <v>2.9</v>
      </c>
      <c r="G836">
        <v>2.72</v>
      </c>
      <c r="H836">
        <v>1.8</v>
      </c>
      <c r="I836" t="s">
        <v>18</v>
      </c>
      <c r="J836">
        <v>1</v>
      </c>
      <c r="K836">
        <v>9</v>
      </c>
      <c r="L836">
        <v>6</v>
      </c>
      <c r="M836">
        <v>0</v>
      </c>
    </row>
    <row r="837" spans="1:13" x14ac:dyDescent="0.35">
      <c r="A837">
        <v>15</v>
      </c>
      <c r="B837" t="s">
        <v>13</v>
      </c>
      <c r="C837">
        <v>5.4</v>
      </c>
      <c r="D837" t="s">
        <v>14</v>
      </c>
      <c r="E837">
        <v>4.2</v>
      </c>
      <c r="F837">
        <v>1.5</v>
      </c>
      <c r="G837">
        <v>2.72</v>
      </c>
      <c r="H837">
        <v>0.4</v>
      </c>
      <c r="I837" t="s">
        <v>18</v>
      </c>
      <c r="J837">
        <v>1</v>
      </c>
      <c r="K837">
        <v>6</v>
      </c>
      <c r="L837">
        <v>5</v>
      </c>
      <c r="M837">
        <v>0</v>
      </c>
    </row>
    <row r="838" spans="1:13" x14ac:dyDescent="0.35">
      <c r="A838">
        <v>15</v>
      </c>
      <c r="B838" t="s">
        <v>13</v>
      </c>
      <c r="C838">
        <v>1.2</v>
      </c>
      <c r="D838" t="s">
        <v>20</v>
      </c>
      <c r="E838">
        <v>7.4</v>
      </c>
      <c r="F838">
        <v>2.7</v>
      </c>
      <c r="G838">
        <v>2.92</v>
      </c>
      <c r="H838">
        <v>1.4</v>
      </c>
      <c r="I838" t="s">
        <v>15</v>
      </c>
      <c r="J838">
        <v>3</v>
      </c>
      <c r="K838">
        <v>7</v>
      </c>
      <c r="L838">
        <v>4</v>
      </c>
      <c r="M838">
        <v>0</v>
      </c>
    </row>
    <row r="839" spans="1:13" x14ac:dyDescent="0.35">
      <c r="A839">
        <v>15</v>
      </c>
      <c r="B839" t="s">
        <v>13</v>
      </c>
      <c r="C839">
        <v>3.6</v>
      </c>
      <c r="D839" t="s">
        <v>14</v>
      </c>
      <c r="E839">
        <v>4.8</v>
      </c>
      <c r="F839">
        <v>1</v>
      </c>
      <c r="G839">
        <v>3.71</v>
      </c>
      <c r="H839">
        <v>1.1000000000000001</v>
      </c>
      <c r="I839" t="s">
        <v>19</v>
      </c>
      <c r="J839">
        <v>5</v>
      </c>
      <c r="K839">
        <v>7</v>
      </c>
      <c r="L839">
        <v>4</v>
      </c>
      <c r="M839">
        <v>0</v>
      </c>
    </row>
    <row r="840" spans="1:13" x14ac:dyDescent="0.35">
      <c r="A840">
        <v>15</v>
      </c>
      <c r="B840" t="s">
        <v>13</v>
      </c>
      <c r="C840">
        <v>4.8</v>
      </c>
      <c r="D840" t="s">
        <v>20</v>
      </c>
      <c r="E840">
        <v>4.3</v>
      </c>
      <c r="F840">
        <v>2.2000000000000002</v>
      </c>
      <c r="G840">
        <v>2.5</v>
      </c>
      <c r="H840">
        <v>0</v>
      </c>
      <c r="I840" t="s">
        <v>19</v>
      </c>
      <c r="J840">
        <v>4</v>
      </c>
      <c r="K840">
        <v>1</v>
      </c>
      <c r="L840">
        <v>4</v>
      </c>
      <c r="M840">
        <v>0</v>
      </c>
    </row>
    <row r="841" spans="1:13" x14ac:dyDescent="0.35">
      <c r="A841">
        <v>18</v>
      </c>
      <c r="B841" t="s">
        <v>16</v>
      </c>
      <c r="C841">
        <v>6.4</v>
      </c>
      <c r="D841" t="s">
        <v>20</v>
      </c>
      <c r="E841">
        <v>4.2</v>
      </c>
      <c r="F841">
        <v>1.1000000000000001</v>
      </c>
      <c r="G841">
        <v>2.68</v>
      </c>
      <c r="H841">
        <v>0.3</v>
      </c>
      <c r="I841" t="s">
        <v>18</v>
      </c>
      <c r="J841">
        <v>10</v>
      </c>
      <c r="K841">
        <v>9</v>
      </c>
      <c r="L841">
        <v>4</v>
      </c>
      <c r="M841">
        <v>1</v>
      </c>
    </row>
    <row r="842" spans="1:13" x14ac:dyDescent="0.35">
      <c r="A842">
        <v>15</v>
      </c>
      <c r="B842" t="s">
        <v>13</v>
      </c>
      <c r="C842">
        <v>3.8</v>
      </c>
      <c r="D842" t="s">
        <v>20</v>
      </c>
      <c r="E842">
        <v>8.3000000000000007</v>
      </c>
      <c r="F842">
        <v>2.6</v>
      </c>
      <c r="G842">
        <v>3.19</v>
      </c>
      <c r="H842">
        <v>2</v>
      </c>
      <c r="I842" t="s">
        <v>19</v>
      </c>
      <c r="J842">
        <v>1</v>
      </c>
      <c r="K842">
        <v>2</v>
      </c>
      <c r="L842">
        <v>2</v>
      </c>
      <c r="M842">
        <v>0</v>
      </c>
    </row>
    <row r="843" spans="1:13" x14ac:dyDescent="0.35">
      <c r="A843">
        <v>15</v>
      </c>
      <c r="B843" t="s">
        <v>13</v>
      </c>
      <c r="C843">
        <v>2.2000000000000002</v>
      </c>
      <c r="D843" t="s">
        <v>20</v>
      </c>
      <c r="E843">
        <v>4.5</v>
      </c>
      <c r="F843">
        <v>1.3</v>
      </c>
      <c r="G843">
        <v>2.63</v>
      </c>
      <c r="H843">
        <v>1.7</v>
      </c>
      <c r="I843" t="s">
        <v>15</v>
      </c>
      <c r="J843">
        <v>10</v>
      </c>
      <c r="K843">
        <v>2</v>
      </c>
      <c r="L843">
        <v>6</v>
      </c>
      <c r="M843">
        <v>0</v>
      </c>
    </row>
    <row r="844" spans="1:13" x14ac:dyDescent="0.35">
      <c r="A844">
        <v>15</v>
      </c>
      <c r="B844" t="s">
        <v>13</v>
      </c>
      <c r="C844">
        <v>6.9</v>
      </c>
      <c r="D844" t="s">
        <v>14</v>
      </c>
      <c r="E844">
        <v>6.2</v>
      </c>
      <c r="F844">
        <v>0.6</v>
      </c>
      <c r="G844">
        <v>2.37</v>
      </c>
      <c r="H844">
        <v>0.2</v>
      </c>
      <c r="I844" t="s">
        <v>15</v>
      </c>
      <c r="J844">
        <v>3</v>
      </c>
      <c r="K844">
        <v>1</v>
      </c>
      <c r="L844">
        <v>4</v>
      </c>
      <c r="M844">
        <v>0</v>
      </c>
    </row>
    <row r="845" spans="1:13" x14ac:dyDescent="0.35">
      <c r="A845">
        <v>15</v>
      </c>
      <c r="B845" t="s">
        <v>13</v>
      </c>
      <c r="C845">
        <v>6.2</v>
      </c>
      <c r="D845" t="s">
        <v>20</v>
      </c>
      <c r="E845">
        <v>6.4</v>
      </c>
      <c r="F845">
        <v>1.4</v>
      </c>
      <c r="G845">
        <v>3.34</v>
      </c>
      <c r="H845">
        <v>0.9</v>
      </c>
      <c r="I845" t="s">
        <v>18</v>
      </c>
      <c r="J845">
        <v>8</v>
      </c>
      <c r="K845">
        <v>9</v>
      </c>
      <c r="L845">
        <v>9</v>
      </c>
      <c r="M845">
        <v>0</v>
      </c>
    </row>
    <row r="846" spans="1:13" x14ac:dyDescent="0.35">
      <c r="A846">
        <v>15</v>
      </c>
      <c r="B846" t="s">
        <v>13</v>
      </c>
      <c r="C846">
        <v>3.6</v>
      </c>
      <c r="D846" t="s">
        <v>14</v>
      </c>
      <c r="E846">
        <v>5.5</v>
      </c>
      <c r="F846">
        <v>1.2</v>
      </c>
      <c r="G846">
        <v>2.4900000000000002</v>
      </c>
      <c r="H846">
        <v>1.9</v>
      </c>
      <c r="I846" t="s">
        <v>15</v>
      </c>
      <c r="J846">
        <v>1</v>
      </c>
      <c r="K846">
        <v>4</v>
      </c>
      <c r="L846">
        <v>9</v>
      </c>
      <c r="M846">
        <v>0</v>
      </c>
    </row>
    <row r="847" spans="1:13" x14ac:dyDescent="0.35">
      <c r="A847">
        <v>18</v>
      </c>
      <c r="B847" t="s">
        <v>16</v>
      </c>
      <c r="C847">
        <v>6.3</v>
      </c>
      <c r="D847" t="s">
        <v>17</v>
      </c>
      <c r="E847">
        <v>4.8</v>
      </c>
      <c r="F847">
        <v>1.2</v>
      </c>
      <c r="G847">
        <v>2.91</v>
      </c>
      <c r="H847">
        <v>1.3</v>
      </c>
      <c r="I847" t="s">
        <v>19</v>
      </c>
      <c r="J847">
        <v>9</v>
      </c>
      <c r="K847">
        <v>10</v>
      </c>
      <c r="L847">
        <v>3</v>
      </c>
      <c r="M847">
        <v>1</v>
      </c>
    </row>
    <row r="848" spans="1:13" x14ac:dyDescent="0.35">
      <c r="A848">
        <v>15</v>
      </c>
      <c r="B848" t="s">
        <v>13</v>
      </c>
      <c r="C848">
        <v>3.8</v>
      </c>
      <c r="D848" t="s">
        <v>17</v>
      </c>
      <c r="E848">
        <v>7.1</v>
      </c>
      <c r="F848">
        <v>0.5</v>
      </c>
      <c r="G848">
        <v>3.08</v>
      </c>
      <c r="H848">
        <v>0.2</v>
      </c>
      <c r="I848" t="s">
        <v>19</v>
      </c>
      <c r="J848">
        <v>2</v>
      </c>
      <c r="K848">
        <v>9</v>
      </c>
      <c r="L848">
        <v>7</v>
      </c>
      <c r="M848">
        <v>0</v>
      </c>
    </row>
    <row r="849" spans="1:13" x14ac:dyDescent="0.35">
      <c r="A849">
        <v>15</v>
      </c>
      <c r="B849" t="s">
        <v>13</v>
      </c>
      <c r="C849">
        <v>4.9000000000000004</v>
      </c>
      <c r="D849" t="s">
        <v>20</v>
      </c>
      <c r="E849">
        <v>5.2</v>
      </c>
      <c r="F849">
        <v>0.7</v>
      </c>
      <c r="G849">
        <v>2.5499999999999998</v>
      </c>
      <c r="H849">
        <v>0.1</v>
      </c>
      <c r="I849" t="s">
        <v>15</v>
      </c>
      <c r="J849">
        <v>10</v>
      </c>
      <c r="K849">
        <v>6</v>
      </c>
      <c r="L849">
        <v>4</v>
      </c>
      <c r="M849">
        <v>0</v>
      </c>
    </row>
    <row r="850" spans="1:13" x14ac:dyDescent="0.35">
      <c r="A850">
        <v>15</v>
      </c>
      <c r="B850" t="s">
        <v>13</v>
      </c>
      <c r="C850">
        <v>4.0999999999999996</v>
      </c>
      <c r="D850" t="s">
        <v>14</v>
      </c>
      <c r="E850">
        <v>7.6</v>
      </c>
      <c r="F850">
        <v>1</v>
      </c>
      <c r="G850">
        <v>2.17</v>
      </c>
      <c r="H850">
        <v>1.1000000000000001</v>
      </c>
      <c r="I850" t="s">
        <v>15</v>
      </c>
      <c r="J850">
        <v>4</v>
      </c>
      <c r="K850">
        <v>5</v>
      </c>
      <c r="L850">
        <v>1</v>
      </c>
      <c r="M850">
        <v>0</v>
      </c>
    </row>
    <row r="851" spans="1:13" x14ac:dyDescent="0.35">
      <c r="A851">
        <v>15</v>
      </c>
      <c r="B851" t="s">
        <v>13</v>
      </c>
      <c r="C851">
        <v>7.5</v>
      </c>
      <c r="D851" t="s">
        <v>20</v>
      </c>
      <c r="E851">
        <v>6.3</v>
      </c>
      <c r="F851">
        <v>2.8</v>
      </c>
      <c r="G851">
        <v>3.04</v>
      </c>
      <c r="H851">
        <v>1.8</v>
      </c>
      <c r="I851" t="s">
        <v>15</v>
      </c>
      <c r="J851">
        <v>1</v>
      </c>
      <c r="K851">
        <v>5</v>
      </c>
      <c r="L851">
        <v>8</v>
      </c>
      <c r="M851">
        <v>0</v>
      </c>
    </row>
    <row r="852" spans="1:13" x14ac:dyDescent="0.35">
      <c r="A852">
        <v>15</v>
      </c>
      <c r="B852" t="s">
        <v>13</v>
      </c>
      <c r="C852">
        <v>2.6</v>
      </c>
      <c r="D852" t="s">
        <v>20</v>
      </c>
      <c r="E852">
        <v>6.8</v>
      </c>
      <c r="F852">
        <v>1.7</v>
      </c>
      <c r="G852">
        <v>2.06</v>
      </c>
      <c r="H852">
        <v>0.4</v>
      </c>
      <c r="I852" t="s">
        <v>19</v>
      </c>
      <c r="J852">
        <v>8</v>
      </c>
      <c r="K852">
        <v>6</v>
      </c>
      <c r="L852">
        <v>6</v>
      </c>
      <c r="M852">
        <v>0</v>
      </c>
    </row>
    <row r="853" spans="1:13" x14ac:dyDescent="0.35">
      <c r="A853">
        <v>15</v>
      </c>
      <c r="B853" t="s">
        <v>13</v>
      </c>
      <c r="C853">
        <v>4</v>
      </c>
      <c r="D853" t="s">
        <v>17</v>
      </c>
      <c r="E853">
        <v>8.4</v>
      </c>
      <c r="F853">
        <v>2.2999999999999998</v>
      </c>
      <c r="G853">
        <v>2.52</v>
      </c>
      <c r="H853">
        <v>0.9</v>
      </c>
      <c r="I853" t="s">
        <v>15</v>
      </c>
      <c r="J853">
        <v>4</v>
      </c>
      <c r="K853">
        <v>5</v>
      </c>
      <c r="L853">
        <v>3</v>
      </c>
      <c r="M853">
        <v>0</v>
      </c>
    </row>
    <row r="854" spans="1:13" x14ac:dyDescent="0.35">
      <c r="A854">
        <v>15</v>
      </c>
      <c r="B854" t="s">
        <v>13</v>
      </c>
      <c r="C854">
        <v>7.2</v>
      </c>
      <c r="D854" t="s">
        <v>20</v>
      </c>
      <c r="E854">
        <v>5.7</v>
      </c>
      <c r="F854">
        <v>0.7</v>
      </c>
      <c r="G854">
        <v>3.89</v>
      </c>
      <c r="H854">
        <v>1</v>
      </c>
      <c r="I854" t="s">
        <v>19</v>
      </c>
      <c r="J854">
        <v>1</v>
      </c>
      <c r="K854">
        <v>3</v>
      </c>
      <c r="L854">
        <v>6</v>
      </c>
      <c r="M854">
        <v>0</v>
      </c>
    </row>
    <row r="855" spans="1:13" x14ac:dyDescent="0.35">
      <c r="A855">
        <v>15</v>
      </c>
      <c r="B855" t="s">
        <v>13</v>
      </c>
      <c r="C855">
        <v>6.5</v>
      </c>
      <c r="D855" t="s">
        <v>20</v>
      </c>
      <c r="E855">
        <v>6.2</v>
      </c>
      <c r="F855">
        <v>1.2</v>
      </c>
      <c r="G855">
        <v>3.19</v>
      </c>
      <c r="H855">
        <v>0</v>
      </c>
      <c r="I855" t="s">
        <v>19</v>
      </c>
      <c r="J855">
        <v>6</v>
      </c>
      <c r="K855">
        <v>5</v>
      </c>
      <c r="L855">
        <v>2</v>
      </c>
      <c r="M855">
        <v>0</v>
      </c>
    </row>
    <row r="856" spans="1:13" x14ac:dyDescent="0.35">
      <c r="A856">
        <v>15</v>
      </c>
      <c r="B856" t="s">
        <v>13</v>
      </c>
      <c r="C856">
        <v>3.3</v>
      </c>
      <c r="D856" t="s">
        <v>20</v>
      </c>
      <c r="E856">
        <v>6.1</v>
      </c>
      <c r="F856">
        <v>1.2</v>
      </c>
      <c r="G856">
        <v>2.56</v>
      </c>
      <c r="H856">
        <v>1.4</v>
      </c>
      <c r="I856" t="s">
        <v>15</v>
      </c>
      <c r="J856">
        <v>8</v>
      </c>
      <c r="K856">
        <v>6</v>
      </c>
      <c r="L856">
        <v>3</v>
      </c>
      <c r="M856">
        <v>0</v>
      </c>
    </row>
    <row r="857" spans="1:13" x14ac:dyDescent="0.35">
      <c r="A857">
        <v>15</v>
      </c>
      <c r="B857" t="s">
        <v>13</v>
      </c>
      <c r="C857">
        <v>5.0999999999999996</v>
      </c>
      <c r="D857" t="s">
        <v>17</v>
      </c>
      <c r="E857">
        <v>5.5</v>
      </c>
      <c r="F857">
        <v>0.7</v>
      </c>
      <c r="G857">
        <v>2.13</v>
      </c>
      <c r="H857">
        <v>0.5</v>
      </c>
      <c r="I857" t="s">
        <v>19</v>
      </c>
      <c r="J857">
        <v>6</v>
      </c>
      <c r="K857">
        <v>10</v>
      </c>
      <c r="L857">
        <v>8</v>
      </c>
      <c r="M857">
        <v>0</v>
      </c>
    </row>
    <row r="858" spans="1:13" x14ac:dyDescent="0.35">
      <c r="A858">
        <v>15</v>
      </c>
      <c r="B858" t="s">
        <v>13</v>
      </c>
      <c r="C858">
        <v>6.3</v>
      </c>
      <c r="D858" t="s">
        <v>17</v>
      </c>
      <c r="E858">
        <v>6.8</v>
      </c>
      <c r="F858">
        <v>1.8</v>
      </c>
      <c r="G858">
        <v>2.59</v>
      </c>
      <c r="H858">
        <v>1.9</v>
      </c>
      <c r="I858" t="s">
        <v>18</v>
      </c>
      <c r="J858">
        <v>10</v>
      </c>
      <c r="K858">
        <v>5</v>
      </c>
      <c r="L858">
        <v>5</v>
      </c>
      <c r="M858">
        <v>0</v>
      </c>
    </row>
    <row r="859" spans="1:13" x14ac:dyDescent="0.35">
      <c r="A859">
        <v>15</v>
      </c>
      <c r="B859" t="s">
        <v>13</v>
      </c>
      <c r="C859">
        <v>3.9</v>
      </c>
      <c r="D859" t="s">
        <v>20</v>
      </c>
      <c r="E859">
        <v>8.5</v>
      </c>
      <c r="F859">
        <v>2.1</v>
      </c>
      <c r="G859">
        <v>3.19</v>
      </c>
      <c r="H859">
        <v>0.6</v>
      </c>
      <c r="I859" t="s">
        <v>18</v>
      </c>
      <c r="J859">
        <v>7</v>
      </c>
      <c r="K859">
        <v>9</v>
      </c>
      <c r="L859">
        <v>9</v>
      </c>
      <c r="M859">
        <v>0</v>
      </c>
    </row>
    <row r="860" spans="1:13" x14ac:dyDescent="0.35">
      <c r="A860">
        <v>16</v>
      </c>
      <c r="B860" t="s">
        <v>13</v>
      </c>
      <c r="C860">
        <v>4</v>
      </c>
      <c r="D860" t="s">
        <v>20</v>
      </c>
      <c r="E860">
        <v>4.2</v>
      </c>
      <c r="F860">
        <v>0.5</v>
      </c>
      <c r="G860">
        <v>2.4</v>
      </c>
      <c r="H860">
        <v>1.3</v>
      </c>
      <c r="I860" t="s">
        <v>15</v>
      </c>
      <c r="J860">
        <v>6</v>
      </c>
      <c r="K860">
        <v>10</v>
      </c>
      <c r="L860">
        <v>5</v>
      </c>
      <c r="M860">
        <v>0</v>
      </c>
    </row>
    <row r="861" spans="1:13" x14ac:dyDescent="0.35">
      <c r="A861">
        <v>16</v>
      </c>
      <c r="B861" t="s">
        <v>13</v>
      </c>
      <c r="C861">
        <v>7.2</v>
      </c>
      <c r="D861" t="s">
        <v>20</v>
      </c>
      <c r="E861">
        <v>5.8</v>
      </c>
      <c r="F861">
        <v>2.9</v>
      </c>
      <c r="G861">
        <v>3.16</v>
      </c>
      <c r="H861">
        <v>1.2</v>
      </c>
      <c r="I861" t="s">
        <v>19</v>
      </c>
      <c r="J861">
        <v>5</v>
      </c>
      <c r="K861">
        <v>8</v>
      </c>
      <c r="L861">
        <v>9</v>
      </c>
      <c r="M861">
        <v>0</v>
      </c>
    </row>
    <row r="862" spans="1:13" x14ac:dyDescent="0.35">
      <c r="A862">
        <v>16</v>
      </c>
      <c r="B862" t="s">
        <v>13</v>
      </c>
      <c r="C862">
        <v>6.2</v>
      </c>
      <c r="D862" t="s">
        <v>20</v>
      </c>
      <c r="E862">
        <v>7.2</v>
      </c>
      <c r="F862">
        <v>2.6</v>
      </c>
      <c r="G862">
        <v>2.02</v>
      </c>
      <c r="H862">
        <v>1.7</v>
      </c>
      <c r="I862" t="s">
        <v>19</v>
      </c>
      <c r="J862">
        <v>5</v>
      </c>
      <c r="K862">
        <v>7</v>
      </c>
      <c r="L862">
        <v>6</v>
      </c>
      <c r="M862">
        <v>0</v>
      </c>
    </row>
    <row r="863" spans="1:13" x14ac:dyDescent="0.35">
      <c r="A863">
        <v>16</v>
      </c>
      <c r="B863" t="s">
        <v>13</v>
      </c>
      <c r="C863">
        <v>3.1</v>
      </c>
      <c r="D863" t="s">
        <v>20</v>
      </c>
      <c r="E863">
        <v>6.1</v>
      </c>
      <c r="F863">
        <v>0.8</v>
      </c>
      <c r="G863">
        <v>2.11</v>
      </c>
      <c r="H863">
        <v>1.9</v>
      </c>
      <c r="I863" t="s">
        <v>18</v>
      </c>
      <c r="J863">
        <v>10</v>
      </c>
      <c r="K863">
        <v>7</v>
      </c>
      <c r="L863">
        <v>10</v>
      </c>
      <c r="M863">
        <v>0</v>
      </c>
    </row>
    <row r="864" spans="1:13" x14ac:dyDescent="0.35">
      <c r="A864">
        <v>16</v>
      </c>
      <c r="B864" t="s">
        <v>13</v>
      </c>
      <c r="C864">
        <v>3.4</v>
      </c>
      <c r="D864" t="s">
        <v>17</v>
      </c>
      <c r="E864">
        <v>4.5999999999999996</v>
      </c>
      <c r="F864">
        <v>2.1</v>
      </c>
      <c r="G864">
        <v>2.2400000000000002</v>
      </c>
      <c r="H864">
        <v>0.4</v>
      </c>
      <c r="I864" t="s">
        <v>18</v>
      </c>
      <c r="J864">
        <v>4</v>
      </c>
      <c r="K864">
        <v>1</v>
      </c>
      <c r="L864">
        <v>3</v>
      </c>
      <c r="M864">
        <v>0</v>
      </c>
    </row>
    <row r="865" spans="1:13" x14ac:dyDescent="0.35">
      <c r="A865">
        <v>16</v>
      </c>
      <c r="B865" t="s">
        <v>13</v>
      </c>
      <c r="C865">
        <v>2.7</v>
      </c>
      <c r="D865" t="s">
        <v>14</v>
      </c>
      <c r="E865">
        <v>4.2</v>
      </c>
      <c r="F865">
        <v>2.4</v>
      </c>
      <c r="G865">
        <v>3.05</v>
      </c>
      <c r="H865">
        <v>0.2</v>
      </c>
      <c r="I865" t="s">
        <v>18</v>
      </c>
      <c r="J865">
        <v>1</v>
      </c>
      <c r="K865">
        <v>8</v>
      </c>
      <c r="L865">
        <v>4</v>
      </c>
      <c r="M865">
        <v>0</v>
      </c>
    </row>
    <row r="866" spans="1:13" x14ac:dyDescent="0.35">
      <c r="A866">
        <v>16</v>
      </c>
      <c r="B866" t="s">
        <v>13</v>
      </c>
      <c r="C866">
        <v>2.2999999999999998</v>
      </c>
      <c r="D866" t="s">
        <v>17</v>
      </c>
      <c r="E866">
        <v>6.3</v>
      </c>
      <c r="F866">
        <v>3</v>
      </c>
      <c r="G866">
        <v>3.24</v>
      </c>
      <c r="H866">
        <v>1.9</v>
      </c>
      <c r="I866" t="s">
        <v>19</v>
      </c>
      <c r="J866">
        <v>4</v>
      </c>
      <c r="K866">
        <v>4</v>
      </c>
      <c r="L866">
        <v>9</v>
      </c>
      <c r="M866">
        <v>0</v>
      </c>
    </row>
    <row r="867" spans="1:13" x14ac:dyDescent="0.35">
      <c r="A867">
        <v>16</v>
      </c>
      <c r="B867" t="s">
        <v>13</v>
      </c>
      <c r="C867">
        <v>6.4</v>
      </c>
      <c r="D867" t="s">
        <v>17</v>
      </c>
      <c r="E867">
        <v>5.3</v>
      </c>
      <c r="F867">
        <v>2.4</v>
      </c>
      <c r="G867">
        <v>2.0299999999999998</v>
      </c>
      <c r="H867">
        <v>1.7</v>
      </c>
      <c r="I867" t="s">
        <v>19</v>
      </c>
      <c r="J867">
        <v>7</v>
      </c>
      <c r="K867">
        <v>5</v>
      </c>
      <c r="L867">
        <v>10</v>
      </c>
      <c r="M867">
        <v>0</v>
      </c>
    </row>
    <row r="868" spans="1:13" x14ac:dyDescent="0.35">
      <c r="A868">
        <v>16</v>
      </c>
      <c r="B868" t="s">
        <v>13</v>
      </c>
      <c r="C868">
        <v>8</v>
      </c>
      <c r="D868" t="s">
        <v>14</v>
      </c>
      <c r="E868">
        <v>5.5</v>
      </c>
      <c r="F868">
        <v>1.4</v>
      </c>
      <c r="G868">
        <v>2.95</v>
      </c>
      <c r="H868">
        <v>0.3</v>
      </c>
      <c r="I868" t="s">
        <v>19</v>
      </c>
      <c r="J868">
        <v>2</v>
      </c>
      <c r="K868">
        <v>5</v>
      </c>
      <c r="L868">
        <v>2</v>
      </c>
      <c r="M868">
        <v>0</v>
      </c>
    </row>
    <row r="869" spans="1:13" x14ac:dyDescent="0.35">
      <c r="A869">
        <v>16</v>
      </c>
      <c r="B869" t="s">
        <v>13</v>
      </c>
      <c r="C869">
        <v>4.8</v>
      </c>
      <c r="D869" t="s">
        <v>20</v>
      </c>
      <c r="E869">
        <v>7.1</v>
      </c>
      <c r="F869">
        <v>0.6</v>
      </c>
      <c r="G869">
        <v>3.36</v>
      </c>
      <c r="H869">
        <v>0.7</v>
      </c>
      <c r="I869" t="s">
        <v>18</v>
      </c>
      <c r="J869">
        <v>7</v>
      </c>
      <c r="K869">
        <v>6</v>
      </c>
      <c r="L869">
        <v>9</v>
      </c>
      <c r="M869">
        <v>0</v>
      </c>
    </row>
    <row r="870" spans="1:13" x14ac:dyDescent="0.35">
      <c r="A870">
        <v>16</v>
      </c>
      <c r="B870" t="s">
        <v>13</v>
      </c>
      <c r="C870">
        <v>5.7</v>
      </c>
      <c r="D870" t="s">
        <v>20</v>
      </c>
      <c r="E870">
        <v>5.8</v>
      </c>
      <c r="F870">
        <v>2.8</v>
      </c>
      <c r="G870">
        <v>2.17</v>
      </c>
      <c r="H870">
        <v>0.5</v>
      </c>
      <c r="I870" t="s">
        <v>19</v>
      </c>
      <c r="J870">
        <v>3</v>
      </c>
      <c r="K870">
        <v>9</v>
      </c>
      <c r="L870">
        <v>2</v>
      </c>
      <c r="M870">
        <v>0</v>
      </c>
    </row>
    <row r="871" spans="1:13" x14ac:dyDescent="0.35">
      <c r="A871">
        <v>16</v>
      </c>
      <c r="B871" t="s">
        <v>13</v>
      </c>
      <c r="C871">
        <v>6.6</v>
      </c>
      <c r="D871" t="s">
        <v>14</v>
      </c>
      <c r="E871">
        <v>5.6</v>
      </c>
      <c r="F871">
        <v>0.8</v>
      </c>
      <c r="G871">
        <v>3.48</v>
      </c>
      <c r="H871">
        <v>1.7</v>
      </c>
      <c r="I871" t="s">
        <v>19</v>
      </c>
      <c r="J871">
        <v>4</v>
      </c>
      <c r="K871">
        <v>3</v>
      </c>
      <c r="L871">
        <v>4</v>
      </c>
      <c r="M871">
        <v>0</v>
      </c>
    </row>
    <row r="872" spans="1:13" x14ac:dyDescent="0.35">
      <c r="A872">
        <v>16</v>
      </c>
      <c r="B872" t="s">
        <v>13</v>
      </c>
      <c r="C872">
        <v>3.8</v>
      </c>
      <c r="D872" t="s">
        <v>17</v>
      </c>
      <c r="E872">
        <v>5.7</v>
      </c>
      <c r="F872">
        <v>1.3</v>
      </c>
      <c r="G872">
        <v>3.84</v>
      </c>
      <c r="H872">
        <v>1.6</v>
      </c>
      <c r="I872" t="s">
        <v>19</v>
      </c>
      <c r="J872">
        <v>3</v>
      </c>
      <c r="K872">
        <v>4</v>
      </c>
      <c r="L872">
        <v>10</v>
      </c>
      <c r="M872">
        <v>0</v>
      </c>
    </row>
    <row r="873" spans="1:13" x14ac:dyDescent="0.35">
      <c r="A873">
        <v>16</v>
      </c>
      <c r="B873" t="s">
        <v>13</v>
      </c>
      <c r="C873">
        <v>3</v>
      </c>
      <c r="D873" t="s">
        <v>14</v>
      </c>
      <c r="E873">
        <v>8.6</v>
      </c>
      <c r="F873">
        <v>1.5</v>
      </c>
      <c r="G873">
        <v>2.84</v>
      </c>
      <c r="H873">
        <v>0.3</v>
      </c>
      <c r="I873" t="s">
        <v>18</v>
      </c>
      <c r="J873">
        <v>6</v>
      </c>
      <c r="K873">
        <v>4</v>
      </c>
      <c r="L873">
        <v>3</v>
      </c>
      <c r="M873">
        <v>0</v>
      </c>
    </row>
    <row r="874" spans="1:13" x14ac:dyDescent="0.35">
      <c r="A874">
        <v>16</v>
      </c>
      <c r="B874" t="s">
        <v>13</v>
      </c>
      <c r="C874">
        <v>3.6</v>
      </c>
      <c r="D874" t="s">
        <v>20</v>
      </c>
      <c r="E874">
        <v>8.9</v>
      </c>
      <c r="F874">
        <v>1.9</v>
      </c>
      <c r="G874">
        <v>2.11</v>
      </c>
      <c r="H874">
        <v>1.7</v>
      </c>
      <c r="I874" t="s">
        <v>15</v>
      </c>
      <c r="J874">
        <v>9</v>
      </c>
      <c r="K874">
        <v>5</v>
      </c>
      <c r="L874">
        <v>2</v>
      </c>
      <c r="M874">
        <v>0</v>
      </c>
    </row>
    <row r="875" spans="1:13" x14ac:dyDescent="0.35">
      <c r="A875">
        <v>16</v>
      </c>
      <c r="B875" t="s">
        <v>13</v>
      </c>
      <c r="C875">
        <v>2.2999999999999998</v>
      </c>
      <c r="D875" t="s">
        <v>20</v>
      </c>
      <c r="E875">
        <v>4.0999999999999996</v>
      </c>
      <c r="F875">
        <v>0.8</v>
      </c>
      <c r="G875">
        <v>3.18</v>
      </c>
      <c r="H875">
        <v>1.7</v>
      </c>
      <c r="I875" t="s">
        <v>19</v>
      </c>
      <c r="J875">
        <v>5</v>
      </c>
      <c r="K875">
        <v>3</v>
      </c>
      <c r="L875">
        <v>8</v>
      </c>
      <c r="M875">
        <v>0</v>
      </c>
    </row>
    <row r="876" spans="1:13" x14ac:dyDescent="0.35">
      <c r="A876">
        <v>16</v>
      </c>
      <c r="B876" t="s">
        <v>13</v>
      </c>
      <c r="C876">
        <v>4.8</v>
      </c>
      <c r="D876" t="s">
        <v>20</v>
      </c>
      <c r="E876">
        <v>6.8</v>
      </c>
      <c r="F876">
        <v>1</v>
      </c>
      <c r="G876">
        <v>2.6</v>
      </c>
      <c r="H876">
        <v>1.1000000000000001</v>
      </c>
      <c r="I876" t="s">
        <v>19</v>
      </c>
      <c r="J876">
        <v>1</v>
      </c>
      <c r="K876">
        <v>5</v>
      </c>
      <c r="L876">
        <v>6</v>
      </c>
      <c r="M876">
        <v>0</v>
      </c>
    </row>
    <row r="877" spans="1:13" x14ac:dyDescent="0.35">
      <c r="A877">
        <v>16</v>
      </c>
      <c r="B877" t="s">
        <v>13</v>
      </c>
      <c r="C877">
        <v>5.5</v>
      </c>
      <c r="D877" t="s">
        <v>14</v>
      </c>
      <c r="E877">
        <v>8.3000000000000007</v>
      </c>
      <c r="F877">
        <v>2.2999999999999998</v>
      </c>
      <c r="G877">
        <v>3.47</v>
      </c>
      <c r="H877">
        <v>1.6</v>
      </c>
      <c r="I877" t="s">
        <v>19</v>
      </c>
      <c r="J877">
        <v>4</v>
      </c>
      <c r="K877">
        <v>8</v>
      </c>
      <c r="L877">
        <v>5</v>
      </c>
      <c r="M877">
        <v>0</v>
      </c>
    </row>
    <row r="878" spans="1:13" x14ac:dyDescent="0.35">
      <c r="A878">
        <v>16</v>
      </c>
      <c r="B878" t="s">
        <v>13</v>
      </c>
      <c r="C878">
        <v>2.5</v>
      </c>
      <c r="D878" t="s">
        <v>14</v>
      </c>
      <c r="E878">
        <v>6.8</v>
      </c>
      <c r="F878">
        <v>1</v>
      </c>
      <c r="G878">
        <v>3.77</v>
      </c>
      <c r="H878">
        <v>1</v>
      </c>
      <c r="I878" t="s">
        <v>18</v>
      </c>
      <c r="J878">
        <v>3</v>
      </c>
      <c r="K878">
        <v>9</v>
      </c>
      <c r="L878">
        <v>9</v>
      </c>
      <c r="M878">
        <v>0</v>
      </c>
    </row>
    <row r="879" spans="1:13" x14ac:dyDescent="0.35">
      <c r="A879">
        <v>16</v>
      </c>
      <c r="B879" t="s">
        <v>13</v>
      </c>
      <c r="C879">
        <v>1.9</v>
      </c>
      <c r="D879" t="s">
        <v>14</v>
      </c>
      <c r="E879">
        <v>7.8</v>
      </c>
      <c r="F879">
        <v>2.1</v>
      </c>
      <c r="G879">
        <v>2.2599999999999998</v>
      </c>
      <c r="H879">
        <v>0.3</v>
      </c>
      <c r="I879" t="s">
        <v>18</v>
      </c>
      <c r="J879">
        <v>7</v>
      </c>
      <c r="K879">
        <v>7</v>
      </c>
      <c r="L879">
        <v>5</v>
      </c>
      <c r="M879">
        <v>0</v>
      </c>
    </row>
    <row r="880" spans="1:13" x14ac:dyDescent="0.35">
      <c r="A880">
        <v>16</v>
      </c>
      <c r="B880" t="s">
        <v>13</v>
      </c>
      <c r="C880">
        <v>7.6</v>
      </c>
      <c r="D880" t="s">
        <v>17</v>
      </c>
      <c r="E880">
        <v>4.3</v>
      </c>
      <c r="F880">
        <v>2.7</v>
      </c>
      <c r="G880">
        <v>2.5099999999999998</v>
      </c>
      <c r="H880">
        <v>0.3</v>
      </c>
      <c r="I880" t="s">
        <v>19</v>
      </c>
      <c r="J880">
        <v>3</v>
      </c>
      <c r="K880">
        <v>9</v>
      </c>
      <c r="L880">
        <v>10</v>
      </c>
      <c r="M880">
        <v>0</v>
      </c>
    </row>
    <row r="881" spans="1:13" x14ac:dyDescent="0.35">
      <c r="A881">
        <v>16</v>
      </c>
      <c r="B881" t="s">
        <v>13</v>
      </c>
      <c r="C881">
        <v>5.4</v>
      </c>
      <c r="D881" t="s">
        <v>17</v>
      </c>
      <c r="E881">
        <v>8.6999999999999993</v>
      </c>
      <c r="F881">
        <v>1.9</v>
      </c>
      <c r="G881">
        <v>2.67</v>
      </c>
      <c r="H881">
        <v>1.3</v>
      </c>
      <c r="I881" t="s">
        <v>15</v>
      </c>
      <c r="J881">
        <v>1</v>
      </c>
      <c r="K881">
        <v>5</v>
      </c>
      <c r="L881">
        <v>7</v>
      </c>
      <c r="M881">
        <v>0</v>
      </c>
    </row>
    <row r="882" spans="1:13" x14ac:dyDescent="0.35">
      <c r="A882">
        <v>16</v>
      </c>
      <c r="B882" t="s">
        <v>13</v>
      </c>
      <c r="C882">
        <v>3.8</v>
      </c>
      <c r="D882" t="s">
        <v>14</v>
      </c>
      <c r="E882">
        <v>6.8</v>
      </c>
      <c r="F882">
        <v>2.4</v>
      </c>
      <c r="G882">
        <v>3.1</v>
      </c>
      <c r="H882">
        <v>1.6</v>
      </c>
      <c r="I882" t="s">
        <v>15</v>
      </c>
      <c r="J882">
        <v>6</v>
      </c>
      <c r="K882">
        <v>10</v>
      </c>
      <c r="L882">
        <v>4</v>
      </c>
      <c r="M882">
        <v>0</v>
      </c>
    </row>
    <row r="883" spans="1:13" x14ac:dyDescent="0.35">
      <c r="A883">
        <v>16</v>
      </c>
      <c r="B883" t="s">
        <v>13</v>
      </c>
      <c r="C883">
        <v>4.9000000000000004</v>
      </c>
      <c r="D883" t="s">
        <v>14</v>
      </c>
      <c r="E883">
        <v>6.8</v>
      </c>
      <c r="F883">
        <v>1</v>
      </c>
      <c r="G883">
        <v>3.18</v>
      </c>
      <c r="H883">
        <v>1.9</v>
      </c>
      <c r="I883" t="s">
        <v>18</v>
      </c>
      <c r="J883">
        <v>7</v>
      </c>
      <c r="K883">
        <v>4</v>
      </c>
      <c r="L883">
        <v>8</v>
      </c>
      <c r="M883">
        <v>0</v>
      </c>
    </row>
    <row r="884" spans="1:13" x14ac:dyDescent="0.35">
      <c r="A884">
        <v>16</v>
      </c>
      <c r="B884" t="s">
        <v>13</v>
      </c>
      <c r="C884">
        <v>4.2</v>
      </c>
      <c r="D884" t="s">
        <v>20</v>
      </c>
      <c r="E884">
        <v>5.7</v>
      </c>
      <c r="F884">
        <v>1</v>
      </c>
      <c r="G884">
        <v>2.77</v>
      </c>
      <c r="H884">
        <v>0.1</v>
      </c>
      <c r="I884" t="s">
        <v>18</v>
      </c>
      <c r="J884">
        <v>10</v>
      </c>
      <c r="K884">
        <v>5</v>
      </c>
      <c r="L884">
        <v>9</v>
      </c>
      <c r="M884">
        <v>0</v>
      </c>
    </row>
    <row r="885" spans="1:13" x14ac:dyDescent="0.35">
      <c r="A885">
        <v>16</v>
      </c>
      <c r="B885" t="s">
        <v>13</v>
      </c>
      <c r="C885">
        <v>1.5</v>
      </c>
      <c r="D885" t="s">
        <v>17</v>
      </c>
      <c r="E885">
        <v>6.7</v>
      </c>
      <c r="F885">
        <v>0.5</v>
      </c>
      <c r="G885">
        <v>2.78</v>
      </c>
      <c r="H885">
        <v>1.2</v>
      </c>
      <c r="I885" t="s">
        <v>15</v>
      </c>
      <c r="J885">
        <v>1</v>
      </c>
      <c r="K885">
        <v>9</v>
      </c>
      <c r="L885">
        <v>6</v>
      </c>
      <c r="M885">
        <v>0</v>
      </c>
    </row>
    <row r="886" spans="1:13" x14ac:dyDescent="0.35">
      <c r="A886">
        <v>16</v>
      </c>
      <c r="B886" t="s">
        <v>13</v>
      </c>
      <c r="C886">
        <v>7.2</v>
      </c>
      <c r="D886" t="s">
        <v>20</v>
      </c>
      <c r="E886">
        <v>7.7</v>
      </c>
      <c r="F886">
        <v>2.5</v>
      </c>
      <c r="G886">
        <v>2.56</v>
      </c>
      <c r="H886">
        <v>1.7</v>
      </c>
      <c r="I886" t="s">
        <v>18</v>
      </c>
      <c r="J886">
        <v>8</v>
      </c>
      <c r="K886">
        <v>7</v>
      </c>
      <c r="L886">
        <v>6</v>
      </c>
      <c r="M886">
        <v>0</v>
      </c>
    </row>
    <row r="887" spans="1:13" x14ac:dyDescent="0.35">
      <c r="A887">
        <v>16</v>
      </c>
      <c r="B887" t="s">
        <v>13</v>
      </c>
      <c r="C887">
        <v>3.4</v>
      </c>
      <c r="D887" t="s">
        <v>20</v>
      </c>
      <c r="E887">
        <v>8.9</v>
      </c>
      <c r="F887">
        <v>2.6</v>
      </c>
      <c r="G887">
        <v>2.54</v>
      </c>
      <c r="H887">
        <v>1.8</v>
      </c>
      <c r="I887" t="s">
        <v>18</v>
      </c>
      <c r="J887">
        <v>6</v>
      </c>
      <c r="K887">
        <v>2</v>
      </c>
      <c r="L887">
        <v>5</v>
      </c>
      <c r="M887">
        <v>0</v>
      </c>
    </row>
    <row r="888" spans="1:13" x14ac:dyDescent="0.35">
      <c r="A888">
        <v>16</v>
      </c>
      <c r="B888" t="s">
        <v>13</v>
      </c>
      <c r="C888">
        <v>1.5</v>
      </c>
      <c r="D888" t="s">
        <v>17</v>
      </c>
      <c r="E888">
        <v>4.0999999999999996</v>
      </c>
      <c r="F888">
        <v>1.3</v>
      </c>
      <c r="G888">
        <v>3.67</v>
      </c>
      <c r="H888">
        <v>1.2</v>
      </c>
      <c r="I888" t="s">
        <v>18</v>
      </c>
      <c r="J888">
        <v>10</v>
      </c>
      <c r="K888">
        <v>6</v>
      </c>
      <c r="L888">
        <v>6</v>
      </c>
      <c r="M888">
        <v>0</v>
      </c>
    </row>
    <row r="889" spans="1:13" x14ac:dyDescent="0.35">
      <c r="A889">
        <v>16</v>
      </c>
      <c r="B889" t="s">
        <v>13</v>
      </c>
      <c r="C889">
        <v>7.9</v>
      </c>
      <c r="D889" t="s">
        <v>20</v>
      </c>
      <c r="E889">
        <v>5.5</v>
      </c>
      <c r="F889">
        <v>0.6</v>
      </c>
      <c r="G889">
        <v>3.65</v>
      </c>
      <c r="H889">
        <v>1.4</v>
      </c>
      <c r="I889" t="s">
        <v>15</v>
      </c>
      <c r="J889">
        <v>1</v>
      </c>
      <c r="K889">
        <v>4</v>
      </c>
      <c r="L889">
        <v>1</v>
      </c>
      <c r="M889">
        <v>0</v>
      </c>
    </row>
    <row r="890" spans="1:13" x14ac:dyDescent="0.35">
      <c r="A890">
        <v>16</v>
      </c>
      <c r="B890" t="s">
        <v>13</v>
      </c>
      <c r="C890">
        <v>5.3</v>
      </c>
      <c r="D890" t="s">
        <v>17</v>
      </c>
      <c r="E890">
        <v>8.4</v>
      </c>
      <c r="F890">
        <v>2.2000000000000002</v>
      </c>
      <c r="G890">
        <v>2.81</v>
      </c>
      <c r="H890">
        <v>0.6</v>
      </c>
      <c r="I890" t="s">
        <v>18</v>
      </c>
      <c r="J890">
        <v>2</v>
      </c>
      <c r="K890">
        <v>8</v>
      </c>
      <c r="L890">
        <v>8</v>
      </c>
      <c r="M890">
        <v>0</v>
      </c>
    </row>
    <row r="891" spans="1:13" x14ac:dyDescent="0.35">
      <c r="A891">
        <v>16</v>
      </c>
      <c r="B891" t="s">
        <v>13</v>
      </c>
      <c r="C891">
        <v>1.9</v>
      </c>
      <c r="D891" t="s">
        <v>20</v>
      </c>
      <c r="E891">
        <v>5.8</v>
      </c>
      <c r="F891">
        <v>2.1</v>
      </c>
      <c r="G891">
        <v>2.27</v>
      </c>
      <c r="H891">
        <v>0.6</v>
      </c>
      <c r="I891" t="s">
        <v>19</v>
      </c>
      <c r="J891">
        <v>3</v>
      </c>
      <c r="K891">
        <v>3</v>
      </c>
      <c r="L891">
        <v>2</v>
      </c>
      <c r="M891">
        <v>0</v>
      </c>
    </row>
    <row r="892" spans="1:13" x14ac:dyDescent="0.35">
      <c r="A892">
        <v>16</v>
      </c>
      <c r="B892" t="s">
        <v>13</v>
      </c>
      <c r="C892">
        <v>1.1000000000000001</v>
      </c>
      <c r="D892" t="s">
        <v>14</v>
      </c>
      <c r="E892">
        <v>6.4</v>
      </c>
      <c r="F892">
        <v>3</v>
      </c>
      <c r="G892">
        <v>2.5099999999999998</v>
      </c>
      <c r="H892">
        <v>0.1</v>
      </c>
      <c r="I892" t="s">
        <v>19</v>
      </c>
      <c r="J892">
        <v>8</v>
      </c>
      <c r="K892">
        <v>6</v>
      </c>
      <c r="L892">
        <v>9</v>
      </c>
      <c r="M892">
        <v>0</v>
      </c>
    </row>
    <row r="893" spans="1:13" x14ac:dyDescent="0.35">
      <c r="A893">
        <v>16</v>
      </c>
      <c r="B893" t="s">
        <v>13</v>
      </c>
      <c r="C893">
        <v>4.9000000000000004</v>
      </c>
      <c r="D893" t="s">
        <v>14</v>
      </c>
      <c r="E893">
        <v>5.7</v>
      </c>
      <c r="F893">
        <v>1.2</v>
      </c>
      <c r="G893">
        <v>2.0699999999999998</v>
      </c>
      <c r="H893">
        <v>0.1</v>
      </c>
      <c r="I893" t="s">
        <v>19</v>
      </c>
      <c r="J893">
        <v>8</v>
      </c>
      <c r="K893">
        <v>2</v>
      </c>
      <c r="L893">
        <v>1</v>
      </c>
      <c r="M893">
        <v>0</v>
      </c>
    </row>
    <row r="894" spans="1:13" x14ac:dyDescent="0.35">
      <c r="A894">
        <v>16</v>
      </c>
      <c r="B894" t="s">
        <v>13</v>
      </c>
      <c r="C894">
        <v>2</v>
      </c>
      <c r="D894" t="s">
        <v>20</v>
      </c>
      <c r="E894">
        <v>7.8</v>
      </c>
      <c r="F894">
        <v>2.8</v>
      </c>
      <c r="G894">
        <v>2.1</v>
      </c>
      <c r="H894">
        <v>0.6</v>
      </c>
      <c r="I894" t="s">
        <v>19</v>
      </c>
      <c r="J894">
        <v>2</v>
      </c>
      <c r="K894">
        <v>6</v>
      </c>
      <c r="L894">
        <v>8</v>
      </c>
      <c r="M894">
        <v>0</v>
      </c>
    </row>
    <row r="895" spans="1:13" x14ac:dyDescent="0.35">
      <c r="A895">
        <v>16</v>
      </c>
      <c r="B895" t="s">
        <v>13</v>
      </c>
      <c r="C895">
        <v>6.4</v>
      </c>
      <c r="D895" t="s">
        <v>17</v>
      </c>
      <c r="E895">
        <v>5.4</v>
      </c>
      <c r="F895">
        <v>1.4</v>
      </c>
      <c r="G895">
        <v>2.42</v>
      </c>
      <c r="H895">
        <v>1.9</v>
      </c>
      <c r="I895" t="s">
        <v>19</v>
      </c>
      <c r="J895">
        <v>4</v>
      </c>
      <c r="K895">
        <v>9</v>
      </c>
      <c r="L895">
        <v>5</v>
      </c>
      <c r="M895">
        <v>0</v>
      </c>
    </row>
    <row r="896" spans="1:13" x14ac:dyDescent="0.35">
      <c r="A896">
        <v>16</v>
      </c>
      <c r="B896" t="s">
        <v>13</v>
      </c>
      <c r="C896">
        <v>7.4</v>
      </c>
      <c r="D896" t="s">
        <v>17</v>
      </c>
      <c r="E896">
        <v>7.5</v>
      </c>
      <c r="F896">
        <v>1.7</v>
      </c>
      <c r="G896">
        <v>3.16</v>
      </c>
      <c r="H896">
        <v>1.8</v>
      </c>
      <c r="I896" t="s">
        <v>19</v>
      </c>
      <c r="J896">
        <v>2</v>
      </c>
      <c r="K896">
        <v>3</v>
      </c>
      <c r="L896">
        <v>2</v>
      </c>
      <c r="M896">
        <v>0</v>
      </c>
    </row>
    <row r="897" spans="1:13" x14ac:dyDescent="0.35">
      <c r="A897">
        <v>16</v>
      </c>
      <c r="B897" t="s">
        <v>13</v>
      </c>
      <c r="C897">
        <v>2.2999999999999998</v>
      </c>
      <c r="D897" t="s">
        <v>17</v>
      </c>
      <c r="E897">
        <v>8.8000000000000007</v>
      </c>
      <c r="F897">
        <v>1</v>
      </c>
      <c r="G897">
        <v>2.5099999999999998</v>
      </c>
      <c r="H897">
        <v>2</v>
      </c>
      <c r="I897" t="s">
        <v>19</v>
      </c>
      <c r="J897">
        <v>6</v>
      </c>
      <c r="K897">
        <v>10</v>
      </c>
      <c r="L897">
        <v>10</v>
      </c>
      <c r="M897">
        <v>0</v>
      </c>
    </row>
    <row r="898" spans="1:13" x14ac:dyDescent="0.35">
      <c r="A898">
        <v>16</v>
      </c>
      <c r="B898" t="s">
        <v>13</v>
      </c>
      <c r="C898">
        <v>5.8</v>
      </c>
      <c r="D898" t="s">
        <v>20</v>
      </c>
      <c r="E898">
        <v>8.9</v>
      </c>
      <c r="F898">
        <v>1.1000000000000001</v>
      </c>
      <c r="G898">
        <v>2.08</v>
      </c>
      <c r="H898">
        <v>1.9</v>
      </c>
      <c r="I898" t="s">
        <v>19</v>
      </c>
      <c r="J898">
        <v>8</v>
      </c>
      <c r="K898">
        <v>5</v>
      </c>
      <c r="L898">
        <v>9</v>
      </c>
      <c r="M898">
        <v>0</v>
      </c>
    </row>
    <row r="899" spans="1:13" x14ac:dyDescent="0.35">
      <c r="A899">
        <v>16</v>
      </c>
      <c r="B899" t="s">
        <v>13</v>
      </c>
      <c r="C899">
        <v>6.5</v>
      </c>
      <c r="D899" t="s">
        <v>17</v>
      </c>
      <c r="E899">
        <v>7.4</v>
      </c>
      <c r="F899">
        <v>1.9</v>
      </c>
      <c r="G899">
        <v>2.2200000000000002</v>
      </c>
      <c r="H899">
        <v>1.1000000000000001</v>
      </c>
      <c r="I899" t="s">
        <v>19</v>
      </c>
      <c r="J899">
        <v>10</v>
      </c>
      <c r="K899">
        <v>10</v>
      </c>
      <c r="L899">
        <v>2</v>
      </c>
      <c r="M899">
        <v>0</v>
      </c>
    </row>
    <row r="900" spans="1:13" x14ac:dyDescent="0.35">
      <c r="A900">
        <v>16</v>
      </c>
      <c r="B900" t="s">
        <v>13</v>
      </c>
      <c r="C900">
        <v>4.7</v>
      </c>
      <c r="D900" t="s">
        <v>14</v>
      </c>
      <c r="E900">
        <v>8.1999999999999993</v>
      </c>
      <c r="F900">
        <v>2.7</v>
      </c>
      <c r="G900">
        <v>3.04</v>
      </c>
      <c r="H900">
        <v>0.3</v>
      </c>
      <c r="I900" t="s">
        <v>18</v>
      </c>
      <c r="J900">
        <v>1</v>
      </c>
      <c r="K900">
        <v>3</v>
      </c>
      <c r="L900">
        <v>4</v>
      </c>
      <c r="M900">
        <v>0</v>
      </c>
    </row>
    <row r="901" spans="1:13" x14ac:dyDescent="0.35">
      <c r="A901">
        <v>16</v>
      </c>
      <c r="B901" t="s">
        <v>13</v>
      </c>
      <c r="C901">
        <v>1.7</v>
      </c>
      <c r="D901" t="s">
        <v>17</v>
      </c>
      <c r="E901">
        <v>4.9000000000000004</v>
      </c>
      <c r="F901">
        <v>0.6</v>
      </c>
      <c r="G901">
        <v>3.38</v>
      </c>
      <c r="H901">
        <v>1.1000000000000001</v>
      </c>
      <c r="I901" t="s">
        <v>19</v>
      </c>
      <c r="J901">
        <v>10</v>
      </c>
      <c r="K901">
        <v>4</v>
      </c>
      <c r="L901">
        <v>6</v>
      </c>
      <c r="M901">
        <v>0</v>
      </c>
    </row>
    <row r="902" spans="1:13" x14ac:dyDescent="0.35">
      <c r="A902">
        <v>16</v>
      </c>
      <c r="B902" t="s">
        <v>13</v>
      </c>
      <c r="C902">
        <v>2.1</v>
      </c>
      <c r="D902" t="s">
        <v>14</v>
      </c>
      <c r="E902">
        <v>7.7</v>
      </c>
      <c r="F902">
        <v>1.1000000000000001</v>
      </c>
      <c r="G902">
        <v>2.27</v>
      </c>
      <c r="H902">
        <v>1.1000000000000001</v>
      </c>
      <c r="I902" t="s">
        <v>19</v>
      </c>
      <c r="J902">
        <v>3</v>
      </c>
      <c r="K902">
        <v>2</v>
      </c>
      <c r="L902">
        <v>4</v>
      </c>
      <c r="M902">
        <v>0</v>
      </c>
    </row>
    <row r="903" spans="1:13" x14ac:dyDescent="0.35">
      <c r="A903">
        <v>16</v>
      </c>
      <c r="B903" t="s">
        <v>13</v>
      </c>
      <c r="C903">
        <v>2.7</v>
      </c>
      <c r="D903" t="s">
        <v>20</v>
      </c>
      <c r="E903">
        <v>7.2</v>
      </c>
      <c r="F903">
        <v>0.6</v>
      </c>
      <c r="G903">
        <v>3.98</v>
      </c>
      <c r="H903">
        <v>1.7</v>
      </c>
      <c r="I903" t="s">
        <v>15</v>
      </c>
      <c r="J903">
        <v>6</v>
      </c>
      <c r="K903">
        <v>1</v>
      </c>
      <c r="L903">
        <v>5</v>
      </c>
      <c r="M903">
        <v>0</v>
      </c>
    </row>
    <row r="904" spans="1:13" x14ac:dyDescent="0.35">
      <c r="A904">
        <v>16</v>
      </c>
      <c r="B904" t="s">
        <v>13</v>
      </c>
      <c r="C904">
        <v>2</v>
      </c>
      <c r="D904" t="s">
        <v>14</v>
      </c>
      <c r="E904">
        <v>7.9</v>
      </c>
      <c r="F904">
        <v>2.4</v>
      </c>
      <c r="G904">
        <v>2.81</v>
      </c>
      <c r="H904">
        <v>1.9</v>
      </c>
      <c r="I904" t="s">
        <v>15</v>
      </c>
      <c r="J904">
        <v>10</v>
      </c>
      <c r="K904">
        <v>6</v>
      </c>
      <c r="L904">
        <v>6</v>
      </c>
      <c r="M904">
        <v>0</v>
      </c>
    </row>
    <row r="905" spans="1:13" x14ac:dyDescent="0.35">
      <c r="A905">
        <v>16</v>
      </c>
      <c r="B905" t="s">
        <v>13</v>
      </c>
      <c r="C905">
        <v>7.9</v>
      </c>
      <c r="D905" t="s">
        <v>17</v>
      </c>
      <c r="E905">
        <v>8</v>
      </c>
      <c r="F905">
        <v>1.6</v>
      </c>
      <c r="G905">
        <v>3.47</v>
      </c>
      <c r="H905">
        <v>1.5</v>
      </c>
      <c r="I905" t="s">
        <v>18</v>
      </c>
      <c r="J905">
        <v>3</v>
      </c>
      <c r="K905">
        <v>5</v>
      </c>
      <c r="L905">
        <v>6</v>
      </c>
      <c r="M905">
        <v>0</v>
      </c>
    </row>
    <row r="906" spans="1:13" x14ac:dyDescent="0.35">
      <c r="A906">
        <v>16</v>
      </c>
      <c r="B906" t="s">
        <v>13</v>
      </c>
      <c r="C906">
        <v>6.9</v>
      </c>
      <c r="D906" t="s">
        <v>14</v>
      </c>
      <c r="E906">
        <v>6.8</v>
      </c>
      <c r="F906">
        <v>1.1000000000000001</v>
      </c>
      <c r="G906">
        <v>3.33</v>
      </c>
      <c r="H906">
        <v>1</v>
      </c>
      <c r="I906" t="s">
        <v>19</v>
      </c>
      <c r="J906">
        <v>7</v>
      </c>
      <c r="K906">
        <v>9</v>
      </c>
      <c r="L906">
        <v>4</v>
      </c>
      <c r="M906">
        <v>0</v>
      </c>
    </row>
    <row r="907" spans="1:13" x14ac:dyDescent="0.35">
      <c r="A907">
        <v>16</v>
      </c>
      <c r="B907" t="s">
        <v>13</v>
      </c>
      <c r="C907">
        <v>2</v>
      </c>
      <c r="D907" t="s">
        <v>17</v>
      </c>
      <c r="E907">
        <v>4.4000000000000004</v>
      </c>
      <c r="F907">
        <v>0.7</v>
      </c>
      <c r="G907">
        <v>2.68</v>
      </c>
      <c r="H907">
        <v>0.8</v>
      </c>
      <c r="I907" t="s">
        <v>19</v>
      </c>
      <c r="J907">
        <v>1</v>
      </c>
      <c r="K907">
        <v>4</v>
      </c>
      <c r="L907">
        <v>10</v>
      </c>
      <c r="M907">
        <v>0</v>
      </c>
    </row>
    <row r="908" spans="1:13" x14ac:dyDescent="0.35">
      <c r="A908">
        <v>16</v>
      </c>
      <c r="B908" t="s">
        <v>13</v>
      </c>
      <c r="C908">
        <v>3.6</v>
      </c>
      <c r="D908" t="s">
        <v>14</v>
      </c>
      <c r="E908">
        <v>6.6</v>
      </c>
      <c r="F908">
        <v>0.7</v>
      </c>
      <c r="G908">
        <v>2.25</v>
      </c>
      <c r="H908">
        <v>1.9</v>
      </c>
      <c r="I908" t="s">
        <v>15</v>
      </c>
      <c r="J908">
        <v>4</v>
      </c>
      <c r="K908">
        <v>1</v>
      </c>
      <c r="L908">
        <v>8</v>
      </c>
      <c r="M908">
        <v>0</v>
      </c>
    </row>
    <row r="909" spans="1:13" x14ac:dyDescent="0.35">
      <c r="A909">
        <v>16</v>
      </c>
      <c r="B909" t="s">
        <v>13</v>
      </c>
      <c r="C909">
        <v>2</v>
      </c>
      <c r="D909" t="s">
        <v>17</v>
      </c>
      <c r="E909">
        <v>7.8</v>
      </c>
      <c r="F909">
        <v>0.5</v>
      </c>
      <c r="G909">
        <v>2.81</v>
      </c>
      <c r="H909">
        <v>1.4</v>
      </c>
      <c r="I909" t="s">
        <v>18</v>
      </c>
      <c r="J909">
        <v>10</v>
      </c>
      <c r="K909">
        <v>2</v>
      </c>
      <c r="L909">
        <v>4</v>
      </c>
      <c r="M909">
        <v>0</v>
      </c>
    </row>
    <row r="910" spans="1:13" x14ac:dyDescent="0.35">
      <c r="A910">
        <v>16</v>
      </c>
      <c r="B910" t="s">
        <v>13</v>
      </c>
      <c r="C910">
        <v>5</v>
      </c>
      <c r="D910" t="s">
        <v>17</v>
      </c>
      <c r="E910">
        <v>6.3</v>
      </c>
      <c r="F910">
        <v>3</v>
      </c>
      <c r="G910">
        <v>3.72</v>
      </c>
      <c r="H910">
        <v>1.6</v>
      </c>
      <c r="I910" t="s">
        <v>19</v>
      </c>
      <c r="J910">
        <v>5</v>
      </c>
      <c r="K910">
        <v>10</v>
      </c>
      <c r="L910">
        <v>3</v>
      </c>
      <c r="M910">
        <v>0</v>
      </c>
    </row>
    <row r="911" spans="1:13" x14ac:dyDescent="0.35">
      <c r="A911">
        <v>16</v>
      </c>
      <c r="B911" t="s">
        <v>13</v>
      </c>
      <c r="C911">
        <v>4.0999999999999996</v>
      </c>
      <c r="D911" t="s">
        <v>20</v>
      </c>
      <c r="E911">
        <v>5.5</v>
      </c>
      <c r="F911">
        <v>1.9</v>
      </c>
      <c r="G911">
        <v>2.65</v>
      </c>
      <c r="H911">
        <v>1.5</v>
      </c>
      <c r="I911" t="s">
        <v>15</v>
      </c>
      <c r="J911">
        <v>5</v>
      </c>
      <c r="K911">
        <v>7</v>
      </c>
      <c r="L911">
        <v>9</v>
      </c>
      <c r="M911">
        <v>0</v>
      </c>
    </row>
    <row r="912" spans="1:13" x14ac:dyDescent="0.35">
      <c r="A912">
        <v>16</v>
      </c>
      <c r="B912" t="s">
        <v>13</v>
      </c>
      <c r="C912">
        <v>1.7</v>
      </c>
      <c r="D912" t="s">
        <v>20</v>
      </c>
      <c r="E912">
        <v>4.3</v>
      </c>
      <c r="F912">
        <v>1.4</v>
      </c>
      <c r="G912">
        <v>3.27</v>
      </c>
      <c r="H912">
        <v>1.2</v>
      </c>
      <c r="I912" t="s">
        <v>19</v>
      </c>
      <c r="J912">
        <v>10</v>
      </c>
      <c r="K912">
        <v>4</v>
      </c>
      <c r="L912">
        <v>10</v>
      </c>
      <c r="M912">
        <v>0</v>
      </c>
    </row>
    <row r="913" spans="1:13" x14ac:dyDescent="0.35">
      <c r="A913">
        <v>16</v>
      </c>
      <c r="B913" t="s">
        <v>13</v>
      </c>
      <c r="C913">
        <v>5</v>
      </c>
      <c r="D913" t="s">
        <v>17</v>
      </c>
      <c r="E913">
        <v>4.3</v>
      </c>
      <c r="F913">
        <v>0.7</v>
      </c>
      <c r="G913">
        <v>3.68</v>
      </c>
      <c r="H913">
        <v>1.2</v>
      </c>
      <c r="I913" t="s">
        <v>15</v>
      </c>
      <c r="J913">
        <v>6</v>
      </c>
      <c r="K913">
        <v>2</v>
      </c>
      <c r="L913">
        <v>4</v>
      </c>
      <c r="M913">
        <v>0</v>
      </c>
    </row>
    <row r="914" spans="1:13" x14ac:dyDescent="0.35">
      <c r="A914">
        <v>16</v>
      </c>
      <c r="B914" t="s">
        <v>13</v>
      </c>
      <c r="C914">
        <v>4.7</v>
      </c>
      <c r="D914" t="s">
        <v>20</v>
      </c>
      <c r="E914">
        <v>8.1999999999999993</v>
      </c>
      <c r="F914">
        <v>2.6</v>
      </c>
      <c r="G914">
        <v>3.05</v>
      </c>
      <c r="H914">
        <v>1</v>
      </c>
      <c r="I914" t="s">
        <v>19</v>
      </c>
      <c r="J914">
        <v>4</v>
      </c>
      <c r="K914">
        <v>7</v>
      </c>
      <c r="L914">
        <v>2</v>
      </c>
      <c r="M914">
        <v>0</v>
      </c>
    </row>
    <row r="915" spans="1:13" x14ac:dyDescent="0.35">
      <c r="A915">
        <v>16</v>
      </c>
      <c r="B915" t="s">
        <v>13</v>
      </c>
      <c r="C915">
        <v>6.3</v>
      </c>
      <c r="D915" t="s">
        <v>14</v>
      </c>
      <c r="E915">
        <v>6.5</v>
      </c>
      <c r="F915">
        <v>1</v>
      </c>
      <c r="G915">
        <v>2.52</v>
      </c>
      <c r="H915">
        <v>0.4</v>
      </c>
      <c r="I915" t="s">
        <v>15</v>
      </c>
      <c r="J915">
        <v>1</v>
      </c>
      <c r="K915">
        <v>10</v>
      </c>
      <c r="L915">
        <v>6</v>
      </c>
      <c r="M915">
        <v>0</v>
      </c>
    </row>
    <row r="916" spans="1:13" x14ac:dyDescent="0.35">
      <c r="A916">
        <v>16</v>
      </c>
      <c r="B916" t="s">
        <v>13</v>
      </c>
      <c r="C916">
        <v>6.6</v>
      </c>
      <c r="D916" t="s">
        <v>20</v>
      </c>
      <c r="E916">
        <v>8.9</v>
      </c>
      <c r="F916">
        <v>2</v>
      </c>
      <c r="G916">
        <v>3.44</v>
      </c>
      <c r="H916">
        <v>1.7</v>
      </c>
      <c r="I916" t="s">
        <v>15</v>
      </c>
      <c r="J916">
        <v>10</v>
      </c>
      <c r="K916">
        <v>9</v>
      </c>
      <c r="L916">
        <v>3</v>
      </c>
      <c r="M916">
        <v>0</v>
      </c>
    </row>
    <row r="917" spans="1:13" x14ac:dyDescent="0.35">
      <c r="A917">
        <v>16</v>
      </c>
      <c r="B917" t="s">
        <v>13</v>
      </c>
      <c r="C917">
        <v>4.5999999999999996</v>
      </c>
      <c r="D917" t="s">
        <v>14</v>
      </c>
      <c r="E917">
        <v>8.1999999999999993</v>
      </c>
      <c r="F917">
        <v>1.5</v>
      </c>
      <c r="G917">
        <v>2.13</v>
      </c>
      <c r="H917">
        <v>1</v>
      </c>
      <c r="I917" t="s">
        <v>15</v>
      </c>
      <c r="J917">
        <v>3</v>
      </c>
      <c r="K917">
        <v>2</v>
      </c>
      <c r="L917">
        <v>2</v>
      </c>
      <c r="M917">
        <v>0</v>
      </c>
    </row>
    <row r="918" spans="1:13" x14ac:dyDescent="0.35">
      <c r="A918">
        <v>16</v>
      </c>
      <c r="B918" t="s">
        <v>13</v>
      </c>
      <c r="C918">
        <v>1.8</v>
      </c>
      <c r="D918" t="s">
        <v>17</v>
      </c>
      <c r="E918">
        <v>7.4</v>
      </c>
      <c r="F918">
        <v>2.2999999999999998</v>
      </c>
      <c r="G918">
        <v>3.76</v>
      </c>
      <c r="H918">
        <v>0.8</v>
      </c>
      <c r="I918" t="s">
        <v>15</v>
      </c>
      <c r="J918">
        <v>9</v>
      </c>
      <c r="K918">
        <v>5</v>
      </c>
      <c r="L918">
        <v>8</v>
      </c>
      <c r="M918">
        <v>0</v>
      </c>
    </row>
    <row r="919" spans="1:13" x14ac:dyDescent="0.35">
      <c r="A919">
        <v>16</v>
      </c>
      <c r="B919" t="s">
        <v>13</v>
      </c>
      <c r="C919">
        <v>8</v>
      </c>
      <c r="D919" t="s">
        <v>14</v>
      </c>
      <c r="E919">
        <v>8.1</v>
      </c>
      <c r="F919">
        <v>2.5</v>
      </c>
      <c r="G919">
        <v>2.7</v>
      </c>
      <c r="H919">
        <v>1.7</v>
      </c>
      <c r="I919" t="s">
        <v>19</v>
      </c>
      <c r="J919">
        <v>4</v>
      </c>
      <c r="K919">
        <v>5</v>
      </c>
      <c r="L919">
        <v>7</v>
      </c>
      <c r="M919">
        <v>0</v>
      </c>
    </row>
    <row r="920" spans="1:13" x14ac:dyDescent="0.35">
      <c r="A920">
        <v>16</v>
      </c>
      <c r="B920" t="s">
        <v>13</v>
      </c>
      <c r="C920">
        <v>1.2</v>
      </c>
      <c r="D920" t="s">
        <v>14</v>
      </c>
      <c r="E920">
        <v>7.3</v>
      </c>
      <c r="F920">
        <v>1</v>
      </c>
      <c r="G920">
        <v>2.36</v>
      </c>
      <c r="H920">
        <v>1.1000000000000001</v>
      </c>
      <c r="I920" t="s">
        <v>19</v>
      </c>
      <c r="J920">
        <v>5</v>
      </c>
      <c r="K920">
        <v>3</v>
      </c>
      <c r="L920">
        <v>6</v>
      </c>
      <c r="M920">
        <v>0</v>
      </c>
    </row>
    <row r="921" spans="1:13" x14ac:dyDescent="0.35">
      <c r="A921">
        <v>16</v>
      </c>
      <c r="B921" t="s">
        <v>13</v>
      </c>
      <c r="C921">
        <v>2</v>
      </c>
      <c r="D921" t="s">
        <v>14</v>
      </c>
      <c r="E921">
        <v>8.1999999999999993</v>
      </c>
      <c r="F921">
        <v>1</v>
      </c>
      <c r="G921">
        <v>3.15</v>
      </c>
      <c r="H921">
        <v>0.9</v>
      </c>
      <c r="I921" t="s">
        <v>19</v>
      </c>
      <c r="J921">
        <v>9</v>
      </c>
      <c r="K921">
        <v>7</v>
      </c>
      <c r="L921">
        <v>10</v>
      </c>
      <c r="M921">
        <v>0</v>
      </c>
    </row>
    <row r="922" spans="1:13" x14ac:dyDescent="0.35">
      <c r="A922">
        <v>16</v>
      </c>
      <c r="B922" t="s">
        <v>13</v>
      </c>
      <c r="C922">
        <v>4.8</v>
      </c>
      <c r="D922" t="s">
        <v>20</v>
      </c>
      <c r="E922">
        <v>5.4</v>
      </c>
      <c r="F922">
        <v>0.9</v>
      </c>
      <c r="G922">
        <v>2.06</v>
      </c>
      <c r="H922">
        <v>1.9</v>
      </c>
      <c r="I922" t="s">
        <v>15</v>
      </c>
      <c r="J922">
        <v>8</v>
      </c>
      <c r="K922">
        <v>3</v>
      </c>
      <c r="L922">
        <v>2</v>
      </c>
      <c r="M922">
        <v>0</v>
      </c>
    </row>
    <row r="923" spans="1:13" x14ac:dyDescent="0.35">
      <c r="A923">
        <v>16</v>
      </c>
      <c r="B923" t="s">
        <v>13</v>
      </c>
      <c r="C923">
        <v>1.8</v>
      </c>
      <c r="D923" t="s">
        <v>14</v>
      </c>
      <c r="E923">
        <v>4.9000000000000004</v>
      </c>
      <c r="F923">
        <v>2.2999999999999998</v>
      </c>
      <c r="G923">
        <v>2.67</v>
      </c>
      <c r="H923">
        <v>1.4</v>
      </c>
      <c r="I923" t="s">
        <v>19</v>
      </c>
      <c r="J923">
        <v>3</v>
      </c>
      <c r="K923">
        <v>8</v>
      </c>
      <c r="L923">
        <v>6</v>
      </c>
      <c r="M923">
        <v>0</v>
      </c>
    </row>
    <row r="924" spans="1:13" x14ac:dyDescent="0.35">
      <c r="A924">
        <v>16</v>
      </c>
      <c r="B924" t="s">
        <v>13</v>
      </c>
      <c r="C924">
        <v>6.1</v>
      </c>
      <c r="D924" t="s">
        <v>17</v>
      </c>
      <c r="E924">
        <v>6.8</v>
      </c>
      <c r="F924">
        <v>0.8</v>
      </c>
      <c r="G924">
        <v>2.61</v>
      </c>
      <c r="H924">
        <v>0.9</v>
      </c>
      <c r="I924" t="s">
        <v>15</v>
      </c>
      <c r="J924">
        <v>10</v>
      </c>
      <c r="K924">
        <v>10</v>
      </c>
      <c r="L924">
        <v>4</v>
      </c>
      <c r="M924">
        <v>0</v>
      </c>
    </row>
    <row r="925" spans="1:13" x14ac:dyDescent="0.35">
      <c r="A925">
        <v>16</v>
      </c>
      <c r="B925" t="s">
        <v>13</v>
      </c>
      <c r="C925">
        <v>3.5</v>
      </c>
      <c r="D925" t="s">
        <v>20</v>
      </c>
      <c r="E925">
        <v>4.4000000000000004</v>
      </c>
      <c r="F925">
        <v>1.5</v>
      </c>
      <c r="G925">
        <v>2.7</v>
      </c>
      <c r="H925">
        <v>0.8</v>
      </c>
      <c r="I925" t="s">
        <v>18</v>
      </c>
      <c r="J925">
        <v>2</v>
      </c>
      <c r="K925">
        <v>10</v>
      </c>
      <c r="L925">
        <v>8</v>
      </c>
      <c r="M925">
        <v>0</v>
      </c>
    </row>
    <row r="926" spans="1:13" x14ac:dyDescent="0.35">
      <c r="A926">
        <v>16</v>
      </c>
      <c r="B926" t="s">
        <v>13</v>
      </c>
      <c r="C926">
        <v>5.3</v>
      </c>
      <c r="D926" t="s">
        <v>17</v>
      </c>
      <c r="E926">
        <v>6.8</v>
      </c>
      <c r="F926">
        <v>0.7</v>
      </c>
      <c r="G926">
        <v>3.9</v>
      </c>
      <c r="H926">
        <v>1.5</v>
      </c>
      <c r="I926" t="s">
        <v>15</v>
      </c>
      <c r="J926">
        <v>5</v>
      </c>
      <c r="K926">
        <v>8</v>
      </c>
      <c r="L926">
        <v>3</v>
      </c>
      <c r="M926">
        <v>0</v>
      </c>
    </row>
    <row r="927" spans="1:13" x14ac:dyDescent="0.35">
      <c r="A927">
        <v>16</v>
      </c>
      <c r="B927" t="s">
        <v>13</v>
      </c>
      <c r="C927">
        <v>4.5999999999999996</v>
      </c>
      <c r="D927" t="s">
        <v>20</v>
      </c>
      <c r="E927">
        <v>5.3</v>
      </c>
      <c r="F927">
        <v>1.3</v>
      </c>
      <c r="G927">
        <v>3.76</v>
      </c>
      <c r="H927">
        <v>0.5</v>
      </c>
      <c r="I927" t="s">
        <v>19</v>
      </c>
      <c r="J927">
        <v>3</v>
      </c>
      <c r="K927">
        <v>8</v>
      </c>
      <c r="L927">
        <v>8</v>
      </c>
      <c r="M927">
        <v>0</v>
      </c>
    </row>
    <row r="928" spans="1:13" x14ac:dyDescent="0.35">
      <c r="A928">
        <v>16</v>
      </c>
      <c r="B928" t="s">
        <v>13</v>
      </c>
      <c r="C928">
        <v>3.9</v>
      </c>
      <c r="D928" t="s">
        <v>17</v>
      </c>
      <c r="E928">
        <v>7.5</v>
      </c>
      <c r="F928">
        <v>2.1</v>
      </c>
      <c r="G928">
        <v>3.24</v>
      </c>
      <c r="H928">
        <v>0.9</v>
      </c>
      <c r="I928" t="s">
        <v>15</v>
      </c>
      <c r="J928">
        <v>4</v>
      </c>
      <c r="K928">
        <v>3</v>
      </c>
      <c r="L928">
        <v>2</v>
      </c>
      <c r="M928">
        <v>0</v>
      </c>
    </row>
    <row r="929" spans="1:13" x14ac:dyDescent="0.35">
      <c r="A929">
        <v>16</v>
      </c>
      <c r="B929" t="s">
        <v>13</v>
      </c>
      <c r="C929">
        <v>7.6</v>
      </c>
      <c r="D929" t="s">
        <v>20</v>
      </c>
      <c r="E929">
        <v>6.1</v>
      </c>
      <c r="F929">
        <v>0.8</v>
      </c>
      <c r="G929">
        <v>3.09</v>
      </c>
      <c r="H929">
        <v>1.3</v>
      </c>
      <c r="I929" t="s">
        <v>15</v>
      </c>
      <c r="J929">
        <v>8</v>
      </c>
      <c r="K929">
        <v>4</v>
      </c>
      <c r="L929">
        <v>4</v>
      </c>
      <c r="M929">
        <v>0</v>
      </c>
    </row>
    <row r="930" spans="1:13" x14ac:dyDescent="0.35">
      <c r="A930">
        <v>16</v>
      </c>
      <c r="B930" t="s">
        <v>13</v>
      </c>
      <c r="C930">
        <v>3.7</v>
      </c>
      <c r="D930" t="s">
        <v>14</v>
      </c>
      <c r="E930">
        <v>7.6</v>
      </c>
      <c r="F930">
        <v>1.2</v>
      </c>
      <c r="G930">
        <v>3.2</v>
      </c>
      <c r="H930">
        <v>1</v>
      </c>
      <c r="I930" t="s">
        <v>19</v>
      </c>
      <c r="J930">
        <v>4</v>
      </c>
      <c r="K930">
        <v>8</v>
      </c>
      <c r="L930">
        <v>6</v>
      </c>
      <c r="M930">
        <v>0</v>
      </c>
    </row>
    <row r="931" spans="1:13" x14ac:dyDescent="0.35">
      <c r="A931">
        <v>16</v>
      </c>
      <c r="B931" t="s">
        <v>13</v>
      </c>
      <c r="C931">
        <v>2.6</v>
      </c>
      <c r="D931" t="s">
        <v>14</v>
      </c>
      <c r="E931">
        <v>5.0999999999999996</v>
      </c>
      <c r="F931">
        <v>0.9</v>
      </c>
      <c r="G931">
        <v>2.57</v>
      </c>
      <c r="H931">
        <v>1.4</v>
      </c>
      <c r="I931" t="s">
        <v>19</v>
      </c>
      <c r="J931">
        <v>8</v>
      </c>
      <c r="K931">
        <v>5</v>
      </c>
      <c r="L931">
        <v>8</v>
      </c>
      <c r="M931">
        <v>0</v>
      </c>
    </row>
    <row r="932" spans="1:13" x14ac:dyDescent="0.35">
      <c r="A932">
        <v>16</v>
      </c>
      <c r="B932" t="s">
        <v>13</v>
      </c>
      <c r="C932">
        <v>7.4</v>
      </c>
      <c r="D932" t="s">
        <v>20</v>
      </c>
      <c r="E932">
        <v>7.2</v>
      </c>
      <c r="F932">
        <v>1.8</v>
      </c>
      <c r="G932">
        <v>2.11</v>
      </c>
      <c r="H932">
        <v>1.4</v>
      </c>
      <c r="I932" t="s">
        <v>19</v>
      </c>
      <c r="J932">
        <v>3</v>
      </c>
      <c r="K932">
        <v>7</v>
      </c>
      <c r="L932">
        <v>3</v>
      </c>
      <c r="M932">
        <v>0</v>
      </c>
    </row>
    <row r="933" spans="1:13" x14ac:dyDescent="0.35">
      <c r="A933">
        <v>16</v>
      </c>
      <c r="B933" t="s">
        <v>13</v>
      </c>
      <c r="C933">
        <v>7</v>
      </c>
      <c r="D933" t="s">
        <v>14</v>
      </c>
      <c r="E933">
        <v>4.8</v>
      </c>
      <c r="F933">
        <v>1.7</v>
      </c>
      <c r="G933">
        <v>2.9</v>
      </c>
      <c r="H933">
        <v>0.3</v>
      </c>
      <c r="I933" t="s">
        <v>15</v>
      </c>
      <c r="J933">
        <v>4</v>
      </c>
      <c r="K933">
        <v>1</v>
      </c>
      <c r="L933">
        <v>8</v>
      </c>
      <c r="M933">
        <v>0</v>
      </c>
    </row>
    <row r="934" spans="1:13" x14ac:dyDescent="0.35">
      <c r="A934">
        <v>16</v>
      </c>
      <c r="B934" t="s">
        <v>13</v>
      </c>
      <c r="C934">
        <v>2.7</v>
      </c>
      <c r="D934" t="s">
        <v>20</v>
      </c>
      <c r="E934">
        <v>7.5</v>
      </c>
      <c r="F934">
        <v>2.8</v>
      </c>
      <c r="G934">
        <v>3.53</v>
      </c>
      <c r="H934">
        <v>0.9</v>
      </c>
      <c r="I934" t="s">
        <v>19</v>
      </c>
      <c r="J934">
        <v>3</v>
      </c>
      <c r="K934">
        <v>1</v>
      </c>
      <c r="L934">
        <v>5</v>
      </c>
      <c r="M934">
        <v>0</v>
      </c>
    </row>
    <row r="935" spans="1:13" x14ac:dyDescent="0.35">
      <c r="A935">
        <v>16</v>
      </c>
      <c r="B935" t="s">
        <v>13</v>
      </c>
      <c r="C935">
        <v>7</v>
      </c>
      <c r="D935" t="s">
        <v>17</v>
      </c>
      <c r="E935">
        <v>7.4</v>
      </c>
      <c r="F935">
        <v>2.6</v>
      </c>
      <c r="G935">
        <v>2.92</v>
      </c>
      <c r="H935">
        <v>1</v>
      </c>
      <c r="I935" t="s">
        <v>19</v>
      </c>
      <c r="J935">
        <v>10</v>
      </c>
      <c r="K935">
        <v>6</v>
      </c>
      <c r="L935">
        <v>3</v>
      </c>
      <c r="M935">
        <v>0</v>
      </c>
    </row>
    <row r="936" spans="1:13" x14ac:dyDescent="0.35">
      <c r="A936">
        <v>16</v>
      </c>
      <c r="B936" t="s">
        <v>13</v>
      </c>
      <c r="C936">
        <v>4.8</v>
      </c>
      <c r="D936" t="s">
        <v>14</v>
      </c>
      <c r="E936">
        <v>8.6</v>
      </c>
      <c r="F936">
        <v>1.8</v>
      </c>
      <c r="G936">
        <v>2.44</v>
      </c>
      <c r="H936">
        <v>1.7</v>
      </c>
      <c r="I936" t="s">
        <v>18</v>
      </c>
      <c r="J936">
        <v>8</v>
      </c>
      <c r="K936">
        <v>7</v>
      </c>
      <c r="L936">
        <v>3</v>
      </c>
      <c r="M936">
        <v>0</v>
      </c>
    </row>
    <row r="937" spans="1:13" x14ac:dyDescent="0.35">
      <c r="A937">
        <v>16</v>
      </c>
      <c r="B937" t="s">
        <v>13</v>
      </c>
      <c r="C937">
        <v>2.2000000000000002</v>
      </c>
      <c r="D937" t="s">
        <v>17</v>
      </c>
      <c r="E937">
        <v>5.0999999999999996</v>
      </c>
      <c r="F937">
        <v>2.2999999999999998</v>
      </c>
      <c r="G937">
        <v>3.6</v>
      </c>
      <c r="H937">
        <v>1</v>
      </c>
      <c r="I937" t="s">
        <v>18</v>
      </c>
      <c r="J937">
        <v>4</v>
      </c>
      <c r="K937">
        <v>7</v>
      </c>
      <c r="L937">
        <v>6</v>
      </c>
      <c r="M937">
        <v>0</v>
      </c>
    </row>
    <row r="938" spans="1:13" x14ac:dyDescent="0.35">
      <c r="A938">
        <v>16</v>
      </c>
      <c r="B938" t="s">
        <v>13</v>
      </c>
      <c r="C938">
        <v>7.9</v>
      </c>
      <c r="D938" t="s">
        <v>14</v>
      </c>
      <c r="E938">
        <v>8.6999999999999993</v>
      </c>
      <c r="F938">
        <v>2.5</v>
      </c>
      <c r="G938">
        <v>2.29</v>
      </c>
      <c r="H938">
        <v>0.7</v>
      </c>
      <c r="I938" t="s">
        <v>18</v>
      </c>
      <c r="J938">
        <v>7</v>
      </c>
      <c r="K938">
        <v>7</v>
      </c>
      <c r="L938">
        <v>4</v>
      </c>
      <c r="M938">
        <v>0</v>
      </c>
    </row>
    <row r="939" spans="1:13" x14ac:dyDescent="0.35">
      <c r="A939">
        <v>16</v>
      </c>
      <c r="B939" t="s">
        <v>13</v>
      </c>
      <c r="C939">
        <v>3.9</v>
      </c>
      <c r="D939" t="s">
        <v>17</v>
      </c>
      <c r="E939">
        <v>4.2</v>
      </c>
      <c r="F939">
        <v>2.1</v>
      </c>
      <c r="G939">
        <v>2.2799999999999998</v>
      </c>
      <c r="H939">
        <v>1.1000000000000001</v>
      </c>
      <c r="I939" t="s">
        <v>19</v>
      </c>
      <c r="J939">
        <v>6</v>
      </c>
      <c r="K939">
        <v>5</v>
      </c>
      <c r="L939">
        <v>7</v>
      </c>
      <c r="M939">
        <v>0</v>
      </c>
    </row>
    <row r="940" spans="1:13" x14ac:dyDescent="0.35">
      <c r="A940">
        <v>16</v>
      </c>
      <c r="B940" t="s">
        <v>13</v>
      </c>
      <c r="C940">
        <v>7.2</v>
      </c>
      <c r="D940" t="s">
        <v>20</v>
      </c>
      <c r="E940">
        <v>6.9</v>
      </c>
      <c r="F940">
        <v>2.1</v>
      </c>
      <c r="G940">
        <v>2.3199999999999998</v>
      </c>
      <c r="H940">
        <v>1.1000000000000001</v>
      </c>
      <c r="I940" t="s">
        <v>15</v>
      </c>
      <c r="J940">
        <v>3</v>
      </c>
      <c r="K940">
        <v>4</v>
      </c>
      <c r="L940">
        <v>10</v>
      </c>
      <c r="M940">
        <v>0</v>
      </c>
    </row>
    <row r="941" spans="1:13" x14ac:dyDescent="0.35">
      <c r="A941">
        <v>16</v>
      </c>
      <c r="B941" t="s">
        <v>13</v>
      </c>
      <c r="C941">
        <v>5.0999999999999996</v>
      </c>
      <c r="D941" t="s">
        <v>17</v>
      </c>
      <c r="E941">
        <v>4.5999999999999996</v>
      </c>
      <c r="F941">
        <v>1.1000000000000001</v>
      </c>
      <c r="G941">
        <v>2.75</v>
      </c>
      <c r="H941">
        <v>1.5</v>
      </c>
      <c r="I941" t="s">
        <v>19</v>
      </c>
      <c r="J941">
        <v>6</v>
      </c>
      <c r="K941">
        <v>3</v>
      </c>
      <c r="L941">
        <v>6</v>
      </c>
      <c r="M941">
        <v>0</v>
      </c>
    </row>
    <row r="942" spans="1:13" x14ac:dyDescent="0.35">
      <c r="A942">
        <v>16</v>
      </c>
      <c r="B942" t="s">
        <v>13</v>
      </c>
      <c r="C942">
        <v>7.3</v>
      </c>
      <c r="D942" t="s">
        <v>17</v>
      </c>
      <c r="E942">
        <v>7</v>
      </c>
      <c r="F942">
        <v>2.2000000000000002</v>
      </c>
      <c r="G942">
        <v>2.0699999999999998</v>
      </c>
      <c r="H942">
        <v>1</v>
      </c>
      <c r="I942" t="s">
        <v>19</v>
      </c>
      <c r="J942">
        <v>3</v>
      </c>
      <c r="K942">
        <v>7</v>
      </c>
      <c r="L942">
        <v>1</v>
      </c>
      <c r="M942">
        <v>0</v>
      </c>
    </row>
    <row r="943" spans="1:13" x14ac:dyDescent="0.35">
      <c r="A943">
        <v>16</v>
      </c>
      <c r="B943" t="s">
        <v>13</v>
      </c>
      <c r="C943">
        <v>7.1</v>
      </c>
      <c r="D943" t="s">
        <v>17</v>
      </c>
      <c r="E943">
        <v>7.7</v>
      </c>
      <c r="F943">
        <v>1.9</v>
      </c>
      <c r="G943">
        <v>2.2400000000000002</v>
      </c>
      <c r="H943">
        <v>0.6</v>
      </c>
      <c r="I943" t="s">
        <v>18</v>
      </c>
      <c r="J943">
        <v>8</v>
      </c>
      <c r="K943">
        <v>10</v>
      </c>
      <c r="L943">
        <v>5</v>
      </c>
      <c r="M943">
        <v>0</v>
      </c>
    </row>
    <row r="944" spans="1:13" x14ac:dyDescent="0.35">
      <c r="A944">
        <v>16</v>
      </c>
      <c r="B944" t="s">
        <v>13</v>
      </c>
      <c r="C944">
        <v>5.3</v>
      </c>
      <c r="D944" t="s">
        <v>17</v>
      </c>
      <c r="E944">
        <v>5.3</v>
      </c>
      <c r="F944">
        <v>2.4</v>
      </c>
      <c r="G944">
        <v>3.01</v>
      </c>
      <c r="H944">
        <v>1.6</v>
      </c>
      <c r="I944" t="s">
        <v>19</v>
      </c>
      <c r="J944">
        <v>2</v>
      </c>
      <c r="K944">
        <v>9</v>
      </c>
      <c r="L944">
        <v>1</v>
      </c>
      <c r="M944">
        <v>0</v>
      </c>
    </row>
    <row r="945" spans="1:13" x14ac:dyDescent="0.35">
      <c r="A945">
        <v>16</v>
      </c>
      <c r="B945" t="s">
        <v>13</v>
      </c>
      <c r="C945">
        <v>2.2999999999999998</v>
      </c>
      <c r="D945" t="s">
        <v>20</v>
      </c>
      <c r="E945">
        <v>8</v>
      </c>
      <c r="F945">
        <v>1.9</v>
      </c>
      <c r="G945">
        <v>2.12</v>
      </c>
      <c r="H945">
        <v>0.4</v>
      </c>
      <c r="I945" t="s">
        <v>18</v>
      </c>
      <c r="J945">
        <v>7</v>
      </c>
      <c r="K945">
        <v>4</v>
      </c>
      <c r="L945">
        <v>4</v>
      </c>
      <c r="M945">
        <v>0</v>
      </c>
    </row>
    <row r="946" spans="1:13" x14ac:dyDescent="0.35">
      <c r="A946">
        <v>17</v>
      </c>
      <c r="B946" t="s">
        <v>13</v>
      </c>
      <c r="C946">
        <v>2.5</v>
      </c>
      <c r="D946" t="s">
        <v>20</v>
      </c>
      <c r="E946">
        <v>6.7</v>
      </c>
      <c r="F946">
        <v>2</v>
      </c>
      <c r="G946">
        <v>2.56</v>
      </c>
      <c r="H946">
        <v>1.7</v>
      </c>
      <c r="I946" t="s">
        <v>18</v>
      </c>
      <c r="J946">
        <v>5</v>
      </c>
      <c r="K946">
        <v>7</v>
      </c>
      <c r="L946">
        <v>5</v>
      </c>
      <c r="M946">
        <v>0</v>
      </c>
    </row>
    <row r="947" spans="1:13" x14ac:dyDescent="0.35">
      <c r="A947">
        <v>17</v>
      </c>
      <c r="B947" t="s">
        <v>13</v>
      </c>
      <c r="C947">
        <v>2.7</v>
      </c>
      <c r="D947" t="s">
        <v>14</v>
      </c>
      <c r="E947">
        <v>8</v>
      </c>
      <c r="F947">
        <v>2.6</v>
      </c>
      <c r="G947">
        <v>3.53</v>
      </c>
      <c r="H947">
        <v>1.9</v>
      </c>
      <c r="I947" t="s">
        <v>18</v>
      </c>
      <c r="J947">
        <v>1</v>
      </c>
      <c r="K947">
        <v>8</v>
      </c>
      <c r="L947">
        <v>7</v>
      </c>
      <c r="M947">
        <v>0</v>
      </c>
    </row>
    <row r="948" spans="1:13" x14ac:dyDescent="0.35">
      <c r="A948">
        <v>17</v>
      </c>
      <c r="B948" t="s">
        <v>13</v>
      </c>
      <c r="C948">
        <v>5.8</v>
      </c>
      <c r="D948" t="s">
        <v>20</v>
      </c>
      <c r="E948">
        <v>7.6</v>
      </c>
      <c r="F948">
        <v>0.7</v>
      </c>
      <c r="G948">
        <v>2.83</v>
      </c>
      <c r="H948">
        <v>1</v>
      </c>
      <c r="I948" t="s">
        <v>19</v>
      </c>
      <c r="J948">
        <v>7</v>
      </c>
      <c r="K948">
        <v>6</v>
      </c>
      <c r="L948">
        <v>8</v>
      </c>
      <c r="M948">
        <v>0</v>
      </c>
    </row>
    <row r="949" spans="1:13" x14ac:dyDescent="0.35">
      <c r="A949">
        <v>17</v>
      </c>
      <c r="B949" t="s">
        <v>13</v>
      </c>
      <c r="C949">
        <v>7.7</v>
      </c>
      <c r="D949" t="s">
        <v>17</v>
      </c>
      <c r="E949">
        <v>8.5</v>
      </c>
      <c r="F949">
        <v>1.2</v>
      </c>
      <c r="G949">
        <v>3.56</v>
      </c>
      <c r="H949">
        <v>0</v>
      </c>
      <c r="I949" t="s">
        <v>19</v>
      </c>
      <c r="J949">
        <v>7</v>
      </c>
      <c r="K949">
        <v>10</v>
      </c>
      <c r="L949">
        <v>7</v>
      </c>
      <c r="M949">
        <v>0</v>
      </c>
    </row>
    <row r="950" spans="1:13" x14ac:dyDescent="0.35">
      <c r="A950">
        <v>17</v>
      </c>
      <c r="B950" t="s">
        <v>13</v>
      </c>
      <c r="C950">
        <v>6.5</v>
      </c>
      <c r="D950" t="s">
        <v>14</v>
      </c>
      <c r="E950">
        <v>4.0999999999999996</v>
      </c>
      <c r="F950">
        <v>2.7</v>
      </c>
      <c r="G950">
        <v>3.66</v>
      </c>
      <c r="H950">
        <v>1.1000000000000001</v>
      </c>
      <c r="I950" t="s">
        <v>19</v>
      </c>
      <c r="J950">
        <v>6</v>
      </c>
      <c r="K950">
        <v>10</v>
      </c>
      <c r="L950">
        <v>10</v>
      </c>
      <c r="M950">
        <v>0</v>
      </c>
    </row>
    <row r="951" spans="1:13" x14ac:dyDescent="0.35">
      <c r="A951">
        <v>17</v>
      </c>
      <c r="B951" t="s">
        <v>13</v>
      </c>
      <c r="C951">
        <v>3.9</v>
      </c>
      <c r="D951" t="s">
        <v>14</v>
      </c>
      <c r="E951">
        <v>7.1</v>
      </c>
      <c r="F951">
        <v>2.4</v>
      </c>
      <c r="G951">
        <v>3.82</v>
      </c>
      <c r="H951">
        <v>0.8</v>
      </c>
      <c r="I951" t="s">
        <v>18</v>
      </c>
      <c r="J951">
        <v>3</v>
      </c>
      <c r="K951">
        <v>6</v>
      </c>
      <c r="L951">
        <v>10</v>
      </c>
      <c r="M951">
        <v>0</v>
      </c>
    </row>
    <row r="952" spans="1:13" x14ac:dyDescent="0.35">
      <c r="A952">
        <v>17</v>
      </c>
      <c r="B952" t="s">
        <v>13</v>
      </c>
      <c r="C952">
        <v>2.1</v>
      </c>
      <c r="D952" t="s">
        <v>17</v>
      </c>
      <c r="E952">
        <v>4.7</v>
      </c>
      <c r="F952">
        <v>2</v>
      </c>
      <c r="G952">
        <v>2.99</v>
      </c>
      <c r="H952">
        <v>1.9</v>
      </c>
      <c r="I952" t="s">
        <v>15</v>
      </c>
      <c r="J952">
        <v>5</v>
      </c>
      <c r="K952">
        <v>1</v>
      </c>
      <c r="L952">
        <v>8</v>
      </c>
      <c r="M952">
        <v>0</v>
      </c>
    </row>
    <row r="953" spans="1:13" x14ac:dyDescent="0.35">
      <c r="A953">
        <v>17</v>
      </c>
      <c r="B953" t="s">
        <v>13</v>
      </c>
      <c r="C953">
        <v>8</v>
      </c>
      <c r="D953" t="s">
        <v>14</v>
      </c>
      <c r="E953">
        <v>4.5999999999999996</v>
      </c>
      <c r="F953">
        <v>2.6</v>
      </c>
      <c r="G953">
        <v>3.06</v>
      </c>
      <c r="H953">
        <v>0.1</v>
      </c>
      <c r="I953" t="s">
        <v>18</v>
      </c>
      <c r="J953">
        <v>9</v>
      </c>
      <c r="K953">
        <v>2</v>
      </c>
      <c r="L953">
        <v>6</v>
      </c>
      <c r="M953">
        <v>0</v>
      </c>
    </row>
    <row r="954" spans="1:13" x14ac:dyDescent="0.35">
      <c r="A954">
        <v>17</v>
      </c>
      <c r="B954" t="s">
        <v>13</v>
      </c>
      <c r="C954">
        <v>5.0999999999999996</v>
      </c>
      <c r="D954" t="s">
        <v>20</v>
      </c>
      <c r="E954">
        <v>5</v>
      </c>
      <c r="F954">
        <v>2.2000000000000002</v>
      </c>
      <c r="G954">
        <v>3.58</v>
      </c>
      <c r="H954">
        <v>1.2</v>
      </c>
      <c r="I954" t="s">
        <v>18</v>
      </c>
      <c r="J954">
        <v>6</v>
      </c>
      <c r="K954">
        <v>3</v>
      </c>
      <c r="L954">
        <v>9</v>
      </c>
      <c r="M954">
        <v>0</v>
      </c>
    </row>
    <row r="955" spans="1:13" x14ac:dyDescent="0.35">
      <c r="A955">
        <v>17</v>
      </c>
      <c r="B955" t="s">
        <v>13</v>
      </c>
      <c r="C955">
        <v>1.1000000000000001</v>
      </c>
      <c r="D955" t="s">
        <v>14</v>
      </c>
      <c r="E955">
        <v>6.8</v>
      </c>
      <c r="F955">
        <v>2</v>
      </c>
      <c r="G955">
        <v>3.45</v>
      </c>
      <c r="H955">
        <v>1.3</v>
      </c>
      <c r="I955" t="s">
        <v>19</v>
      </c>
      <c r="J955">
        <v>7</v>
      </c>
      <c r="K955">
        <v>1</v>
      </c>
      <c r="L955">
        <v>2</v>
      </c>
      <c r="M955">
        <v>0</v>
      </c>
    </row>
    <row r="956" spans="1:13" x14ac:dyDescent="0.35">
      <c r="A956">
        <v>17</v>
      </c>
      <c r="B956" t="s">
        <v>13</v>
      </c>
      <c r="C956">
        <v>2.4</v>
      </c>
      <c r="D956" t="s">
        <v>17</v>
      </c>
      <c r="E956">
        <v>8.5</v>
      </c>
      <c r="F956">
        <v>2.4</v>
      </c>
      <c r="G956">
        <v>2.79</v>
      </c>
      <c r="H956">
        <v>1.1000000000000001</v>
      </c>
      <c r="I956" t="s">
        <v>15</v>
      </c>
      <c r="J956">
        <v>1</v>
      </c>
      <c r="K956">
        <v>6</v>
      </c>
      <c r="L956">
        <v>7</v>
      </c>
      <c r="M956">
        <v>0</v>
      </c>
    </row>
    <row r="957" spans="1:13" x14ac:dyDescent="0.35">
      <c r="A957">
        <v>17</v>
      </c>
      <c r="B957" t="s">
        <v>13</v>
      </c>
      <c r="C957">
        <v>6.7</v>
      </c>
      <c r="D957" t="s">
        <v>14</v>
      </c>
      <c r="E957">
        <v>7.6</v>
      </c>
      <c r="F957">
        <v>2.4</v>
      </c>
      <c r="G957">
        <v>3.59</v>
      </c>
      <c r="H957">
        <v>0.4</v>
      </c>
      <c r="I957" t="s">
        <v>19</v>
      </c>
      <c r="J957">
        <v>9</v>
      </c>
      <c r="K957">
        <v>5</v>
      </c>
      <c r="L957">
        <v>5</v>
      </c>
      <c r="M957">
        <v>0</v>
      </c>
    </row>
    <row r="958" spans="1:13" x14ac:dyDescent="0.35">
      <c r="A958">
        <v>17</v>
      </c>
      <c r="B958" t="s">
        <v>13</v>
      </c>
      <c r="C958">
        <v>1.5</v>
      </c>
      <c r="D958" t="s">
        <v>17</v>
      </c>
      <c r="E958">
        <v>5.5</v>
      </c>
      <c r="F958">
        <v>1.7</v>
      </c>
      <c r="G958">
        <v>2.93</v>
      </c>
      <c r="H958">
        <v>0.7</v>
      </c>
      <c r="I958" t="s">
        <v>15</v>
      </c>
      <c r="J958">
        <v>4</v>
      </c>
      <c r="K958">
        <v>9</v>
      </c>
      <c r="L958">
        <v>9</v>
      </c>
      <c r="M958">
        <v>0</v>
      </c>
    </row>
    <row r="959" spans="1:13" x14ac:dyDescent="0.35">
      <c r="A959">
        <v>17</v>
      </c>
      <c r="B959" t="s">
        <v>13</v>
      </c>
      <c r="C959">
        <v>3.9</v>
      </c>
      <c r="D959" t="s">
        <v>20</v>
      </c>
      <c r="E959">
        <v>7.7</v>
      </c>
      <c r="F959">
        <v>1</v>
      </c>
      <c r="G959">
        <v>2.1</v>
      </c>
      <c r="H959">
        <v>1.8</v>
      </c>
      <c r="I959" t="s">
        <v>18</v>
      </c>
      <c r="J959">
        <v>7</v>
      </c>
      <c r="K959">
        <v>4</v>
      </c>
      <c r="L959">
        <v>5</v>
      </c>
      <c r="M959">
        <v>0</v>
      </c>
    </row>
    <row r="960" spans="1:13" x14ac:dyDescent="0.35">
      <c r="A960">
        <v>17</v>
      </c>
      <c r="B960" t="s">
        <v>13</v>
      </c>
      <c r="C960">
        <v>7.2</v>
      </c>
      <c r="D960" t="s">
        <v>17</v>
      </c>
      <c r="E960">
        <v>8.8000000000000007</v>
      </c>
      <c r="F960">
        <v>2.5</v>
      </c>
      <c r="G960">
        <v>3.97</v>
      </c>
      <c r="H960">
        <v>1.9</v>
      </c>
      <c r="I960" t="s">
        <v>15</v>
      </c>
      <c r="J960">
        <v>1</v>
      </c>
      <c r="K960">
        <v>3</v>
      </c>
      <c r="L960">
        <v>9</v>
      </c>
      <c r="M960">
        <v>0</v>
      </c>
    </row>
    <row r="961" spans="1:13" x14ac:dyDescent="0.35">
      <c r="A961">
        <v>17</v>
      </c>
      <c r="B961" t="s">
        <v>13</v>
      </c>
      <c r="C961">
        <v>7.8</v>
      </c>
      <c r="D961" t="s">
        <v>17</v>
      </c>
      <c r="E961">
        <v>7.1</v>
      </c>
      <c r="F961">
        <v>0.8</v>
      </c>
      <c r="G961">
        <v>2.79</v>
      </c>
      <c r="H961">
        <v>1.4</v>
      </c>
      <c r="I961" t="s">
        <v>19</v>
      </c>
      <c r="J961">
        <v>9</v>
      </c>
      <c r="K961">
        <v>4</v>
      </c>
      <c r="L961">
        <v>2</v>
      </c>
      <c r="M961">
        <v>0</v>
      </c>
    </row>
    <row r="962" spans="1:13" x14ac:dyDescent="0.35">
      <c r="A962">
        <v>17</v>
      </c>
      <c r="B962" t="s">
        <v>13</v>
      </c>
      <c r="C962">
        <v>4.9000000000000004</v>
      </c>
      <c r="D962" t="s">
        <v>14</v>
      </c>
      <c r="E962">
        <v>8.6</v>
      </c>
      <c r="F962">
        <v>3</v>
      </c>
      <c r="G962">
        <v>3.62</v>
      </c>
      <c r="H962">
        <v>1.2</v>
      </c>
      <c r="I962" t="s">
        <v>15</v>
      </c>
      <c r="J962">
        <v>6</v>
      </c>
      <c r="K962">
        <v>6</v>
      </c>
      <c r="L962">
        <v>9</v>
      </c>
      <c r="M962">
        <v>0</v>
      </c>
    </row>
    <row r="963" spans="1:13" x14ac:dyDescent="0.35">
      <c r="A963">
        <v>17</v>
      </c>
      <c r="B963" t="s">
        <v>13</v>
      </c>
      <c r="C963">
        <v>7.2</v>
      </c>
      <c r="D963" t="s">
        <v>20</v>
      </c>
      <c r="E963">
        <v>6.1</v>
      </c>
      <c r="F963">
        <v>0.8</v>
      </c>
      <c r="G963">
        <v>3.9</v>
      </c>
      <c r="H963">
        <v>0.2</v>
      </c>
      <c r="I963" t="s">
        <v>15</v>
      </c>
      <c r="J963">
        <v>8</v>
      </c>
      <c r="K963">
        <v>3</v>
      </c>
      <c r="L963">
        <v>7</v>
      </c>
      <c r="M963">
        <v>0</v>
      </c>
    </row>
    <row r="964" spans="1:13" x14ac:dyDescent="0.35">
      <c r="A964">
        <v>17</v>
      </c>
      <c r="B964" t="s">
        <v>13</v>
      </c>
      <c r="C964">
        <v>7.2</v>
      </c>
      <c r="D964" t="s">
        <v>14</v>
      </c>
      <c r="E964">
        <v>8</v>
      </c>
      <c r="F964">
        <v>1.9</v>
      </c>
      <c r="G964">
        <v>2.66</v>
      </c>
      <c r="H964">
        <v>1.4</v>
      </c>
      <c r="I964" t="s">
        <v>19</v>
      </c>
      <c r="J964">
        <v>5</v>
      </c>
      <c r="K964">
        <v>8</v>
      </c>
      <c r="L964">
        <v>6</v>
      </c>
      <c r="M964">
        <v>0</v>
      </c>
    </row>
    <row r="965" spans="1:13" x14ac:dyDescent="0.35">
      <c r="A965">
        <v>17</v>
      </c>
      <c r="B965" t="s">
        <v>13</v>
      </c>
      <c r="C965">
        <v>7.7</v>
      </c>
      <c r="D965" t="s">
        <v>17</v>
      </c>
      <c r="E965">
        <v>4.7</v>
      </c>
      <c r="F965">
        <v>2.8</v>
      </c>
      <c r="G965">
        <v>3.5</v>
      </c>
      <c r="H965">
        <v>1.5</v>
      </c>
      <c r="I965" t="s">
        <v>15</v>
      </c>
      <c r="J965">
        <v>8</v>
      </c>
      <c r="K965">
        <v>4</v>
      </c>
      <c r="L965">
        <v>8</v>
      </c>
      <c r="M965">
        <v>0</v>
      </c>
    </row>
    <row r="966" spans="1:13" x14ac:dyDescent="0.35">
      <c r="A966">
        <v>17</v>
      </c>
      <c r="B966" t="s">
        <v>13</v>
      </c>
      <c r="C966">
        <v>8</v>
      </c>
      <c r="D966" t="s">
        <v>14</v>
      </c>
      <c r="E966">
        <v>8.6999999999999993</v>
      </c>
      <c r="F966">
        <v>1.5</v>
      </c>
      <c r="G966">
        <v>3.7</v>
      </c>
      <c r="H966">
        <v>2</v>
      </c>
      <c r="I966" t="s">
        <v>18</v>
      </c>
      <c r="J966">
        <v>10</v>
      </c>
      <c r="K966">
        <v>9</v>
      </c>
      <c r="L966">
        <v>5</v>
      </c>
      <c r="M966">
        <v>0</v>
      </c>
    </row>
    <row r="967" spans="1:13" x14ac:dyDescent="0.35">
      <c r="A967">
        <v>17</v>
      </c>
      <c r="B967" t="s">
        <v>13</v>
      </c>
      <c r="C967">
        <v>3.7</v>
      </c>
      <c r="D967" t="s">
        <v>17</v>
      </c>
      <c r="E967">
        <v>7.2</v>
      </c>
      <c r="F967">
        <v>0.6</v>
      </c>
      <c r="G967">
        <v>3.34</v>
      </c>
      <c r="H967">
        <v>1.8</v>
      </c>
      <c r="I967" t="s">
        <v>18</v>
      </c>
      <c r="J967">
        <v>2</v>
      </c>
      <c r="K967">
        <v>6</v>
      </c>
      <c r="L967">
        <v>2</v>
      </c>
      <c r="M967">
        <v>0</v>
      </c>
    </row>
    <row r="968" spans="1:13" x14ac:dyDescent="0.35">
      <c r="A968">
        <v>17</v>
      </c>
      <c r="B968" t="s">
        <v>13</v>
      </c>
      <c r="C968">
        <v>4</v>
      </c>
      <c r="D968" t="s">
        <v>20</v>
      </c>
      <c r="E968">
        <v>4.3</v>
      </c>
      <c r="F968">
        <v>1.8</v>
      </c>
      <c r="G968">
        <v>2.17</v>
      </c>
      <c r="H968">
        <v>0.9</v>
      </c>
      <c r="I968" t="s">
        <v>18</v>
      </c>
      <c r="J968">
        <v>8</v>
      </c>
      <c r="K968">
        <v>8</v>
      </c>
      <c r="L968">
        <v>3</v>
      </c>
      <c r="M968">
        <v>0</v>
      </c>
    </row>
    <row r="969" spans="1:13" x14ac:dyDescent="0.35">
      <c r="A969">
        <v>17</v>
      </c>
      <c r="B969" t="s">
        <v>13</v>
      </c>
      <c r="C969">
        <v>1.3</v>
      </c>
      <c r="D969" t="s">
        <v>20</v>
      </c>
      <c r="E969">
        <v>8.3000000000000007</v>
      </c>
      <c r="F969">
        <v>1</v>
      </c>
      <c r="G969">
        <v>3.95</v>
      </c>
      <c r="H969">
        <v>1.2</v>
      </c>
      <c r="I969" t="s">
        <v>19</v>
      </c>
      <c r="J969">
        <v>4</v>
      </c>
      <c r="K969">
        <v>1</v>
      </c>
      <c r="L969">
        <v>1</v>
      </c>
      <c r="M969">
        <v>0</v>
      </c>
    </row>
    <row r="970" spans="1:13" x14ac:dyDescent="0.35">
      <c r="A970">
        <v>17</v>
      </c>
      <c r="B970" t="s">
        <v>13</v>
      </c>
      <c r="C970">
        <v>3.3</v>
      </c>
      <c r="D970" t="s">
        <v>17</v>
      </c>
      <c r="E970">
        <v>5.7</v>
      </c>
      <c r="F970">
        <v>2</v>
      </c>
      <c r="G970">
        <v>3.71</v>
      </c>
      <c r="H970">
        <v>0.1</v>
      </c>
      <c r="I970" t="s">
        <v>15</v>
      </c>
      <c r="J970">
        <v>6</v>
      </c>
      <c r="K970">
        <v>6</v>
      </c>
      <c r="L970">
        <v>8</v>
      </c>
      <c r="M970">
        <v>0</v>
      </c>
    </row>
    <row r="971" spans="1:13" x14ac:dyDescent="0.35">
      <c r="A971">
        <v>17</v>
      </c>
      <c r="B971" t="s">
        <v>13</v>
      </c>
      <c r="C971">
        <v>2.4</v>
      </c>
      <c r="D971" t="s">
        <v>17</v>
      </c>
      <c r="E971">
        <v>6</v>
      </c>
      <c r="F971">
        <v>0.7</v>
      </c>
      <c r="G971">
        <v>3.67</v>
      </c>
      <c r="H971">
        <v>1.5</v>
      </c>
      <c r="I971" t="s">
        <v>15</v>
      </c>
      <c r="J971">
        <v>7</v>
      </c>
      <c r="K971">
        <v>9</v>
      </c>
      <c r="L971">
        <v>2</v>
      </c>
      <c r="M971">
        <v>0</v>
      </c>
    </row>
    <row r="972" spans="1:13" x14ac:dyDescent="0.35">
      <c r="A972">
        <v>17</v>
      </c>
      <c r="B972" t="s">
        <v>13</v>
      </c>
      <c r="C972">
        <v>4.7</v>
      </c>
      <c r="D972" t="s">
        <v>17</v>
      </c>
      <c r="E972">
        <v>5.0999999999999996</v>
      </c>
      <c r="F972">
        <v>2</v>
      </c>
      <c r="G972">
        <v>2.35</v>
      </c>
      <c r="H972">
        <v>1.8</v>
      </c>
      <c r="I972" t="s">
        <v>15</v>
      </c>
      <c r="J972">
        <v>8</v>
      </c>
      <c r="K972">
        <v>9</v>
      </c>
      <c r="L972">
        <v>1</v>
      </c>
      <c r="M972">
        <v>0</v>
      </c>
    </row>
    <row r="973" spans="1:13" x14ac:dyDescent="0.35">
      <c r="A973">
        <v>17</v>
      </c>
      <c r="B973" t="s">
        <v>13</v>
      </c>
      <c r="C973">
        <v>1.7</v>
      </c>
      <c r="D973" t="s">
        <v>20</v>
      </c>
      <c r="E973">
        <v>8.6</v>
      </c>
      <c r="F973">
        <v>0.9</v>
      </c>
      <c r="G973">
        <v>2.36</v>
      </c>
      <c r="H973">
        <v>1.7</v>
      </c>
      <c r="I973" t="s">
        <v>15</v>
      </c>
      <c r="J973">
        <v>9</v>
      </c>
      <c r="K973">
        <v>1</v>
      </c>
      <c r="L973">
        <v>3</v>
      </c>
      <c r="M973">
        <v>0</v>
      </c>
    </row>
    <row r="974" spans="1:13" x14ac:dyDescent="0.35">
      <c r="A974">
        <v>17</v>
      </c>
      <c r="B974" t="s">
        <v>13</v>
      </c>
      <c r="C974">
        <v>6.8</v>
      </c>
      <c r="D974" t="s">
        <v>14</v>
      </c>
      <c r="E974">
        <v>4.7</v>
      </c>
      <c r="F974">
        <v>0.6</v>
      </c>
      <c r="G974">
        <v>3.4</v>
      </c>
      <c r="H974">
        <v>0.9</v>
      </c>
      <c r="I974" t="s">
        <v>15</v>
      </c>
      <c r="J974">
        <v>3</v>
      </c>
      <c r="K974">
        <v>9</v>
      </c>
      <c r="L974">
        <v>7</v>
      </c>
      <c r="M974">
        <v>0</v>
      </c>
    </row>
    <row r="975" spans="1:13" x14ac:dyDescent="0.35">
      <c r="A975">
        <v>17</v>
      </c>
      <c r="B975" t="s">
        <v>13</v>
      </c>
      <c r="C975">
        <v>6.2</v>
      </c>
      <c r="D975" t="s">
        <v>14</v>
      </c>
      <c r="E975">
        <v>7.4</v>
      </c>
      <c r="F975">
        <v>0.6</v>
      </c>
      <c r="G975">
        <v>3.38</v>
      </c>
      <c r="H975">
        <v>1.5</v>
      </c>
      <c r="I975" t="s">
        <v>15</v>
      </c>
      <c r="J975">
        <v>4</v>
      </c>
      <c r="K975">
        <v>7</v>
      </c>
      <c r="L975">
        <v>9</v>
      </c>
      <c r="M975">
        <v>0</v>
      </c>
    </row>
    <row r="976" spans="1:13" x14ac:dyDescent="0.35">
      <c r="A976">
        <v>17</v>
      </c>
      <c r="B976" t="s">
        <v>13</v>
      </c>
      <c r="C976">
        <v>4.5</v>
      </c>
      <c r="D976" t="s">
        <v>20</v>
      </c>
      <c r="E976">
        <v>4.9000000000000004</v>
      </c>
      <c r="F976">
        <v>0.5</v>
      </c>
      <c r="G976">
        <v>3.44</v>
      </c>
      <c r="H976">
        <v>1.2</v>
      </c>
      <c r="I976" t="s">
        <v>19</v>
      </c>
      <c r="J976">
        <v>5</v>
      </c>
      <c r="K976">
        <v>3</v>
      </c>
      <c r="L976">
        <v>1</v>
      </c>
      <c r="M976">
        <v>0</v>
      </c>
    </row>
    <row r="977" spans="1:13" x14ac:dyDescent="0.35">
      <c r="A977">
        <v>17</v>
      </c>
      <c r="B977" t="s">
        <v>13</v>
      </c>
      <c r="C977">
        <v>6.4</v>
      </c>
      <c r="D977" t="s">
        <v>17</v>
      </c>
      <c r="E977">
        <v>8.6</v>
      </c>
      <c r="F977">
        <v>2.2999999999999998</v>
      </c>
      <c r="G977">
        <v>2.57</v>
      </c>
      <c r="H977">
        <v>1.3</v>
      </c>
      <c r="I977" t="s">
        <v>15</v>
      </c>
      <c r="J977">
        <v>9</v>
      </c>
      <c r="K977">
        <v>10</v>
      </c>
      <c r="L977">
        <v>5</v>
      </c>
      <c r="M977">
        <v>0</v>
      </c>
    </row>
    <row r="978" spans="1:13" x14ac:dyDescent="0.35">
      <c r="A978">
        <v>17</v>
      </c>
      <c r="B978" t="s">
        <v>13</v>
      </c>
      <c r="C978">
        <v>3.6</v>
      </c>
      <c r="D978" t="s">
        <v>20</v>
      </c>
      <c r="E978">
        <v>6.1</v>
      </c>
      <c r="F978">
        <v>2.8</v>
      </c>
      <c r="G978">
        <v>2.39</v>
      </c>
      <c r="H978">
        <v>0.6</v>
      </c>
      <c r="I978" t="s">
        <v>15</v>
      </c>
      <c r="J978">
        <v>6</v>
      </c>
      <c r="K978">
        <v>8</v>
      </c>
      <c r="L978">
        <v>5</v>
      </c>
      <c r="M978">
        <v>0</v>
      </c>
    </row>
    <row r="979" spans="1:13" x14ac:dyDescent="0.35">
      <c r="A979">
        <v>17</v>
      </c>
      <c r="B979" t="s">
        <v>13</v>
      </c>
      <c r="C979">
        <v>5.3</v>
      </c>
      <c r="D979" t="s">
        <v>14</v>
      </c>
      <c r="E979">
        <v>6.4</v>
      </c>
      <c r="F979">
        <v>2.9</v>
      </c>
      <c r="G979">
        <v>2.42</v>
      </c>
      <c r="H979">
        <v>1.1000000000000001</v>
      </c>
      <c r="I979" t="s">
        <v>15</v>
      </c>
      <c r="J979">
        <v>3</v>
      </c>
      <c r="K979">
        <v>8</v>
      </c>
      <c r="L979">
        <v>3</v>
      </c>
      <c r="M979">
        <v>0</v>
      </c>
    </row>
    <row r="980" spans="1:13" x14ac:dyDescent="0.35">
      <c r="A980">
        <v>17</v>
      </c>
      <c r="B980" t="s">
        <v>13</v>
      </c>
      <c r="C980">
        <v>6.6</v>
      </c>
      <c r="D980" t="s">
        <v>17</v>
      </c>
      <c r="E980">
        <v>8.1999999999999993</v>
      </c>
      <c r="F980">
        <v>0.7</v>
      </c>
      <c r="G980">
        <v>2.88</v>
      </c>
      <c r="H980">
        <v>0.8</v>
      </c>
      <c r="I980" t="s">
        <v>15</v>
      </c>
      <c r="J980">
        <v>1</v>
      </c>
      <c r="K980">
        <v>7</v>
      </c>
      <c r="L980">
        <v>7</v>
      </c>
      <c r="M980">
        <v>0</v>
      </c>
    </row>
    <row r="981" spans="1:13" x14ac:dyDescent="0.35">
      <c r="A981">
        <v>17</v>
      </c>
      <c r="B981" t="s">
        <v>13</v>
      </c>
      <c r="C981">
        <v>2.9</v>
      </c>
      <c r="D981" t="s">
        <v>20</v>
      </c>
      <c r="E981">
        <v>6.7</v>
      </c>
      <c r="F981">
        <v>1.5</v>
      </c>
      <c r="G981">
        <v>3.62</v>
      </c>
      <c r="H981">
        <v>0.8</v>
      </c>
      <c r="I981" t="s">
        <v>19</v>
      </c>
      <c r="J981">
        <v>10</v>
      </c>
      <c r="K981">
        <v>6</v>
      </c>
      <c r="L981">
        <v>4</v>
      </c>
      <c r="M981">
        <v>0</v>
      </c>
    </row>
    <row r="982" spans="1:13" x14ac:dyDescent="0.35">
      <c r="A982">
        <v>17</v>
      </c>
      <c r="B982" t="s">
        <v>13</v>
      </c>
      <c r="C982">
        <v>3.8</v>
      </c>
      <c r="D982" t="s">
        <v>20</v>
      </c>
      <c r="E982">
        <v>5.7</v>
      </c>
      <c r="F982">
        <v>2</v>
      </c>
      <c r="G982">
        <v>3.01</v>
      </c>
      <c r="H982">
        <v>1</v>
      </c>
      <c r="I982" t="s">
        <v>15</v>
      </c>
      <c r="J982">
        <v>1</v>
      </c>
      <c r="K982">
        <v>3</v>
      </c>
      <c r="L982">
        <v>1</v>
      </c>
      <c r="M982">
        <v>0</v>
      </c>
    </row>
    <row r="983" spans="1:13" x14ac:dyDescent="0.35">
      <c r="A983">
        <v>17</v>
      </c>
      <c r="B983" t="s">
        <v>13</v>
      </c>
      <c r="C983">
        <v>8</v>
      </c>
      <c r="D983" t="s">
        <v>14</v>
      </c>
      <c r="E983">
        <v>6.9</v>
      </c>
      <c r="F983">
        <v>2.2000000000000002</v>
      </c>
      <c r="G983">
        <v>2.36</v>
      </c>
      <c r="H983">
        <v>1.6</v>
      </c>
      <c r="I983" t="s">
        <v>15</v>
      </c>
      <c r="J983">
        <v>4</v>
      </c>
      <c r="K983">
        <v>2</v>
      </c>
      <c r="L983">
        <v>8</v>
      </c>
      <c r="M983">
        <v>0</v>
      </c>
    </row>
    <row r="984" spans="1:13" x14ac:dyDescent="0.35">
      <c r="A984">
        <v>17</v>
      </c>
      <c r="B984" t="s">
        <v>13</v>
      </c>
      <c r="C984">
        <v>4</v>
      </c>
      <c r="D984" t="s">
        <v>20</v>
      </c>
      <c r="E984">
        <v>8.5</v>
      </c>
      <c r="F984">
        <v>1</v>
      </c>
      <c r="G984">
        <v>2.16</v>
      </c>
      <c r="H984">
        <v>0.1</v>
      </c>
      <c r="I984" t="s">
        <v>15</v>
      </c>
      <c r="J984">
        <v>1</v>
      </c>
      <c r="K984">
        <v>7</v>
      </c>
      <c r="L984">
        <v>5</v>
      </c>
      <c r="M984">
        <v>0</v>
      </c>
    </row>
    <row r="985" spans="1:13" x14ac:dyDescent="0.35">
      <c r="A985">
        <v>17</v>
      </c>
      <c r="B985" t="s">
        <v>13</v>
      </c>
      <c r="C985">
        <v>7.6</v>
      </c>
      <c r="D985" t="s">
        <v>14</v>
      </c>
      <c r="E985">
        <v>6</v>
      </c>
      <c r="F985">
        <v>2</v>
      </c>
      <c r="G985">
        <v>3.82</v>
      </c>
      <c r="H985">
        <v>1.5</v>
      </c>
      <c r="I985" t="s">
        <v>15</v>
      </c>
      <c r="J985">
        <v>8</v>
      </c>
      <c r="K985">
        <v>9</v>
      </c>
      <c r="L985">
        <v>7</v>
      </c>
      <c r="M985">
        <v>0</v>
      </c>
    </row>
    <row r="986" spans="1:13" x14ac:dyDescent="0.35">
      <c r="A986">
        <v>17</v>
      </c>
      <c r="B986" t="s">
        <v>13</v>
      </c>
      <c r="C986">
        <v>6</v>
      </c>
      <c r="D986" t="s">
        <v>20</v>
      </c>
      <c r="E986">
        <v>5.3</v>
      </c>
      <c r="F986">
        <v>2.7</v>
      </c>
      <c r="G986">
        <v>3.2</v>
      </c>
      <c r="H986">
        <v>1.4</v>
      </c>
      <c r="I986" t="s">
        <v>19</v>
      </c>
      <c r="J986">
        <v>8</v>
      </c>
      <c r="K986">
        <v>2</v>
      </c>
      <c r="L986">
        <v>4</v>
      </c>
      <c r="M986">
        <v>0</v>
      </c>
    </row>
    <row r="987" spans="1:13" x14ac:dyDescent="0.35">
      <c r="A987">
        <v>17</v>
      </c>
      <c r="B987" t="s">
        <v>13</v>
      </c>
      <c r="C987">
        <v>5.9</v>
      </c>
      <c r="D987" t="s">
        <v>14</v>
      </c>
      <c r="E987">
        <v>7.4</v>
      </c>
      <c r="F987">
        <v>1.7</v>
      </c>
      <c r="G987">
        <v>2.5</v>
      </c>
      <c r="H987">
        <v>0.7</v>
      </c>
      <c r="I987" t="s">
        <v>18</v>
      </c>
      <c r="J987">
        <v>6</v>
      </c>
      <c r="K987">
        <v>7</v>
      </c>
      <c r="L987">
        <v>1</v>
      </c>
      <c r="M987">
        <v>0</v>
      </c>
    </row>
    <row r="988" spans="1:13" x14ac:dyDescent="0.35">
      <c r="A988">
        <v>17</v>
      </c>
      <c r="B988" t="s">
        <v>13</v>
      </c>
      <c r="C988">
        <v>3.3</v>
      </c>
      <c r="D988" t="s">
        <v>20</v>
      </c>
      <c r="E988">
        <v>5.2</v>
      </c>
      <c r="F988">
        <v>1.8</v>
      </c>
      <c r="G988">
        <v>2.1</v>
      </c>
      <c r="H988">
        <v>1.2</v>
      </c>
      <c r="I988" t="s">
        <v>15</v>
      </c>
      <c r="J988">
        <v>2</v>
      </c>
      <c r="K988">
        <v>3</v>
      </c>
      <c r="L988">
        <v>9</v>
      </c>
      <c r="M988">
        <v>0</v>
      </c>
    </row>
    <row r="989" spans="1:13" x14ac:dyDescent="0.35">
      <c r="A989">
        <v>17</v>
      </c>
      <c r="B989" t="s">
        <v>13</v>
      </c>
      <c r="C989">
        <v>1.5</v>
      </c>
      <c r="D989" t="s">
        <v>20</v>
      </c>
      <c r="E989">
        <v>8</v>
      </c>
      <c r="F989">
        <v>0.5</v>
      </c>
      <c r="G989">
        <v>3.01</v>
      </c>
      <c r="H989">
        <v>0.4</v>
      </c>
      <c r="I989" t="s">
        <v>19</v>
      </c>
      <c r="J989">
        <v>10</v>
      </c>
      <c r="K989">
        <v>2</v>
      </c>
      <c r="L989">
        <v>3</v>
      </c>
      <c r="M989">
        <v>0</v>
      </c>
    </row>
    <row r="990" spans="1:13" x14ac:dyDescent="0.35">
      <c r="A990">
        <v>17</v>
      </c>
      <c r="B990" t="s">
        <v>13</v>
      </c>
      <c r="C990">
        <v>4.4000000000000004</v>
      </c>
      <c r="D990" t="s">
        <v>20</v>
      </c>
      <c r="E990">
        <v>8.1999999999999993</v>
      </c>
      <c r="F990">
        <v>2.7</v>
      </c>
      <c r="G990">
        <v>3.13</v>
      </c>
      <c r="H990">
        <v>0.3</v>
      </c>
      <c r="I990" t="s">
        <v>19</v>
      </c>
      <c r="J990">
        <v>3</v>
      </c>
      <c r="K990">
        <v>1</v>
      </c>
      <c r="L990">
        <v>2</v>
      </c>
      <c r="M990">
        <v>0</v>
      </c>
    </row>
    <row r="991" spans="1:13" x14ac:dyDescent="0.35">
      <c r="A991">
        <v>17</v>
      </c>
      <c r="B991" t="s">
        <v>13</v>
      </c>
      <c r="C991">
        <v>4.5999999999999996</v>
      </c>
      <c r="D991" t="s">
        <v>17</v>
      </c>
      <c r="E991">
        <v>5.0999999999999996</v>
      </c>
      <c r="F991">
        <v>2.5</v>
      </c>
      <c r="G991">
        <v>2.13</v>
      </c>
      <c r="H991">
        <v>1</v>
      </c>
      <c r="I991" t="s">
        <v>19</v>
      </c>
      <c r="J991">
        <v>2</v>
      </c>
      <c r="K991">
        <v>5</v>
      </c>
      <c r="L991">
        <v>6</v>
      </c>
      <c r="M991">
        <v>0</v>
      </c>
    </row>
    <row r="992" spans="1:13" x14ac:dyDescent="0.35">
      <c r="A992">
        <v>17</v>
      </c>
      <c r="B992" t="s">
        <v>13</v>
      </c>
      <c r="C992">
        <v>3.8</v>
      </c>
      <c r="D992" t="s">
        <v>14</v>
      </c>
      <c r="E992">
        <v>7.7</v>
      </c>
      <c r="F992">
        <v>0.7</v>
      </c>
      <c r="G992">
        <v>3.45</v>
      </c>
      <c r="H992">
        <v>1</v>
      </c>
      <c r="I992" t="s">
        <v>15</v>
      </c>
      <c r="J992">
        <v>2</v>
      </c>
      <c r="K992">
        <v>8</v>
      </c>
      <c r="L992">
        <v>9</v>
      </c>
      <c r="M992">
        <v>0</v>
      </c>
    </row>
    <row r="993" spans="1:13" x14ac:dyDescent="0.35">
      <c r="A993">
        <v>17</v>
      </c>
      <c r="B993" t="s">
        <v>13</v>
      </c>
      <c r="C993">
        <v>4.2</v>
      </c>
      <c r="D993" t="s">
        <v>17</v>
      </c>
      <c r="E993">
        <v>7.3</v>
      </c>
      <c r="F993">
        <v>2.6</v>
      </c>
      <c r="G993">
        <v>3.2</v>
      </c>
      <c r="H993">
        <v>0.2</v>
      </c>
      <c r="I993" t="s">
        <v>18</v>
      </c>
      <c r="J993">
        <v>7</v>
      </c>
      <c r="K993">
        <v>1</v>
      </c>
      <c r="L993">
        <v>3</v>
      </c>
      <c r="M993">
        <v>0</v>
      </c>
    </row>
    <row r="994" spans="1:13" x14ac:dyDescent="0.35">
      <c r="A994">
        <v>17</v>
      </c>
      <c r="B994" t="s">
        <v>13</v>
      </c>
      <c r="C994">
        <v>4.9000000000000004</v>
      </c>
      <c r="D994" t="s">
        <v>14</v>
      </c>
      <c r="E994">
        <v>6.4</v>
      </c>
      <c r="F994">
        <v>2.5</v>
      </c>
      <c r="G994">
        <v>2.64</v>
      </c>
      <c r="H994">
        <v>1.9</v>
      </c>
      <c r="I994" t="s">
        <v>19</v>
      </c>
      <c r="J994">
        <v>6</v>
      </c>
      <c r="K994">
        <v>2</v>
      </c>
      <c r="L994">
        <v>10</v>
      </c>
      <c r="M994">
        <v>0</v>
      </c>
    </row>
    <row r="995" spans="1:13" x14ac:dyDescent="0.35">
      <c r="A995">
        <v>17</v>
      </c>
      <c r="B995" t="s">
        <v>13</v>
      </c>
      <c r="C995">
        <v>5.0999999999999996</v>
      </c>
      <c r="D995" t="s">
        <v>17</v>
      </c>
      <c r="E995">
        <v>5.0999999999999996</v>
      </c>
      <c r="F995">
        <v>2.9</v>
      </c>
      <c r="G995">
        <v>3.99</v>
      </c>
      <c r="H995">
        <v>0.6</v>
      </c>
      <c r="I995" t="s">
        <v>19</v>
      </c>
      <c r="J995">
        <v>4</v>
      </c>
      <c r="K995">
        <v>2</v>
      </c>
      <c r="L995">
        <v>9</v>
      </c>
      <c r="M995">
        <v>0</v>
      </c>
    </row>
    <row r="996" spans="1:13" x14ac:dyDescent="0.35">
      <c r="A996">
        <v>17</v>
      </c>
      <c r="B996" t="s">
        <v>13</v>
      </c>
      <c r="C996">
        <v>5.2</v>
      </c>
      <c r="D996" t="s">
        <v>14</v>
      </c>
      <c r="E996">
        <v>4.7</v>
      </c>
      <c r="F996">
        <v>2.4</v>
      </c>
      <c r="G996">
        <v>2.77</v>
      </c>
      <c r="H996">
        <v>1.3</v>
      </c>
      <c r="I996" t="s">
        <v>18</v>
      </c>
      <c r="J996">
        <v>9</v>
      </c>
      <c r="K996">
        <v>6</v>
      </c>
      <c r="L996">
        <v>9</v>
      </c>
      <c r="M996">
        <v>0</v>
      </c>
    </row>
    <row r="997" spans="1:13" x14ac:dyDescent="0.35">
      <c r="A997">
        <v>17</v>
      </c>
      <c r="B997" t="s">
        <v>13</v>
      </c>
      <c r="C997">
        <v>4.8</v>
      </c>
      <c r="D997" t="s">
        <v>17</v>
      </c>
      <c r="E997">
        <v>6</v>
      </c>
      <c r="F997">
        <v>2.1</v>
      </c>
      <c r="G997">
        <v>2.39</v>
      </c>
      <c r="H997">
        <v>1.8</v>
      </c>
      <c r="I997" t="s">
        <v>18</v>
      </c>
      <c r="J997">
        <v>5</v>
      </c>
      <c r="K997">
        <v>8</v>
      </c>
      <c r="L997">
        <v>7</v>
      </c>
      <c r="M997">
        <v>0</v>
      </c>
    </row>
    <row r="998" spans="1:13" x14ac:dyDescent="0.35">
      <c r="A998">
        <v>17</v>
      </c>
      <c r="B998" t="s">
        <v>13</v>
      </c>
      <c r="C998">
        <v>7.6</v>
      </c>
      <c r="D998" t="s">
        <v>20</v>
      </c>
      <c r="E998">
        <v>4.9000000000000004</v>
      </c>
      <c r="F998">
        <v>0.6</v>
      </c>
      <c r="G998">
        <v>2.56</v>
      </c>
      <c r="H998">
        <v>0.8</v>
      </c>
      <c r="I998" t="s">
        <v>15</v>
      </c>
      <c r="J998">
        <v>4</v>
      </c>
      <c r="K998">
        <v>1</v>
      </c>
      <c r="L998">
        <v>9</v>
      </c>
      <c r="M998">
        <v>0</v>
      </c>
    </row>
    <row r="999" spans="1:13" x14ac:dyDescent="0.35">
      <c r="A999">
        <v>17</v>
      </c>
      <c r="B999" t="s">
        <v>13</v>
      </c>
      <c r="C999">
        <v>1.7</v>
      </c>
      <c r="D999" t="s">
        <v>20</v>
      </c>
      <c r="E999">
        <v>7</v>
      </c>
      <c r="F999">
        <v>0.8</v>
      </c>
      <c r="G999">
        <v>3.39</v>
      </c>
      <c r="H999">
        <v>0.9</v>
      </c>
      <c r="I999" t="s">
        <v>18</v>
      </c>
      <c r="J999">
        <v>7</v>
      </c>
      <c r="K999">
        <v>7</v>
      </c>
      <c r="L999">
        <v>10</v>
      </c>
      <c r="M999">
        <v>0</v>
      </c>
    </row>
    <row r="1000" spans="1:13" x14ac:dyDescent="0.35">
      <c r="A1000">
        <v>17</v>
      </c>
      <c r="B1000" t="s">
        <v>13</v>
      </c>
      <c r="C1000">
        <v>7.3</v>
      </c>
      <c r="D1000" t="s">
        <v>20</v>
      </c>
      <c r="E1000">
        <v>8.5</v>
      </c>
      <c r="F1000">
        <v>1.5</v>
      </c>
      <c r="G1000">
        <v>3.54</v>
      </c>
      <c r="H1000">
        <v>1.2</v>
      </c>
      <c r="I1000" t="s">
        <v>15</v>
      </c>
      <c r="J1000">
        <v>3</v>
      </c>
      <c r="K1000">
        <v>3</v>
      </c>
      <c r="L1000">
        <v>7</v>
      </c>
      <c r="M1000">
        <v>0</v>
      </c>
    </row>
    <row r="1001" spans="1:13" x14ac:dyDescent="0.35">
      <c r="A1001">
        <v>17</v>
      </c>
      <c r="B1001" t="s">
        <v>13</v>
      </c>
      <c r="C1001">
        <v>4.8</v>
      </c>
      <c r="D1001" t="s">
        <v>17</v>
      </c>
      <c r="E1001">
        <v>5.6</v>
      </c>
      <c r="F1001">
        <v>1.6</v>
      </c>
      <c r="G1001">
        <v>2</v>
      </c>
      <c r="H1001">
        <v>1.3</v>
      </c>
      <c r="I1001" t="s">
        <v>15</v>
      </c>
      <c r="J1001">
        <v>3</v>
      </c>
      <c r="K1001">
        <v>8</v>
      </c>
      <c r="L1001">
        <v>4</v>
      </c>
      <c r="M1001">
        <v>0</v>
      </c>
    </row>
    <row r="1002" spans="1:13" x14ac:dyDescent="0.35">
      <c r="A1002">
        <v>17</v>
      </c>
      <c r="B1002" t="s">
        <v>13</v>
      </c>
      <c r="C1002">
        <v>7.3</v>
      </c>
      <c r="D1002" t="s">
        <v>14</v>
      </c>
      <c r="E1002">
        <v>5.8</v>
      </c>
      <c r="F1002">
        <v>2.9</v>
      </c>
      <c r="G1002">
        <v>3.93</v>
      </c>
      <c r="H1002">
        <v>0.9</v>
      </c>
      <c r="I1002" t="s">
        <v>19</v>
      </c>
      <c r="J1002">
        <v>6</v>
      </c>
      <c r="K1002">
        <v>2</v>
      </c>
      <c r="L1002">
        <v>9</v>
      </c>
      <c r="M1002">
        <v>0</v>
      </c>
    </row>
    <row r="1003" spans="1:13" x14ac:dyDescent="0.35">
      <c r="A1003">
        <v>17</v>
      </c>
      <c r="B1003" t="s">
        <v>13</v>
      </c>
      <c r="C1003">
        <v>5.7</v>
      </c>
      <c r="D1003" t="s">
        <v>17</v>
      </c>
      <c r="E1003">
        <v>8.6999999999999993</v>
      </c>
      <c r="F1003">
        <v>2</v>
      </c>
      <c r="G1003">
        <v>3.14</v>
      </c>
      <c r="H1003">
        <v>1.7</v>
      </c>
      <c r="I1003" t="s">
        <v>15</v>
      </c>
      <c r="J1003">
        <v>1</v>
      </c>
      <c r="K1003">
        <v>9</v>
      </c>
      <c r="L1003">
        <v>8</v>
      </c>
      <c r="M1003">
        <v>0</v>
      </c>
    </row>
    <row r="1004" spans="1:13" x14ac:dyDescent="0.35">
      <c r="A1004">
        <v>17</v>
      </c>
      <c r="B1004" t="s">
        <v>13</v>
      </c>
      <c r="C1004">
        <v>3.8</v>
      </c>
      <c r="D1004" t="s">
        <v>14</v>
      </c>
      <c r="E1004">
        <v>4.7</v>
      </c>
      <c r="F1004">
        <v>1.2</v>
      </c>
      <c r="G1004">
        <v>3.7</v>
      </c>
      <c r="H1004">
        <v>1.4</v>
      </c>
      <c r="I1004" t="s">
        <v>18</v>
      </c>
      <c r="J1004">
        <v>2</v>
      </c>
      <c r="K1004">
        <v>2</v>
      </c>
      <c r="L1004">
        <v>5</v>
      </c>
      <c r="M1004">
        <v>0</v>
      </c>
    </row>
    <row r="1005" spans="1:13" x14ac:dyDescent="0.35">
      <c r="A1005">
        <v>17</v>
      </c>
      <c r="B1005" t="s">
        <v>13</v>
      </c>
      <c r="C1005">
        <v>5.4</v>
      </c>
      <c r="D1005" t="s">
        <v>20</v>
      </c>
      <c r="E1005">
        <v>4.9000000000000004</v>
      </c>
      <c r="F1005">
        <v>1.5</v>
      </c>
      <c r="G1005">
        <v>3.4</v>
      </c>
      <c r="H1005">
        <v>0</v>
      </c>
      <c r="I1005" t="s">
        <v>19</v>
      </c>
      <c r="J1005">
        <v>2</v>
      </c>
      <c r="K1005">
        <v>2</v>
      </c>
      <c r="L1005">
        <v>1</v>
      </c>
      <c r="M1005">
        <v>0</v>
      </c>
    </row>
    <row r="1006" spans="1:13" x14ac:dyDescent="0.35">
      <c r="A1006">
        <v>17</v>
      </c>
      <c r="B1006" t="s">
        <v>13</v>
      </c>
      <c r="C1006">
        <v>2.2000000000000002</v>
      </c>
      <c r="D1006" t="s">
        <v>17</v>
      </c>
      <c r="E1006">
        <v>7.1</v>
      </c>
      <c r="F1006">
        <v>1.1000000000000001</v>
      </c>
      <c r="G1006">
        <v>2.5</v>
      </c>
      <c r="H1006">
        <v>1.5</v>
      </c>
      <c r="I1006" t="s">
        <v>15</v>
      </c>
      <c r="J1006">
        <v>2</v>
      </c>
      <c r="K1006">
        <v>1</v>
      </c>
      <c r="L1006">
        <v>2</v>
      </c>
      <c r="M1006">
        <v>0</v>
      </c>
    </row>
    <row r="1007" spans="1:13" x14ac:dyDescent="0.35">
      <c r="A1007">
        <v>17</v>
      </c>
      <c r="B1007" t="s">
        <v>13</v>
      </c>
      <c r="C1007">
        <v>2.7</v>
      </c>
      <c r="D1007" t="s">
        <v>14</v>
      </c>
      <c r="E1007">
        <v>7.5</v>
      </c>
      <c r="F1007">
        <v>1.5</v>
      </c>
      <c r="G1007">
        <v>3.23</v>
      </c>
      <c r="H1007">
        <v>1.4</v>
      </c>
      <c r="I1007" t="s">
        <v>15</v>
      </c>
      <c r="J1007">
        <v>5</v>
      </c>
      <c r="K1007">
        <v>7</v>
      </c>
      <c r="L1007">
        <v>3</v>
      </c>
      <c r="M1007">
        <v>0</v>
      </c>
    </row>
    <row r="1008" spans="1:13" x14ac:dyDescent="0.35">
      <c r="A1008">
        <v>17</v>
      </c>
      <c r="B1008" t="s">
        <v>13</v>
      </c>
      <c r="C1008">
        <v>1.8</v>
      </c>
      <c r="D1008" t="s">
        <v>14</v>
      </c>
      <c r="E1008">
        <v>6.9</v>
      </c>
      <c r="F1008">
        <v>2.7</v>
      </c>
      <c r="G1008">
        <v>2.5299999999999998</v>
      </c>
      <c r="H1008">
        <v>1.7</v>
      </c>
      <c r="I1008" t="s">
        <v>18</v>
      </c>
      <c r="J1008">
        <v>2</v>
      </c>
      <c r="K1008">
        <v>2</v>
      </c>
      <c r="L1008">
        <v>7</v>
      </c>
      <c r="M1008">
        <v>0</v>
      </c>
    </row>
    <row r="1009" spans="1:13" x14ac:dyDescent="0.35">
      <c r="A1009">
        <v>17</v>
      </c>
      <c r="B1009" t="s">
        <v>13</v>
      </c>
      <c r="C1009">
        <v>6.6</v>
      </c>
      <c r="D1009" t="s">
        <v>17</v>
      </c>
      <c r="E1009">
        <v>5.3</v>
      </c>
      <c r="F1009">
        <v>1.1000000000000001</v>
      </c>
      <c r="G1009">
        <v>3.5</v>
      </c>
      <c r="H1009">
        <v>1.7</v>
      </c>
      <c r="I1009" t="s">
        <v>19</v>
      </c>
      <c r="J1009">
        <v>1</v>
      </c>
      <c r="K1009">
        <v>10</v>
      </c>
      <c r="L1009">
        <v>7</v>
      </c>
      <c r="M1009">
        <v>0</v>
      </c>
    </row>
    <row r="1010" spans="1:13" x14ac:dyDescent="0.35">
      <c r="A1010">
        <v>17</v>
      </c>
      <c r="B1010" t="s">
        <v>13</v>
      </c>
      <c r="C1010">
        <v>3.5</v>
      </c>
      <c r="D1010" t="s">
        <v>20</v>
      </c>
      <c r="E1010">
        <v>4.5999999999999996</v>
      </c>
      <c r="F1010">
        <v>0.7</v>
      </c>
      <c r="G1010">
        <v>3.9</v>
      </c>
      <c r="H1010">
        <v>0.6</v>
      </c>
      <c r="I1010" t="s">
        <v>18</v>
      </c>
      <c r="J1010">
        <v>7</v>
      </c>
      <c r="K1010">
        <v>3</v>
      </c>
      <c r="L1010">
        <v>1</v>
      </c>
      <c r="M1010">
        <v>0</v>
      </c>
    </row>
    <row r="1011" spans="1:13" x14ac:dyDescent="0.35">
      <c r="A1011">
        <v>17</v>
      </c>
      <c r="B1011" t="s">
        <v>13</v>
      </c>
      <c r="C1011">
        <v>3.5</v>
      </c>
      <c r="D1011" t="s">
        <v>14</v>
      </c>
      <c r="E1011">
        <v>4.3</v>
      </c>
      <c r="F1011">
        <v>2.2000000000000002</v>
      </c>
      <c r="G1011">
        <v>3.19</v>
      </c>
      <c r="H1011">
        <v>1</v>
      </c>
      <c r="I1011" t="s">
        <v>18</v>
      </c>
      <c r="J1011">
        <v>4</v>
      </c>
      <c r="K1011">
        <v>5</v>
      </c>
      <c r="L1011">
        <v>9</v>
      </c>
      <c r="M1011">
        <v>0</v>
      </c>
    </row>
    <row r="1012" spans="1:13" x14ac:dyDescent="0.35">
      <c r="A1012">
        <v>17</v>
      </c>
      <c r="B1012" t="s">
        <v>13</v>
      </c>
      <c r="C1012">
        <v>4.7</v>
      </c>
      <c r="D1012" t="s">
        <v>17</v>
      </c>
      <c r="E1012">
        <v>7.2</v>
      </c>
      <c r="F1012">
        <v>2.7</v>
      </c>
      <c r="G1012">
        <v>2.06</v>
      </c>
      <c r="H1012">
        <v>1.4</v>
      </c>
      <c r="I1012" t="s">
        <v>15</v>
      </c>
      <c r="J1012">
        <v>3</v>
      </c>
      <c r="K1012">
        <v>1</v>
      </c>
      <c r="L1012">
        <v>4</v>
      </c>
      <c r="M1012">
        <v>0</v>
      </c>
    </row>
    <row r="1013" spans="1:13" x14ac:dyDescent="0.35">
      <c r="A1013">
        <v>18</v>
      </c>
      <c r="B1013" t="s">
        <v>13</v>
      </c>
      <c r="C1013">
        <v>6.2</v>
      </c>
      <c r="D1013" t="s">
        <v>14</v>
      </c>
      <c r="E1013">
        <v>4.0999999999999996</v>
      </c>
      <c r="F1013">
        <v>2.8</v>
      </c>
      <c r="G1013">
        <v>3.41</v>
      </c>
      <c r="H1013">
        <v>1.1000000000000001</v>
      </c>
      <c r="I1013" t="s">
        <v>19</v>
      </c>
      <c r="J1013">
        <v>7</v>
      </c>
      <c r="K1013">
        <v>8</v>
      </c>
      <c r="L1013">
        <v>1</v>
      </c>
      <c r="M1013">
        <v>1</v>
      </c>
    </row>
    <row r="1014" spans="1:13" x14ac:dyDescent="0.35">
      <c r="A1014">
        <v>17</v>
      </c>
      <c r="B1014" t="s">
        <v>13</v>
      </c>
      <c r="C1014">
        <v>7.5</v>
      </c>
      <c r="D1014" t="s">
        <v>17</v>
      </c>
      <c r="E1014">
        <v>5.6</v>
      </c>
      <c r="F1014">
        <v>2.2999999999999998</v>
      </c>
      <c r="G1014">
        <v>2.37</v>
      </c>
      <c r="H1014">
        <v>0</v>
      </c>
      <c r="I1014" t="s">
        <v>18</v>
      </c>
      <c r="J1014">
        <v>3</v>
      </c>
      <c r="K1014">
        <v>10</v>
      </c>
      <c r="L1014">
        <v>8</v>
      </c>
      <c r="M1014">
        <v>0</v>
      </c>
    </row>
    <row r="1015" spans="1:13" x14ac:dyDescent="0.35">
      <c r="A1015">
        <v>17</v>
      </c>
      <c r="B1015" t="s">
        <v>13</v>
      </c>
      <c r="C1015">
        <v>5.9</v>
      </c>
      <c r="D1015" t="s">
        <v>20</v>
      </c>
      <c r="E1015">
        <v>6.6</v>
      </c>
      <c r="F1015">
        <v>1.3</v>
      </c>
      <c r="G1015">
        <v>2.11</v>
      </c>
      <c r="H1015">
        <v>1.4</v>
      </c>
      <c r="I1015" t="s">
        <v>15</v>
      </c>
      <c r="J1015">
        <v>10</v>
      </c>
      <c r="K1015">
        <v>4</v>
      </c>
      <c r="L1015">
        <v>9</v>
      </c>
      <c r="M1015">
        <v>0</v>
      </c>
    </row>
    <row r="1016" spans="1:13" x14ac:dyDescent="0.35">
      <c r="A1016">
        <v>17</v>
      </c>
      <c r="B1016" t="s">
        <v>13</v>
      </c>
      <c r="C1016">
        <v>6.6</v>
      </c>
      <c r="D1016" t="s">
        <v>17</v>
      </c>
      <c r="E1016">
        <v>5.2</v>
      </c>
      <c r="F1016">
        <v>2.2000000000000002</v>
      </c>
      <c r="G1016">
        <v>2.98</v>
      </c>
      <c r="H1016">
        <v>0.8</v>
      </c>
      <c r="I1016" t="s">
        <v>18</v>
      </c>
      <c r="J1016">
        <v>6</v>
      </c>
      <c r="K1016">
        <v>8</v>
      </c>
      <c r="L1016">
        <v>7</v>
      </c>
      <c r="M1016">
        <v>0</v>
      </c>
    </row>
    <row r="1017" spans="1:13" x14ac:dyDescent="0.35">
      <c r="A1017">
        <v>17</v>
      </c>
      <c r="B1017" t="s">
        <v>13</v>
      </c>
      <c r="C1017">
        <v>3.1</v>
      </c>
      <c r="D1017" t="s">
        <v>17</v>
      </c>
      <c r="E1017">
        <v>7.7</v>
      </c>
      <c r="F1017">
        <v>2.2000000000000002</v>
      </c>
      <c r="G1017">
        <v>3.72</v>
      </c>
      <c r="H1017">
        <v>1.4</v>
      </c>
      <c r="I1017" t="s">
        <v>19</v>
      </c>
      <c r="J1017">
        <v>1</v>
      </c>
      <c r="K1017">
        <v>5</v>
      </c>
      <c r="L1017">
        <v>8</v>
      </c>
      <c r="M1017">
        <v>0</v>
      </c>
    </row>
    <row r="1018" spans="1:13" x14ac:dyDescent="0.35">
      <c r="A1018">
        <v>17</v>
      </c>
      <c r="B1018" t="s">
        <v>13</v>
      </c>
      <c r="C1018">
        <v>2</v>
      </c>
      <c r="D1018" t="s">
        <v>20</v>
      </c>
      <c r="E1018">
        <v>4.5</v>
      </c>
      <c r="F1018">
        <v>1.7</v>
      </c>
      <c r="G1018">
        <v>2.65</v>
      </c>
      <c r="H1018">
        <v>0</v>
      </c>
      <c r="I1018" t="s">
        <v>19</v>
      </c>
      <c r="J1018">
        <v>9</v>
      </c>
      <c r="K1018">
        <v>4</v>
      </c>
      <c r="L1018">
        <v>2</v>
      </c>
      <c r="M1018">
        <v>0</v>
      </c>
    </row>
    <row r="1019" spans="1:13" x14ac:dyDescent="0.35">
      <c r="A1019">
        <v>18</v>
      </c>
      <c r="B1019" t="s">
        <v>13</v>
      </c>
      <c r="C1019">
        <v>4.0999999999999996</v>
      </c>
      <c r="D1019" t="s">
        <v>20</v>
      </c>
      <c r="E1019">
        <v>7.4</v>
      </c>
      <c r="F1019">
        <v>2.4</v>
      </c>
      <c r="G1019">
        <v>2.38</v>
      </c>
      <c r="H1019">
        <v>1.5</v>
      </c>
      <c r="I1019" t="s">
        <v>19</v>
      </c>
      <c r="J1019">
        <v>8</v>
      </c>
      <c r="K1019">
        <v>4</v>
      </c>
      <c r="L1019">
        <v>9</v>
      </c>
      <c r="M1019">
        <v>0</v>
      </c>
    </row>
    <row r="1020" spans="1:13" x14ac:dyDescent="0.35">
      <c r="A1020">
        <v>18</v>
      </c>
      <c r="B1020" t="s">
        <v>13</v>
      </c>
      <c r="C1020">
        <v>5.3</v>
      </c>
      <c r="D1020" t="s">
        <v>14</v>
      </c>
      <c r="E1020">
        <v>4.9000000000000004</v>
      </c>
      <c r="F1020">
        <v>1.2</v>
      </c>
      <c r="G1020">
        <v>3.69</v>
      </c>
      <c r="H1020">
        <v>1.2</v>
      </c>
      <c r="I1020" t="s">
        <v>15</v>
      </c>
      <c r="J1020">
        <v>5</v>
      </c>
      <c r="K1020">
        <v>4</v>
      </c>
      <c r="L1020">
        <v>5</v>
      </c>
      <c r="M1020">
        <v>0</v>
      </c>
    </row>
    <row r="1021" spans="1:13" x14ac:dyDescent="0.35">
      <c r="A1021">
        <v>18</v>
      </c>
      <c r="B1021" t="s">
        <v>13</v>
      </c>
      <c r="C1021">
        <v>6.8</v>
      </c>
      <c r="D1021" t="s">
        <v>17</v>
      </c>
      <c r="E1021">
        <v>8.6</v>
      </c>
      <c r="F1021">
        <v>1.1000000000000001</v>
      </c>
      <c r="G1021">
        <v>2.36</v>
      </c>
      <c r="H1021">
        <v>1.6</v>
      </c>
      <c r="I1021" t="s">
        <v>18</v>
      </c>
      <c r="J1021">
        <v>1</v>
      </c>
      <c r="K1021">
        <v>10</v>
      </c>
      <c r="L1021">
        <v>10</v>
      </c>
      <c r="M1021">
        <v>0</v>
      </c>
    </row>
    <row r="1022" spans="1:13" x14ac:dyDescent="0.35">
      <c r="A1022">
        <v>18</v>
      </c>
      <c r="B1022" t="s">
        <v>13</v>
      </c>
      <c r="C1022">
        <v>4.5</v>
      </c>
      <c r="D1022" t="s">
        <v>17</v>
      </c>
      <c r="E1022">
        <v>4.0999999999999996</v>
      </c>
      <c r="F1022">
        <v>1.9</v>
      </c>
      <c r="G1022">
        <v>3.42</v>
      </c>
      <c r="H1022">
        <v>0.1</v>
      </c>
      <c r="I1022" t="s">
        <v>19</v>
      </c>
      <c r="J1022">
        <v>6</v>
      </c>
      <c r="K1022">
        <v>7</v>
      </c>
      <c r="L1022">
        <v>8</v>
      </c>
      <c r="M1022">
        <v>0</v>
      </c>
    </row>
    <row r="1023" spans="1:13" x14ac:dyDescent="0.35">
      <c r="A1023">
        <v>18</v>
      </c>
      <c r="B1023" t="s">
        <v>13</v>
      </c>
      <c r="C1023">
        <v>2.9</v>
      </c>
      <c r="D1023" t="s">
        <v>14</v>
      </c>
      <c r="E1023">
        <v>4.5</v>
      </c>
      <c r="F1023">
        <v>2.5</v>
      </c>
      <c r="G1023">
        <v>3.16</v>
      </c>
      <c r="H1023">
        <v>1.3</v>
      </c>
      <c r="I1023" t="s">
        <v>15</v>
      </c>
      <c r="J1023">
        <v>3</v>
      </c>
      <c r="K1023">
        <v>7</v>
      </c>
      <c r="L1023">
        <v>8</v>
      </c>
      <c r="M1023">
        <v>0</v>
      </c>
    </row>
    <row r="1024" spans="1:13" x14ac:dyDescent="0.35">
      <c r="A1024">
        <v>18</v>
      </c>
      <c r="B1024" t="s">
        <v>13</v>
      </c>
      <c r="C1024">
        <v>6.8</v>
      </c>
      <c r="D1024" t="s">
        <v>14</v>
      </c>
      <c r="E1024">
        <v>6.5</v>
      </c>
      <c r="F1024">
        <v>2.7</v>
      </c>
      <c r="G1024">
        <v>2.97</v>
      </c>
      <c r="H1024">
        <v>1.9</v>
      </c>
      <c r="I1024" t="s">
        <v>15</v>
      </c>
      <c r="J1024">
        <v>4</v>
      </c>
      <c r="K1024">
        <v>4</v>
      </c>
      <c r="L1024">
        <v>5</v>
      </c>
      <c r="M1024">
        <v>0</v>
      </c>
    </row>
    <row r="1025" spans="1:13" x14ac:dyDescent="0.35">
      <c r="A1025">
        <v>18</v>
      </c>
      <c r="B1025" t="s">
        <v>13</v>
      </c>
      <c r="C1025">
        <v>4.5</v>
      </c>
      <c r="D1025" t="s">
        <v>17</v>
      </c>
      <c r="E1025">
        <v>5</v>
      </c>
      <c r="F1025">
        <v>2.5</v>
      </c>
      <c r="G1025">
        <v>2.65</v>
      </c>
      <c r="H1025">
        <v>0.7</v>
      </c>
      <c r="I1025" t="s">
        <v>19</v>
      </c>
      <c r="J1025">
        <v>8</v>
      </c>
      <c r="K1025">
        <v>9</v>
      </c>
      <c r="L1025">
        <v>1</v>
      </c>
      <c r="M1025">
        <v>0</v>
      </c>
    </row>
    <row r="1026" spans="1:13" x14ac:dyDescent="0.35">
      <c r="A1026">
        <v>18</v>
      </c>
      <c r="B1026" t="s">
        <v>13</v>
      </c>
      <c r="C1026">
        <v>1.6</v>
      </c>
      <c r="D1026" t="s">
        <v>17</v>
      </c>
      <c r="E1026">
        <v>5.0999999999999996</v>
      </c>
      <c r="F1026">
        <v>2.7</v>
      </c>
      <c r="G1026">
        <v>3.57</v>
      </c>
      <c r="H1026">
        <v>0.8</v>
      </c>
      <c r="I1026" t="s">
        <v>18</v>
      </c>
      <c r="J1026">
        <v>3</v>
      </c>
      <c r="K1026">
        <v>9</v>
      </c>
      <c r="L1026">
        <v>7</v>
      </c>
      <c r="M1026">
        <v>0</v>
      </c>
    </row>
    <row r="1027" spans="1:13" x14ac:dyDescent="0.35">
      <c r="A1027">
        <v>18</v>
      </c>
      <c r="B1027" t="s">
        <v>13</v>
      </c>
      <c r="C1027">
        <v>1.1000000000000001</v>
      </c>
      <c r="D1027" t="s">
        <v>20</v>
      </c>
      <c r="E1027">
        <v>7.2</v>
      </c>
      <c r="F1027">
        <v>1</v>
      </c>
      <c r="G1027">
        <v>3.13</v>
      </c>
      <c r="H1027">
        <v>0.6</v>
      </c>
      <c r="I1027" t="s">
        <v>19</v>
      </c>
      <c r="J1027">
        <v>2</v>
      </c>
      <c r="K1027">
        <v>1</v>
      </c>
      <c r="L1027">
        <v>4</v>
      </c>
      <c r="M1027">
        <v>0</v>
      </c>
    </row>
    <row r="1028" spans="1:13" x14ac:dyDescent="0.35">
      <c r="A1028">
        <v>18</v>
      </c>
      <c r="B1028" t="s">
        <v>13</v>
      </c>
      <c r="C1028">
        <v>7.5</v>
      </c>
      <c r="D1028" t="s">
        <v>14</v>
      </c>
      <c r="E1028">
        <v>7.4</v>
      </c>
      <c r="F1028">
        <v>1.8</v>
      </c>
      <c r="G1028">
        <v>3.47</v>
      </c>
      <c r="H1028">
        <v>0</v>
      </c>
      <c r="I1028" t="s">
        <v>15</v>
      </c>
      <c r="J1028">
        <v>9</v>
      </c>
      <c r="K1028">
        <v>4</v>
      </c>
      <c r="L1028">
        <v>2</v>
      </c>
      <c r="M1028">
        <v>0</v>
      </c>
    </row>
    <row r="1029" spans="1:13" x14ac:dyDescent="0.35">
      <c r="A1029">
        <v>19</v>
      </c>
      <c r="B1029" t="s">
        <v>16</v>
      </c>
      <c r="C1029">
        <v>7.4</v>
      </c>
      <c r="D1029" t="s">
        <v>20</v>
      </c>
      <c r="E1029">
        <v>4.4000000000000004</v>
      </c>
      <c r="F1029">
        <v>1.4</v>
      </c>
      <c r="G1029">
        <v>3.78</v>
      </c>
      <c r="H1029">
        <v>1.1000000000000001</v>
      </c>
      <c r="I1029" t="s">
        <v>15</v>
      </c>
      <c r="J1029">
        <v>9</v>
      </c>
      <c r="K1029">
        <v>7</v>
      </c>
      <c r="L1029">
        <v>5</v>
      </c>
      <c r="M1029">
        <v>1</v>
      </c>
    </row>
    <row r="1030" spans="1:13" x14ac:dyDescent="0.35">
      <c r="A1030">
        <v>18</v>
      </c>
      <c r="B1030" t="s">
        <v>13</v>
      </c>
      <c r="C1030">
        <v>6.2</v>
      </c>
      <c r="D1030" t="s">
        <v>17</v>
      </c>
      <c r="E1030">
        <v>8.6</v>
      </c>
      <c r="F1030">
        <v>1.5</v>
      </c>
      <c r="G1030">
        <v>3.22</v>
      </c>
      <c r="H1030">
        <v>1.6</v>
      </c>
      <c r="I1030" t="s">
        <v>15</v>
      </c>
      <c r="J1030">
        <v>4</v>
      </c>
      <c r="K1030">
        <v>5</v>
      </c>
      <c r="L1030">
        <v>7</v>
      </c>
      <c r="M1030">
        <v>0</v>
      </c>
    </row>
    <row r="1031" spans="1:13" x14ac:dyDescent="0.35">
      <c r="A1031">
        <v>18</v>
      </c>
      <c r="B1031" t="s">
        <v>13</v>
      </c>
      <c r="C1031">
        <v>7.4</v>
      </c>
      <c r="D1031" t="s">
        <v>17</v>
      </c>
      <c r="E1031">
        <v>6.4</v>
      </c>
      <c r="F1031">
        <v>2.2000000000000002</v>
      </c>
      <c r="G1031">
        <v>3.51</v>
      </c>
      <c r="H1031">
        <v>1</v>
      </c>
      <c r="I1031" t="s">
        <v>18</v>
      </c>
      <c r="J1031">
        <v>4</v>
      </c>
      <c r="K1031">
        <v>5</v>
      </c>
      <c r="L1031">
        <v>4</v>
      </c>
      <c r="M1031">
        <v>0</v>
      </c>
    </row>
    <row r="1032" spans="1:13" x14ac:dyDescent="0.35">
      <c r="A1032">
        <v>18</v>
      </c>
      <c r="B1032" t="s">
        <v>13</v>
      </c>
      <c r="C1032">
        <v>5.8</v>
      </c>
      <c r="D1032" t="s">
        <v>14</v>
      </c>
      <c r="E1032">
        <v>6.7</v>
      </c>
      <c r="F1032">
        <v>1.9</v>
      </c>
      <c r="G1032">
        <v>3</v>
      </c>
      <c r="H1032">
        <v>1.9</v>
      </c>
      <c r="I1032" t="s">
        <v>15</v>
      </c>
      <c r="J1032">
        <v>5</v>
      </c>
      <c r="K1032">
        <v>8</v>
      </c>
      <c r="L1032">
        <v>2</v>
      </c>
      <c r="M1032">
        <v>0</v>
      </c>
    </row>
    <row r="1033" spans="1:13" x14ac:dyDescent="0.35">
      <c r="A1033">
        <v>18</v>
      </c>
      <c r="B1033" t="s">
        <v>13</v>
      </c>
      <c r="C1033">
        <v>3.2</v>
      </c>
      <c r="D1033" t="s">
        <v>20</v>
      </c>
      <c r="E1033">
        <v>8.8000000000000007</v>
      </c>
      <c r="F1033">
        <v>1.2</v>
      </c>
      <c r="G1033">
        <v>3.71</v>
      </c>
      <c r="H1033">
        <v>1.1000000000000001</v>
      </c>
      <c r="I1033" t="s">
        <v>19</v>
      </c>
      <c r="J1033">
        <v>7</v>
      </c>
      <c r="K1033">
        <v>6</v>
      </c>
      <c r="L1033">
        <v>10</v>
      </c>
      <c r="M1033">
        <v>0</v>
      </c>
    </row>
    <row r="1034" spans="1:13" x14ac:dyDescent="0.35">
      <c r="A1034">
        <v>18</v>
      </c>
      <c r="B1034" t="s">
        <v>13</v>
      </c>
      <c r="C1034">
        <v>1.2</v>
      </c>
      <c r="D1034" t="s">
        <v>17</v>
      </c>
      <c r="E1034">
        <v>8</v>
      </c>
      <c r="F1034">
        <v>1.7</v>
      </c>
      <c r="G1034">
        <v>3.12</v>
      </c>
      <c r="H1034">
        <v>0.1</v>
      </c>
      <c r="I1034" t="s">
        <v>15</v>
      </c>
      <c r="J1034">
        <v>6</v>
      </c>
      <c r="K1034">
        <v>4</v>
      </c>
      <c r="L1034">
        <v>2</v>
      </c>
      <c r="M1034">
        <v>0</v>
      </c>
    </row>
    <row r="1035" spans="1:13" x14ac:dyDescent="0.35">
      <c r="A1035">
        <v>18</v>
      </c>
      <c r="B1035" t="s">
        <v>13</v>
      </c>
      <c r="C1035">
        <v>3.1</v>
      </c>
      <c r="D1035" t="s">
        <v>14</v>
      </c>
      <c r="E1035">
        <v>5.7</v>
      </c>
      <c r="F1035">
        <v>2.9</v>
      </c>
      <c r="G1035">
        <v>3.1</v>
      </c>
      <c r="H1035">
        <v>0.6</v>
      </c>
      <c r="I1035" t="s">
        <v>19</v>
      </c>
      <c r="J1035">
        <v>9</v>
      </c>
      <c r="K1035">
        <v>4</v>
      </c>
      <c r="L1035">
        <v>2</v>
      </c>
      <c r="M1035">
        <v>0</v>
      </c>
    </row>
    <row r="1036" spans="1:13" x14ac:dyDescent="0.35">
      <c r="A1036">
        <v>18</v>
      </c>
      <c r="B1036" t="s">
        <v>13</v>
      </c>
      <c r="C1036">
        <v>4.5</v>
      </c>
      <c r="D1036" t="s">
        <v>14</v>
      </c>
      <c r="E1036">
        <v>8.1</v>
      </c>
      <c r="F1036">
        <v>1.6</v>
      </c>
      <c r="G1036">
        <v>3.72</v>
      </c>
      <c r="H1036">
        <v>1.2</v>
      </c>
      <c r="I1036" t="s">
        <v>15</v>
      </c>
      <c r="J1036">
        <v>1</v>
      </c>
      <c r="K1036">
        <v>2</v>
      </c>
      <c r="L1036">
        <v>1</v>
      </c>
      <c r="M1036">
        <v>0</v>
      </c>
    </row>
    <row r="1037" spans="1:13" x14ac:dyDescent="0.35">
      <c r="A1037">
        <v>18</v>
      </c>
      <c r="B1037" t="s">
        <v>13</v>
      </c>
      <c r="C1037">
        <v>2.9</v>
      </c>
      <c r="D1037" t="s">
        <v>17</v>
      </c>
      <c r="E1037">
        <v>7.5</v>
      </c>
      <c r="F1037">
        <v>0.9</v>
      </c>
      <c r="G1037">
        <v>2.62</v>
      </c>
      <c r="H1037">
        <v>2</v>
      </c>
      <c r="I1037" t="s">
        <v>18</v>
      </c>
      <c r="J1037">
        <v>3</v>
      </c>
      <c r="K1037">
        <v>1</v>
      </c>
      <c r="L1037">
        <v>9</v>
      </c>
      <c r="M1037">
        <v>0</v>
      </c>
    </row>
    <row r="1038" spans="1:13" x14ac:dyDescent="0.35">
      <c r="A1038">
        <v>18</v>
      </c>
      <c r="B1038" t="s">
        <v>13</v>
      </c>
      <c r="C1038">
        <v>1.3</v>
      </c>
      <c r="D1038" t="s">
        <v>14</v>
      </c>
      <c r="E1038">
        <v>5.8</v>
      </c>
      <c r="F1038">
        <v>1.3</v>
      </c>
      <c r="G1038">
        <v>3.35</v>
      </c>
      <c r="H1038">
        <v>1.9</v>
      </c>
      <c r="I1038" t="s">
        <v>19</v>
      </c>
      <c r="J1038">
        <v>9</v>
      </c>
      <c r="K1038">
        <v>4</v>
      </c>
      <c r="L1038">
        <v>9</v>
      </c>
      <c r="M1038">
        <v>0</v>
      </c>
    </row>
    <row r="1039" spans="1:13" x14ac:dyDescent="0.35">
      <c r="A1039">
        <v>18</v>
      </c>
      <c r="B1039" t="s">
        <v>13</v>
      </c>
      <c r="C1039">
        <v>7.1</v>
      </c>
      <c r="D1039" t="s">
        <v>14</v>
      </c>
      <c r="E1039">
        <v>8</v>
      </c>
      <c r="F1039">
        <v>2.9</v>
      </c>
      <c r="G1039">
        <v>2.59</v>
      </c>
      <c r="H1039">
        <v>1.2</v>
      </c>
      <c r="I1039" t="s">
        <v>18</v>
      </c>
      <c r="J1039">
        <v>10</v>
      </c>
      <c r="K1039">
        <v>8</v>
      </c>
      <c r="L1039">
        <v>5</v>
      </c>
      <c r="M1039">
        <v>0</v>
      </c>
    </row>
    <row r="1040" spans="1:13" x14ac:dyDescent="0.35">
      <c r="A1040">
        <v>18</v>
      </c>
      <c r="B1040" t="s">
        <v>13</v>
      </c>
      <c r="C1040">
        <v>7.7</v>
      </c>
      <c r="D1040" t="s">
        <v>14</v>
      </c>
      <c r="E1040">
        <v>7.3</v>
      </c>
      <c r="F1040">
        <v>1.8</v>
      </c>
      <c r="G1040">
        <v>3.13</v>
      </c>
      <c r="H1040">
        <v>2</v>
      </c>
      <c r="I1040" t="s">
        <v>19</v>
      </c>
      <c r="J1040">
        <v>7</v>
      </c>
      <c r="K1040">
        <v>9</v>
      </c>
      <c r="L1040">
        <v>7</v>
      </c>
      <c r="M1040">
        <v>0</v>
      </c>
    </row>
    <row r="1041" spans="1:13" x14ac:dyDescent="0.35">
      <c r="A1041">
        <v>18</v>
      </c>
      <c r="B1041" t="s">
        <v>13</v>
      </c>
      <c r="C1041">
        <v>5.7</v>
      </c>
      <c r="D1041" t="s">
        <v>20</v>
      </c>
      <c r="E1041">
        <v>8.4</v>
      </c>
      <c r="F1041">
        <v>2.4</v>
      </c>
      <c r="G1041">
        <v>2.84</v>
      </c>
      <c r="H1041">
        <v>0.7</v>
      </c>
      <c r="I1041" t="s">
        <v>15</v>
      </c>
      <c r="J1041">
        <v>5</v>
      </c>
      <c r="K1041">
        <v>4</v>
      </c>
      <c r="L1041">
        <v>9</v>
      </c>
      <c r="M1041">
        <v>0</v>
      </c>
    </row>
    <row r="1042" spans="1:13" x14ac:dyDescent="0.35">
      <c r="A1042">
        <v>18</v>
      </c>
      <c r="B1042" t="s">
        <v>13</v>
      </c>
      <c r="C1042">
        <v>6.1</v>
      </c>
      <c r="D1042" t="s">
        <v>20</v>
      </c>
      <c r="E1042">
        <v>4.4000000000000004</v>
      </c>
      <c r="F1042">
        <v>2.1</v>
      </c>
      <c r="G1042">
        <v>2.23</v>
      </c>
      <c r="H1042">
        <v>1</v>
      </c>
      <c r="I1042" t="s">
        <v>15</v>
      </c>
      <c r="J1042">
        <v>8</v>
      </c>
      <c r="K1042">
        <v>2</v>
      </c>
      <c r="L1042">
        <v>5</v>
      </c>
      <c r="M1042">
        <v>0</v>
      </c>
    </row>
    <row r="1043" spans="1:13" x14ac:dyDescent="0.35">
      <c r="A1043">
        <v>18</v>
      </c>
      <c r="B1043" t="s">
        <v>13</v>
      </c>
      <c r="C1043">
        <v>3.2</v>
      </c>
      <c r="D1043" t="s">
        <v>17</v>
      </c>
      <c r="E1043">
        <v>5.0999999999999996</v>
      </c>
      <c r="F1043">
        <v>1.2</v>
      </c>
      <c r="G1043">
        <v>3.54</v>
      </c>
      <c r="H1043">
        <v>1.3</v>
      </c>
      <c r="I1043" t="s">
        <v>15</v>
      </c>
      <c r="J1043">
        <v>6</v>
      </c>
      <c r="K1043">
        <v>2</v>
      </c>
      <c r="L1043">
        <v>8</v>
      </c>
      <c r="M1043">
        <v>0</v>
      </c>
    </row>
    <row r="1044" spans="1:13" x14ac:dyDescent="0.35">
      <c r="A1044">
        <v>18</v>
      </c>
      <c r="B1044" t="s">
        <v>13</v>
      </c>
      <c r="C1044">
        <v>7.7</v>
      </c>
      <c r="D1044" t="s">
        <v>17</v>
      </c>
      <c r="E1044">
        <v>4.7</v>
      </c>
      <c r="F1044">
        <v>1.4</v>
      </c>
      <c r="G1044">
        <v>3.04</v>
      </c>
      <c r="H1044">
        <v>0.6</v>
      </c>
      <c r="I1044" t="s">
        <v>19</v>
      </c>
      <c r="J1044">
        <v>9</v>
      </c>
      <c r="K1044">
        <v>6</v>
      </c>
      <c r="L1044">
        <v>6</v>
      </c>
      <c r="M1044">
        <v>0</v>
      </c>
    </row>
    <row r="1045" spans="1:13" x14ac:dyDescent="0.35">
      <c r="A1045">
        <v>18</v>
      </c>
      <c r="B1045" t="s">
        <v>13</v>
      </c>
      <c r="C1045">
        <v>6.4</v>
      </c>
      <c r="D1045" t="s">
        <v>17</v>
      </c>
      <c r="E1045">
        <v>7.4</v>
      </c>
      <c r="F1045">
        <v>1.5</v>
      </c>
      <c r="G1045">
        <v>2.92</v>
      </c>
      <c r="H1045">
        <v>0.6</v>
      </c>
      <c r="I1045" t="s">
        <v>15</v>
      </c>
      <c r="J1045">
        <v>9</v>
      </c>
      <c r="K1045">
        <v>2</v>
      </c>
      <c r="L1045">
        <v>5</v>
      </c>
      <c r="M1045">
        <v>0</v>
      </c>
    </row>
    <row r="1046" spans="1:13" x14ac:dyDescent="0.35">
      <c r="A1046">
        <v>18</v>
      </c>
      <c r="B1046" t="s">
        <v>13</v>
      </c>
      <c r="C1046">
        <v>1.2</v>
      </c>
      <c r="D1046" t="s">
        <v>14</v>
      </c>
      <c r="E1046">
        <v>6.4</v>
      </c>
      <c r="F1046">
        <v>1.3</v>
      </c>
      <c r="G1046">
        <v>3.03</v>
      </c>
      <c r="H1046">
        <v>1</v>
      </c>
      <c r="I1046" t="s">
        <v>15</v>
      </c>
      <c r="J1046">
        <v>5</v>
      </c>
      <c r="K1046">
        <v>9</v>
      </c>
      <c r="L1046">
        <v>10</v>
      </c>
      <c r="M1046">
        <v>0</v>
      </c>
    </row>
    <row r="1047" spans="1:13" x14ac:dyDescent="0.35">
      <c r="A1047">
        <v>18</v>
      </c>
      <c r="B1047" t="s">
        <v>13</v>
      </c>
      <c r="C1047">
        <v>1.6</v>
      </c>
      <c r="D1047" t="s">
        <v>17</v>
      </c>
      <c r="E1047">
        <v>6.2</v>
      </c>
      <c r="F1047">
        <v>1.9</v>
      </c>
      <c r="G1047">
        <v>2.0499999999999998</v>
      </c>
      <c r="H1047">
        <v>0.3</v>
      </c>
      <c r="I1047" t="s">
        <v>15</v>
      </c>
      <c r="J1047">
        <v>8</v>
      </c>
      <c r="K1047">
        <v>9</v>
      </c>
      <c r="L1047">
        <v>9</v>
      </c>
      <c r="M1047">
        <v>0</v>
      </c>
    </row>
    <row r="1048" spans="1:13" x14ac:dyDescent="0.35">
      <c r="A1048">
        <v>18</v>
      </c>
      <c r="B1048" t="s">
        <v>13</v>
      </c>
      <c r="C1048">
        <v>1.7</v>
      </c>
      <c r="D1048" t="s">
        <v>20</v>
      </c>
      <c r="E1048">
        <v>5.6</v>
      </c>
      <c r="F1048">
        <v>1.4</v>
      </c>
      <c r="G1048">
        <v>2.85</v>
      </c>
      <c r="H1048">
        <v>1</v>
      </c>
      <c r="I1048" t="s">
        <v>18</v>
      </c>
      <c r="J1048">
        <v>3</v>
      </c>
      <c r="K1048">
        <v>3</v>
      </c>
      <c r="L1048">
        <v>7</v>
      </c>
      <c r="M1048">
        <v>0</v>
      </c>
    </row>
    <row r="1049" spans="1:13" x14ac:dyDescent="0.35">
      <c r="A1049">
        <v>18</v>
      </c>
      <c r="B1049" t="s">
        <v>13</v>
      </c>
      <c r="C1049">
        <v>6</v>
      </c>
      <c r="D1049" t="s">
        <v>20</v>
      </c>
      <c r="E1049">
        <v>6.1</v>
      </c>
      <c r="F1049">
        <v>0.9</v>
      </c>
      <c r="G1049">
        <v>2.68</v>
      </c>
      <c r="H1049">
        <v>0.3</v>
      </c>
      <c r="I1049" t="s">
        <v>19</v>
      </c>
      <c r="J1049">
        <v>2</v>
      </c>
      <c r="K1049">
        <v>10</v>
      </c>
      <c r="L1049">
        <v>10</v>
      </c>
      <c r="M1049">
        <v>0</v>
      </c>
    </row>
    <row r="1050" spans="1:13" x14ac:dyDescent="0.35">
      <c r="A1050">
        <v>18</v>
      </c>
      <c r="B1050" t="s">
        <v>13</v>
      </c>
      <c r="C1050">
        <v>3.5</v>
      </c>
      <c r="D1050" t="s">
        <v>17</v>
      </c>
      <c r="E1050">
        <v>6.3</v>
      </c>
      <c r="F1050">
        <v>2.9</v>
      </c>
      <c r="G1050">
        <v>3.35</v>
      </c>
      <c r="H1050">
        <v>1.6</v>
      </c>
      <c r="I1050" t="s">
        <v>18</v>
      </c>
      <c r="J1050">
        <v>1</v>
      </c>
      <c r="K1050">
        <v>4</v>
      </c>
      <c r="L1050">
        <v>2</v>
      </c>
      <c r="M1050">
        <v>0</v>
      </c>
    </row>
    <row r="1051" spans="1:13" x14ac:dyDescent="0.35">
      <c r="A1051">
        <v>18</v>
      </c>
      <c r="B1051" t="s">
        <v>13</v>
      </c>
      <c r="C1051">
        <v>4.2</v>
      </c>
      <c r="D1051" t="s">
        <v>17</v>
      </c>
      <c r="E1051">
        <v>6.5</v>
      </c>
      <c r="F1051">
        <v>1.4</v>
      </c>
      <c r="G1051">
        <v>2.91</v>
      </c>
      <c r="H1051">
        <v>1.5</v>
      </c>
      <c r="I1051" t="s">
        <v>15</v>
      </c>
      <c r="J1051">
        <v>5</v>
      </c>
      <c r="K1051">
        <v>6</v>
      </c>
      <c r="L1051">
        <v>4</v>
      </c>
      <c r="M1051">
        <v>0</v>
      </c>
    </row>
    <row r="1052" spans="1:13" x14ac:dyDescent="0.35">
      <c r="A1052">
        <v>18</v>
      </c>
      <c r="B1052" t="s">
        <v>13</v>
      </c>
      <c r="C1052">
        <v>5.3</v>
      </c>
      <c r="D1052" t="s">
        <v>20</v>
      </c>
      <c r="E1052">
        <v>5.0999999999999996</v>
      </c>
      <c r="F1052">
        <v>1.2</v>
      </c>
      <c r="G1052">
        <v>3.32</v>
      </c>
      <c r="H1052">
        <v>1.8</v>
      </c>
      <c r="I1052" t="s">
        <v>15</v>
      </c>
      <c r="J1052">
        <v>7</v>
      </c>
      <c r="K1052">
        <v>3</v>
      </c>
      <c r="L1052">
        <v>8</v>
      </c>
      <c r="M1052">
        <v>0</v>
      </c>
    </row>
    <row r="1053" spans="1:13" x14ac:dyDescent="0.35">
      <c r="A1053">
        <v>18</v>
      </c>
      <c r="B1053" t="s">
        <v>13</v>
      </c>
      <c r="C1053">
        <v>6.3</v>
      </c>
      <c r="D1053" t="s">
        <v>20</v>
      </c>
      <c r="E1053">
        <v>7.9</v>
      </c>
      <c r="F1053">
        <v>1.7</v>
      </c>
      <c r="G1053">
        <v>2.85</v>
      </c>
      <c r="H1053">
        <v>0.3</v>
      </c>
      <c r="I1053" t="s">
        <v>19</v>
      </c>
      <c r="J1053">
        <v>1</v>
      </c>
      <c r="K1053">
        <v>1</v>
      </c>
      <c r="L1053">
        <v>2</v>
      </c>
      <c r="M1053">
        <v>0</v>
      </c>
    </row>
    <row r="1054" spans="1:13" x14ac:dyDescent="0.35">
      <c r="A1054">
        <v>18</v>
      </c>
      <c r="B1054" t="s">
        <v>13</v>
      </c>
      <c r="C1054">
        <v>4.5</v>
      </c>
      <c r="D1054" t="s">
        <v>14</v>
      </c>
      <c r="E1054">
        <v>4.4000000000000004</v>
      </c>
      <c r="F1054">
        <v>1.9</v>
      </c>
      <c r="G1054">
        <v>2.2599999999999998</v>
      </c>
      <c r="H1054">
        <v>0</v>
      </c>
      <c r="I1054" t="s">
        <v>15</v>
      </c>
      <c r="J1054">
        <v>7</v>
      </c>
      <c r="K1054">
        <v>8</v>
      </c>
      <c r="L1054">
        <v>10</v>
      </c>
      <c r="M1054">
        <v>0</v>
      </c>
    </row>
    <row r="1055" spans="1:13" x14ac:dyDescent="0.35">
      <c r="A1055">
        <v>18</v>
      </c>
      <c r="B1055" t="s">
        <v>13</v>
      </c>
      <c r="C1055">
        <v>5</v>
      </c>
      <c r="D1055" t="s">
        <v>20</v>
      </c>
      <c r="E1055">
        <v>5.8</v>
      </c>
      <c r="F1055">
        <v>1.3</v>
      </c>
      <c r="G1055">
        <v>2.12</v>
      </c>
      <c r="H1055">
        <v>0.1</v>
      </c>
      <c r="I1055" t="s">
        <v>15</v>
      </c>
      <c r="J1055">
        <v>1</v>
      </c>
      <c r="K1055">
        <v>9</v>
      </c>
      <c r="L1055">
        <v>2</v>
      </c>
      <c r="M1055">
        <v>0</v>
      </c>
    </row>
    <row r="1056" spans="1:13" x14ac:dyDescent="0.35">
      <c r="A1056">
        <v>18</v>
      </c>
      <c r="B1056" t="s">
        <v>13</v>
      </c>
      <c r="C1056">
        <v>1.8</v>
      </c>
      <c r="D1056" t="s">
        <v>17</v>
      </c>
      <c r="E1056">
        <v>5.2</v>
      </c>
      <c r="F1056">
        <v>1.4</v>
      </c>
      <c r="G1056">
        <v>2.68</v>
      </c>
      <c r="H1056">
        <v>0.1</v>
      </c>
      <c r="I1056" t="s">
        <v>18</v>
      </c>
      <c r="J1056">
        <v>6</v>
      </c>
      <c r="K1056">
        <v>2</v>
      </c>
      <c r="L1056">
        <v>10</v>
      </c>
      <c r="M1056">
        <v>0</v>
      </c>
    </row>
    <row r="1057" spans="1:13" x14ac:dyDescent="0.35">
      <c r="A1057">
        <v>18</v>
      </c>
      <c r="B1057" t="s">
        <v>13</v>
      </c>
      <c r="C1057">
        <v>2.6</v>
      </c>
      <c r="D1057" t="s">
        <v>20</v>
      </c>
      <c r="E1057">
        <v>7.8</v>
      </c>
      <c r="F1057">
        <v>1.9</v>
      </c>
      <c r="G1057">
        <v>3.15</v>
      </c>
      <c r="H1057">
        <v>0.4</v>
      </c>
      <c r="I1057" t="s">
        <v>19</v>
      </c>
      <c r="J1057">
        <v>8</v>
      </c>
      <c r="K1057">
        <v>3</v>
      </c>
      <c r="L1057">
        <v>2</v>
      </c>
      <c r="M1057">
        <v>0</v>
      </c>
    </row>
    <row r="1058" spans="1:13" x14ac:dyDescent="0.35">
      <c r="A1058">
        <v>18</v>
      </c>
      <c r="B1058" t="s">
        <v>13</v>
      </c>
      <c r="C1058">
        <v>4.8</v>
      </c>
      <c r="D1058" t="s">
        <v>17</v>
      </c>
      <c r="E1058">
        <v>8.5</v>
      </c>
      <c r="F1058">
        <v>2.8</v>
      </c>
      <c r="G1058">
        <v>3.77</v>
      </c>
      <c r="H1058">
        <v>1.3</v>
      </c>
      <c r="I1058" t="s">
        <v>15</v>
      </c>
      <c r="J1058">
        <v>5</v>
      </c>
      <c r="K1058">
        <v>4</v>
      </c>
      <c r="L1058">
        <v>3</v>
      </c>
      <c r="M1058">
        <v>0</v>
      </c>
    </row>
    <row r="1059" spans="1:13" x14ac:dyDescent="0.35">
      <c r="A1059">
        <v>18</v>
      </c>
      <c r="B1059" t="s">
        <v>13</v>
      </c>
      <c r="C1059">
        <v>2.9</v>
      </c>
      <c r="D1059" t="s">
        <v>17</v>
      </c>
      <c r="E1059">
        <v>7.5</v>
      </c>
      <c r="F1059">
        <v>0.6</v>
      </c>
      <c r="G1059">
        <v>2.25</v>
      </c>
      <c r="H1059">
        <v>1</v>
      </c>
      <c r="I1059" t="s">
        <v>18</v>
      </c>
      <c r="J1059">
        <v>4</v>
      </c>
      <c r="K1059">
        <v>7</v>
      </c>
      <c r="L1059">
        <v>4</v>
      </c>
      <c r="M1059">
        <v>0</v>
      </c>
    </row>
    <row r="1060" spans="1:13" x14ac:dyDescent="0.35">
      <c r="A1060">
        <v>18</v>
      </c>
      <c r="B1060" t="s">
        <v>13</v>
      </c>
      <c r="C1060">
        <v>5</v>
      </c>
      <c r="D1060" t="s">
        <v>20</v>
      </c>
      <c r="E1060">
        <v>7.6</v>
      </c>
      <c r="F1060">
        <v>2</v>
      </c>
      <c r="G1060">
        <v>3.94</v>
      </c>
      <c r="H1060">
        <v>0.5</v>
      </c>
      <c r="I1060" t="s">
        <v>15</v>
      </c>
      <c r="J1060">
        <v>4</v>
      </c>
      <c r="K1060">
        <v>3</v>
      </c>
      <c r="L1060">
        <v>3</v>
      </c>
      <c r="M1060">
        <v>0</v>
      </c>
    </row>
    <row r="1061" spans="1:13" x14ac:dyDescent="0.35">
      <c r="A1061">
        <v>18</v>
      </c>
      <c r="B1061" t="s">
        <v>13</v>
      </c>
      <c r="C1061">
        <v>1.9</v>
      </c>
      <c r="D1061" t="s">
        <v>14</v>
      </c>
      <c r="E1061">
        <v>5.6</v>
      </c>
      <c r="F1061">
        <v>2.2999999999999998</v>
      </c>
      <c r="G1061">
        <v>2.8</v>
      </c>
      <c r="H1061">
        <v>1.9</v>
      </c>
      <c r="I1061" t="s">
        <v>19</v>
      </c>
      <c r="J1061">
        <v>8</v>
      </c>
      <c r="K1061">
        <v>1</v>
      </c>
      <c r="L1061">
        <v>8</v>
      </c>
      <c r="M1061">
        <v>0</v>
      </c>
    </row>
    <row r="1062" spans="1:13" x14ac:dyDescent="0.35">
      <c r="A1062">
        <v>18</v>
      </c>
      <c r="B1062" t="s">
        <v>13</v>
      </c>
      <c r="C1062">
        <v>5.9</v>
      </c>
      <c r="D1062" t="s">
        <v>14</v>
      </c>
      <c r="E1062">
        <v>4.4000000000000004</v>
      </c>
      <c r="F1062">
        <v>2.7</v>
      </c>
      <c r="G1062">
        <v>2.09</v>
      </c>
      <c r="H1062">
        <v>1.8</v>
      </c>
      <c r="I1062" t="s">
        <v>18</v>
      </c>
      <c r="J1062">
        <v>1</v>
      </c>
      <c r="K1062">
        <v>6</v>
      </c>
      <c r="L1062">
        <v>6</v>
      </c>
      <c r="M1062">
        <v>0</v>
      </c>
    </row>
    <row r="1063" spans="1:13" x14ac:dyDescent="0.35">
      <c r="A1063">
        <v>18</v>
      </c>
      <c r="B1063" t="s">
        <v>13</v>
      </c>
      <c r="C1063">
        <v>1.2</v>
      </c>
      <c r="D1063" t="s">
        <v>20</v>
      </c>
      <c r="E1063">
        <v>4.0999999999999996</v>
      </c>
      <c r="F1063">
        <v>1.1000000000000001</v>
      </c>
      <c r="G1063">
        <v>3.04</v>
      </c>
      <c r="H1063">
        <v>1.6</v>
      </c>
      <c r="I1063" t="s">
        <v>15</v>
      </c>
      <c r="J1063">
        <v>1</v>
      </c>
      <c r="K1063">
        <v>3</v>
      </c>
      <c r="L1063">
        <v>6</v>
      </c>
      <c r="M1063">
        <v>0</v>
      </c>
    </row>
    <row r="1064" spans="1:13" x14ac:dyDescent="0.35">
      <c r="A1064">
        <v>18</v>
      </c>
      <c r="B1064" t="s">
        <v>13</v>
      </c>
      <c r="C1064">
        <v>3.2</v>
      </c>
      <c r="D1064" t="s">
        <v>14</v>
      </c>
      <c r="E1064">
        <v>6</v>
      </c>
      <c r="F1064">
        <v>1.5</v>
      </c>
      <c r="G1064">
        <v>3.36</v>
      </c>
      <c r="H1064">
        <v>1.5</v>
      </c>
      <c r="I1064" t="s">
        <v>18</v>
      </c>
      <c r="J1064">
        <v>9</v>
      </c>
      <c r="K1064">
        <v>7</v>
      </c>
      <c r="L1064">
        <v>10</v>
      </c>
      <c r="M1064">
        <v>0</v>
      </c>
    </row>
    <row r="1065" spans="1:13" x14ac:dyDescent="0.35">
      <c r="A1065">
        <v>18</v>
      </c>
      <c r="B1065" t="s">
        <v>13</v>
      </c>
      <c r="C1065">
        <v>2.2000000000000002</v>
      </c>
      <c r="D1065" t="s">
        <v>20</v>
      </c>
      <c r="E1065">
        <v>4.5</v>
      </c>
      <c r="F1065">
        <v>2</v>
      </c>
      <c r="G1065">
        <v>2.4900000000000002</v>
      </c>
      <c r="H1065">
        <v>0.8</v>
      </c>
      <c r="I1065" t="s">
        <v>18</v>
      </c>
      <c r="J1065">
        <v>1</v>
      </c>
      <c r="K1065">
        <v>7</v>
      </c>
      <c r="L1065">
        <v>6</v>
      </c>
      <c r="M1065">
        <v>0</v>
      </c>
    </row>
    <row r="1066" spans="1:13" x14ac:dyDescent="0.35">
      <c r="A1066">
        <v>18</v>
      </c>
      <c r="B1066" t="s">
        <v>13</v>
      </c>
      <c r="C1066">
        <v>2.6</v>
      </c>
      <c r="D1066" t="s">
        <v>17</v>
      </c>
      <c r="E1066">
        <v>7.9</v>
      </c>
      <c r="F1066">
        <v>2.2999999999999998</v>
      </c>
      <c r="G1066">
        <v>2.4300000000000002</v>
      </c>
      <c r="H1066">
        <v>0.1</v>
      </c>
      <c r="I1066" t="s">
        <v>18</v>
      </c>
      <c r="J1066">
        <v>5</v>
      </c>
      <c r="K1066">
        <v>1</v>
      </c>
      <c r="L1066">
        <v>6</v>
      </c>
      <c r="M1066">
        <v>0</v>
      </c>
    </row>
    <row r="1067" spans="1:13" x14ac:dyDescent="0.35">
      <c r="A1067">
        <v>18</v>
      </c>
      <c r="B1067" t="s">
        <v>13</v>
      </c>
      <c r="C1067">
        <v>6.3</v>
      </c>
      <c r="D1067" t="s">
        <v>20</v>
      </c>
      <c r="E1067">
        <v>6.9</v>
      </c>
      <c r="F1067">
        <v>1</v>
      </c>
      <c r="G1067">
        <v>3.22</v>
      </c>
      <c r="H1067">
        <v>0.8</v>
      </c>
      <c r="I1067" t="s">
        <v>19</v>
      </c>
      <c r="J1067">
        <v>4</v>
      </c>
      <c r="K1067">
        <v>6</v>
      </c>
      <c r="L1067">
        <v>1</v>
      </c>
      <c r="M1067">
        <v>0</v>
      </c>
    </row>
    <row r="1068" spans="1:13" x14ac:dyDescent="0.35">
      <c r="A1068">
        <v>18</v>
      </c>
      <c r="B1068" t="s">
        <v>13</v>
      </c>
      <c r="C1068">
        <v>2.5</v>
      </c>
      <c r="D1068" t="s">
        <v>14</v>
      </c>
      <c r="E1068">
        <v>4.2</v>
      </c>
      <c r="F1068">
        <v>1.4</v>
      </c>
      <c r="G1068">
        <v>3.9</v>
      </c>
      <c r="H1068">
        <v>0.7</v>
      </c>
      <c r="I1068" t="s">
        <v>18</v>
      </c>
      <c r="J1068">
        <v>5</v>
      </c>
      <c r="K1068">
        <v>2</v>
      </c>
      <c r="L1068">
        <v>3</v>
      </c>
      <c r="M1068">
        <v>0</v>
      </c>
    </row>
    <row r="1069" spans="1:13" x14ac:dyDescent="0.35">
      <c r="A1069">
        <v>18</v>
      </c>
      <c r="B1069" t="s">
        <v>13</v>
      </c>
      <c r="C1069">
        <v>7.9</v>
      </c>
      <c r="D1069" t="s">
        <v>17</v>
      </c>
      <c r="E1069">
        <v>7.5</v>
      </c>
      <c r="F1069">
        <v>2</v>
      </c>
      <c r="G1069">
        <v>2.77</v>
      </c>
      <c r="H1069">
        <v>0.9</v>
      </c>
      <c r="I1069" t="s">
        <v>15</v>
      </c>
      <c r="J1069">
        <v>10</v>
      </c>
      <c r="K1069">
        <v>4</v>
      </c>
      <c r="L1069">
        <v>4</v>
      </c>
      <c r="M1069">
        <v>0</v>
      </c>
    </row>
    <row r="1070" spans="1:13" x14ac:dyDescent="0.35">
      <c r="A1070">
        <v>18</v>
      </c>
      <c r="B1070" t="s">
        <v>13</v>
      </c>
      <c r="C1070">
        <v>1</v>
      </c>
      <c r="D1070" t="s">
        <v>14</v>
      </c>
      <c r="E1070">
        <v>7.1</v>
      </c>
      <c r="F1070">
        <v>0.8</v>
      </c>
      <c r="G1070">
        <v>2.4700000000000002</v>
      </c>
      <c r="H1070">
        <v>1.9</v>
      </c>
      <c r="I1070" t="s">
        <v>18</v>
      </c>
      <c r="J1070">
        <v>4</v>
      </c>
      <c r="K1070">
        <v>2</v>
      </c>
      <c r="L1070">
        <v>4</v>
      </c>
      <c r="M1070">
        <v>0</v>
      </c>
    </row>
    <row r="1071" spans="1:13" x14ac:dyDescent="0.35">
      <c r="A1071">
        <v>18</v>
      </c>
      <c r="B1071" t="s">
        <v>13</v>
      </c>
      <c r="C1071">
        <v>2</v>
      </c>
      <c r="D1071" t="s">
        <v>17</v>
      </c>
      <c r="E1071">
        <v>8.4</v>
      </c>
      <c r="F1071">
        <v>1.5</v>
      </c>
      <c r="G1071">
        <v>2.83</v>
      </c>
      <c r="H1071">
        <v>1.2</v>
      </c>
      <c r="I1071" t="s">
        <v>15</v>
      </c>
      <c r="J1071">
        <v>9</v>
      </c>
      <c r="K1071">
        <v>4</v>
      </c>
      <c r="L1071">
        <v>5</v>
      </c>
      <c r="M1071">
        <v>0</v>
      </c>
    </row>
    <row r="1072" spans="1:13" x14ac:dyDescent="0.35">
      <c r="A1072">
        <v>18</v>
      </c>
      <c r="B1072" t="s">
        <v>13</v>
      </c>
      <c r="C1072">
        <v>6.7</v>
      </c>
      <c r="D1072" t="s">
        <v>14</v>
      </c>
      <c r="E1072">
        <v>8.8000000000000007</v>
      </c>
      <c r="F1072">
        <v>1.9</v>
      </c>
      <c r="G1072">
        <v>2.5499999999999998</v>
      </c>
      <c r="H1072">
        <v>1</v>
      </c>
      <c r="I1072" t="s">
        <v>15</v>
      </c>
      <c r="J1072">
        <v>5</v>
      </c>
      <c r="K1072">
        <v>8</v>
      </c>
      <c r="L1072">
        <v>3</v>
      </c>
      <c r="M1072">
        <v>0</v>
      </c>
    </row>
    <row r="1073" spans="1:13" x14ac:dyDescent="0.35">
      <c r="A1073">
        <v>18</v>
      </c>
      <c r="B1073" t="s">
        <v>13</v>
      </c>
      <c r="C1073">
        <v>3.6</v>
      </c>
      <c r="D1073" t="s">
        <v>14</v>
      </c>
      <c r="E1073">
        <v>4.7</v>
      </c>
      <c r="F1073">
        <v>2.5</v>
      </c>
      <c r="G1073">
        <v>2.73</v>
      </c>
      <c r="H1073">
        <v>1.2</v>
      </c>
      <c r="I1073" t="s">
        <v>19</v>
      </c>
      <c r="J1073">
        <v>9</v>
      </c>
      <c r="K1073">
        <v>7</v>
      </c>
      <c r="L1073">
        <v>6</v>
      </c>
      <c r="M1073">
        <v>0</v>
      </c>
    </row>
    <row r="1074" spans="1:13" x14ac:dyDescent="0.35">
      <c r="A1074">
        <v>18</v>
      </c>
      <c r="B1074" t="s">
        <v>13</v>
      </c>
      <c r="C1074">
        <v>3.7</v>
      </c>
      <c r="D1074" t="s">
        <v>14</v>
      </c>
      <c r="E1074">
        <v>7</v>
      </c>
      <c r="F1074">
        <v>1.4</v>
      </c>
      <c r="G1074">
        <v>2.0499999999999998</v>
      </c>
      <c r="H1074">
        <v>0.4</v>
      </c>
      <c r="I1074" t="s">
        <v>19</v>
      </c>
      <c r="J1074">
        <v>10</v>
      </c>
      <c r="K1074">
        <v>9</v>
      </c>
      <c r="L1074">
        <v>5</v>
      </c>
      <c r="M1074">
        <v>0</v>
      </c>
    </row>
    <row r="1075" spans="1:13" x14ac:dyDescent="0.35">
      <c r="A1075">
        <v>18</v>
      </c>
      <c r="B1075" t="s">
        <v>13</v>
      </c>
      <c r="C1075">
        <v>5.5</v>
      </c>
      <c r="D1075" t="s">
        <v>20</v>
      </c>
      <c r="E1075">
        <v>5.2</v>
      </c>
      <c r="F1075">
        <v>1.4</v>
      </c>
      <c r="G1075">
        <v>3.24</v>
      </c>
      <c r="H1075">
        <v>0.9</v>
      </c>
      <c r="I1075" t="s">
        <v>19</v>
      </c>
      <c r="J1075">
        <v>10</v>
      </c>
      <c r="K1075">
        <v>5</v>
      </c>
      <c r="L1075">
        <v>7</v>
      </c>
      <c r="M1075">
        <v>0</v>
      </c>
    </row>
    <row r="1076" spans="1:13" x14ac:dyDescent="0.35">
      <c r="A1076">
        <v>18</v>
      </c>
      <c r="B1076" t="s">
        <v>13</v>
      </c>
      <c r="C1076">
        <v>5.5</v>
      </c>
      <c r="D1076" t="s">
        <v>14</v>
      </c>
      <c r="E1076">
        <v>5</v>
      </c>
      <c r="F1076">
        <v>0.9</v>
      </c>
      <c r="G1076">
        <v>2.93</v>
      </c>
      <c r="H1076">
        <v>1.1000000000000001</v>
      </c>
      <c r="I1076" t="s">
        <v>15</v>
      </c>
      <c r="J1076">
        <v>4</v>
      </c>
      <c r="K1076">
        <v>10</v>
      </c>
      <c r="L1076">
        <v>10</v>
      </c>
      <c r="M1076">
        <v>0</v>
      </c>
    </row>
    <row r="1077" spans="1:13" x14ac:dyDescent="0.35">
      <c r="A1077">
        <v>18</v>
      </c>
      <c r="B1077" t="s">
        <v>13</v>
      </c>
      <c r="C1077">
        <v>5.7</v>
      </c>
      <c r="D1077" t="s">
        <v>17</v>
      </c>
      <c r="E1077">
        <v>8</v>
      </c>
      <c r="F1077">
        <v>2.5</v>
      </c>
      <c r="G1077">
        <v>3.4</v>
      </c>
      <c r="H1077">
        <v>0.1</v>
      </c>
      <c r="I1077" t="s">
        <v>15</v>
      </c>
      <c r="J1077">
        <v>5</v>
      </c>
      <c r="K1077">
        <v>2</v>
      </c>
      <c r="L1077">
        <v>1</v>
      </c>
      <c r="M1077">
        <v>0</v>
      </c>
    </row>
    <row r="1078" spans="1:13" x14ac:dyDescent="0.35">
      <c r="A1078">
        <v>18</v>
      </c>
      <c r="B1078" t="s">
        <v>13</v>
      </c>
      <c r="C1078">
        <v>2.8</v>
      </c>
      <c r="D1078" t="s">
        <v>14</v>
      </c>
      <c r="E1078">
        <v>6.9</v>
      </c>
      <c r="F1078">
        <v>2.2999999999999998</v>
      </c>
      <c r="G1078">
        <v>3.11</v>
      </c>
      <c r="H1078">
        <v>0.1</v>
      </c>
      <c r="I1078" t="s">
        <v>19</v>
      </c>
      <c r="J1078">
        <v>7</v>
      </c>
      <c r="K1078">
        <v>1</v>
      </c>
      <c r="L1078">
        <v>9</v>
      </c>
      <c r="M1078">
        <v>0</v>
      </c>
    </row>
    <row r="1079" spans="1:13" x14ac:dyDescent="0.35">
      <c r="A1079">
        <v>18</v>
      </c>
      <c r="B1079" t="s">
        <v>13</v>
      </c>
      <c r="C1079">
        <v>7.5</v>
      </c>
      <c r="D1079" t="s">
        <v>17</v>
      </c>
      <c r="E1079">
        <v>5.0999999999999996</v>
      </c>
      <c r="F1079">
        <v>2.6</v>
      </c>
      <c r="G1079">
        <v>3.82</v>
      </c>
      <c r="H1079">
        <v>0.7</v>
      </c>
      <c r="I1079" t="s">
        <v>15</v>
      </c>
      <c r="J1079">
        <v>7</v>
      </c>
      <c r="K1079">
        <v>3</v>
      </c>
      <c r="L1079">
        <v>8</v>
      </c>
      <c r="M1079">
        <v>0</v>
      </c>
    </row>
    <row r="1080" spans="1:13" x14ac:dyDescent="0.35">
      <c r="A1080">
        <v>18</v>
      </c>
      <c r="B1080" t="s">
        <v>13</v>
      </c>
      <c r="C1080">
        <v>2.7</v>
      </c>
      <c r="D1080" t="s">
        <v>14</v>
      </c>
      <c r="E1080">
        <v>7.9</v>
      </c>
      <c r="F1080">
        <v>1.2</v>
      </c>
      <c r="G1080">
        <v>2.75</v>
      </c>
      <c r="H1080">
        <v>1.9</v>
      </c>
      <c r="I1080" t="s">
        <v>19</v>
      </c>
      <c r="J1080">
        <v>5</v>
      </c>
      <c r="K1080">
        <v>8</v>
      </c>
      <c r="L1080">
        <v>3</v>
      </c>
      <c r="M1080">
        <v>0</v>
      </c>
    </row>
    <row r="1081" spans="1:13" x14ac:dyDescent="0.35">
      <c r="A1081">
        <v>18</v>
      </c>
      <c r="B1081" t="s">
        <v>13</v>
      </c>
      <c r="C1081">
        <v>2.5</v>
      </c>
      <c r="D1081" t="s">
        <v>20</v>
      </c>
      <c r="E1081">
        <v>5.7</v>
      </c>
      <c r="F1081">
        <v>2.1</v>
      </c>
      <c r="G1081">
        <v>3.33</v>
      </c>
      <c r="H1081">
        <v>0.6</v>
      </c>
      <c r="I1081" t="s">
        <v>15</v>
      </c>
      <c r="J1081">
        <v>8</v>
      </c>
      <c r="K1081">
        <v>4</v>
      </c>
      <c r="L1081">
        <v>6</v>
      </c>
      <c r="M1081">
        <v>0</v>
      </c>
    </row>
    <row r="1082" spans="1:13" x14ac:dyDescent="0.35">
      <c r="A1082">
        <v>18</v>
      </c>
      <c r="B1082" t="s">
        <v>13</v>
      </c>
      <c r="C1082">
        <v>1.6</v>
      </c>
      <c r="D1082" t="s">
        <v>17</v>
      </c>
      <c r="E1082">
        <v>5.8</v>
      </c>
      <c r="F1082">
        <v>0.6</v>
      </c>
      <c r="G1082">
        <v>3.63</v>
      </c>
      <c r="H1082">
        <v>1.1000000000000001</v>
      </c>
      <c r="I1082" t="s">
        <v>18</v>
      </c>
      <c r="J1082">
        <v>6</v>
      </c>
      <c r="K1082">
        <v>9</v>
      </c>
      <c r="L1082">
        <v>7</v>
      </c>
      <c r="M1082">
        <v>0</v>
      </c>
    </row>
    <row r="1083" spans="1:13" x14ac:dyDescent="0.35">
      <c r="A1083">
        <v>18</v>
      </c>
      <c r="B1083" t="s">
        <v>13</v>
      </c>
      <c r="C1083">
        <v>4.5999999999999996</v>
      </c>
      <c r="D1083" t="s">
        <v>14</v>
      </c>
      <c r="E1083">
        <v>4.0999999999999996</v>
      </c>
      <c r="F1083">
        <v>1.4</v>
      </c>
      <c r="G1083">
        <v>2.2799999999999998</v>
      </c>
      <c r="H1083">
        <v>0.4</v>
      </c>
      <c r="I1083" t="s">
        <v>19</v>
      </c>
      <c r="J1083">
        <v>4</v>
      </c>
      <c r="K1083">
        <v>10</v>
      </c>
      <c r="L1083">
        <v>10</v>
      </c>
      <c r="M1083">
        <v>0</v>
      </c>
    </row>
    <row r="1084" spans="1:13" x14ac:dyDescent="0.35">
      <c r="A1084">
        <v>18</v>
      </c>
      <c r="B1084" t="s">
        <v>13</v>
      </c>
      <c r="C1084">
        <v>2.5</v>
      </c>
      <c r="D1084" t="s">
        <v>17</v>
      </c>
      <c r="E1084">
        <v>4.5999999999999996</v>
      </c>
      <c r="F1084">
        <v>2.2000000000000002</v>
      </c>
      <c r="G1084">
        <v>2.0499999999999998</v>
      </c>
      <c r="H1084">
        <v>0.7</v>
      </c>
      <c r="I1084" t="s">
        <v>19</v>
      </c>
      <c r="J1084">
        <v>9</v>
      </c>
      <c r="K1084">
        <v>5</v>
      </c>
      <c r="L1084">
        <v>10</v>
      </c>
      <c r="M1084">
        <v>0</v>
      </c>
    </row>
    <row r="1085" spans="1:13" x14ac:dyDescent="0.35">
      <c r="A1085">
        <v>18</v>
      </c>
      <c r="B1085" t="s">
        <v>13</v>
      </c>
      <c r="C1085">
        <v>6.8</v>
      </c>
      <c r="D1085" t="s">
        <v>20</v>
      </c>
      <c r="E1085">
        <v>5.4</v>
      </c>
      <c r="F1085">
        <v>0.9</v>
      </c>
      <c r="G1085">
        <v>2.64</v>
      </c>
      <c r="H1085">
        <v>0.3</v>
      </c>
      <c r="I1085" t="s">
        <v>18</v>
      </c>
      <c r="J1085">
        <v>9</v>
      </c>
      <c r="K1085">
        <v>1</v>
      </c>
      <c r="L1085">
        <v>8</v>
      </c>
      <c r="M1085">
        <v>0</v>
      </c>
    </row>
    <row r="1086" spans="1:13" x14ac:dyDescent="0.35">
      <c r="A1086">
        <v>18</v>
      </c>
      <c r="B1086" t="s">
        <v>13</v>
      </c>
      <c r="C1086">
        <v>7.9</v>
      </c>
      <c r="D1086" t="s">
        <v>14</v>
      </c>
      <c r="E1086">
        <v>4.0999999999999996</v>
      </c>
      <c r="F1086">
        <v>2.8</v>
      </c>
      <c r="G1086">
        <v>3.25</v>
      </c>
      <c r="H1086">
        <v>1.4</v>
      </c>
      <c r="I1086" t="s">
        <v>18</v>
      </c>
      <c r="J1086">
        <v>4</v>
      </c>
      <c r="K1086">
        <v>2</v>
      </c>
      <c r="L1086">
        <v>4</v>
      </c>
      <c r="M1086">
        <v>0</v>
      </c>
    </row>
    <row r="1087" spans="1:13" x14ac:dyDescent="0.35">
      <c r="A1087">
        <v>18</v>
      </c>
      <c r="B1087" t="s">
        <v>13</v>
      </c>
      <c r="C1087">
        <v>6.1</v>
      </c>
      <c r="D1087" t="s">
        <v>17</v>
      </c>
      <c r="E1087">
        <v>5.8</v>
      </c>
      <c r="F1087">
        <v>1.8</v>
      </c>
      <c r="G1087">
        <v>3.59</v>
      </c>
      <c r="H1087">
        <v>0.2</v>
      </c>
      <c r="I1087" t="s">
        <v>15</v>
      </c>
      <c r="J1087">
        <v>2</v>
      </c>
      <c r="K1087">
        <v>5</v>
      </c>
      <c r="L1087">
        <v>4</v>
      </c>
      <c r="M1087">
        <v>0</v>
      </c>
    </row>
    <row r="1088" spans="1:13" x14ac:dyDescent="0.35">
      <c r="A1088">
        <v>18</v>
      </c>
      <c r="B1088" t="s">
        <v>13</v>
      </c>
      <c r="C1088">
        <v>1.5</v>
      </c>
      <c r="D1088" t="s">
        <v>20</v>
      </c>
      <c r="E1088">
        <v>5.6</v>
      </c>
      <c r="F1088">
        <v>2.9</v>
      </c>
      <c r="G1088">
        <v>2.57</v>
      </c>
      <c r="H1088">
        <v>0.6</v>
      </c>
      <c r="I1088" t="s">
        <v>18</v>
      </c>
      <c r="J1088">
        <v>5</v>
      </c>
      <c r="K1088">
        <v>8</v>
      </c>
      <c r="L1088">
        <v>4</v>
      </c>
      <c r="M1088">
        <v>0</v>
      </c>
    </row>
    <row r="1089" spans="1:13" x14ac:dyDescent="0.35">
      <c r="A1089">
        <v>18</v>
      </c>
      <c r="B1089" t="s">
        <v>13</v>
      </c>
      <c r="C1089">
        <v>2.4</v>
      </c>
      <c r="D1089" t="s">
        <v>20</v>
      </c>
      <c r="E1089">
        <v>6.8</v>
      </c>
      <c r="F1089">
        <v>1</v>
      </c>
      <c r="G1089">
        <v>2.86</v>
      </c>
      <c r="H1089">
        <v>1.5</v>
      </c>
      <c r="I1089" t="s">
        <v>18</v>
      </c>
      <c r="J1089">
        <v>9</v>
      </c>
      <c r="K1089">
        <v>10</v>
      </c>
      <c r="L1089">
        <v>8</v>
      </c>
      <c r="M1089">
        <v>0</v>
      </c>
    </row>
    <row r="1090" spans="1:13" x14ac:dyDescent="0.35">
      <c r="A1090">
        <v>18</v>
      </c>
      <c r="B1090" t="s">
        <v>13</v>
      </c>
      <c r="C1090">
        <v>4.3</v>
      </c>
      <c r="D1090" t="s">
        <v>17</v>
      </c>
      <c r="E1090">
        <v>8.4</v>
      </c>
      <c r="F1090">
        <v>2.1</v>
      </c>
      <c r="G1090">
        <v>2.69</v>
      </c>
      <c r="H1090">
        <v>0.2</v>
      </c>
      <c r="I1090" t="s">
        <v>15</v>
      </c>
      <c r="J1090">
        <v>1</v>
      </c>
      <c r="K1090">
        <v>10</v>
      </c>
      <c r="L1090">
        <v>8</v>
      </c>
      <c r="M1090">
        <v>0</v>
      </c>
    </row>
    <row r="1091" spans="1:13" x14ac:dyDescent="0.35">
      <c r="A1091">
        <v>18</v>
      </c>
      <c r="B1091" t="s">
        <v>13</v>
      </c>
      <c r="C1091">
        <v>1.3</v>
      </c>
      <c r="D1091" t="s">
        <v>14</v>
      </c>
      <c r="E1091">
        <v>4.5</v>
      </c>
      <c r="F1091">
        <v>2.2999999999999998</v>
      </c>
      <c r="G1091">
        <v>2.2799999999999998</v>
      </c>
      <c r="H1091">
        <v>1</v>
      </c>
      <c r="I1091" t="s">
        <v>15</v>
      </c>
      <c r="J1091">
        <v>2</v>
      </c>
      <c r="K1091">
        <v>7</v>
      </c>
      <c r="L1091">
        <v>8</v>
      </c>
      <c r="M1091">
        <v>0</v>
      </c>
    </row>
    <row r="1092" spans="1:13" x14ac:dyDescent="0.35">
      <c r="A1092">
        <v>18</v>
      </c>
      <c r="B1092" t="s">
        <v>13</v>
      </c>
      <c r="C1092">
        <v>7.7</v>
      </c>
      <c r="D1092" t="s">
        <v>20</v>
      </c>
      <c r="E1092">
        <v>6.6</v>
      </c>
      <c r="F1092">
        <v>1.6</v>
      </c>
      <c r="G1092">
        <v>4</v>
      </c>
      <c r="H1092">
        <v>1.9</v>
      </c>
      <c r="I1092" t="s">
        <v>18</v>
      </c>
      <c r="J1092">
        <v>3</v>
      </c>
      <c r="K1092">
        <v>3</v>
      </c>
      <c r="L1092">
        <v>9</v>
      </c>
      <c r="M1092">
        <v>0</v>
      </c>
    </row>
    <row r="1093" spans="1:13" x14ac:dyDescent="0.35">
      <c r="A1093">
        <v>18</v>
      </c>
      <c r="B1093" t="s">
        <v>13</v>
      </c>
      <c r="C1093">
        <v>5.8</v>
      </c>
      <c r="D1093" t="s">
        <v>17</v>
      </c>
      <c r="E1093">
        <v>7.5</v>
      </c>
      <c r="F1093">
        <v>2.2000000000000002</v>
      </c>
      <c r="G1093">
        <v>3.65</v>
      </c>
      <c r="H1093">
        <v>1.4</v>
      </c>
      <c r="I1093" t="s">
        <v>19</v>
      </c>
      <c r="J1093">
        <v>4</v>
      </c>
      <c r="K1093">
        <v>4</v>
      </c>
      <c r="L1093">
        <v>8</v>
      </c>
      <c r="M1093">
        <v>0</v>
      </c>
    </row>
    <row r="1094" spans="1:13" x14ac:dyDescent="0.35">
      <c r="A1094">
        <v>18</v>
      </c>
      <c r="B1094" t="s">
        <v>13</v>
      </c>
      <c r="C1094">
        <v>1.6</v>
      </c>
      <c r="D1094" t="s">
        <v>14</v>
      </c>
      <c r="E1094">
        <v>8.6</v>
      </c>
      <c r="F1094">
        <v>2.6</v>
      </c>
      <c r="G1094">
        <v>3.53</v>
      </c>
      <c r="H1094">
        <v>0.1</v>
      </c>
      <c r="I1094" t="s">
        <v>19</v>
      </c>
      <c r="J1094">
        <v>8</v>
      </c>
      <c r="K1094">
        <v>8</v>
      </c>
      <c r="L1094">
        <v>10</v>
      </c>
      <c r="M1094">
        <v>0</v>
      </c>
    </row>
    <row r="1095" spans="1:13" x14ac:dyDescent="0.35">
      <c r="A1095">
        <v>18</v>
      </c>
      <c r="B1095" t="s">
        <v>13</v>
      </c>
      <c r="C1095">
        <v>5.3</v>
      </c>
      <c r="D1095" t="s">
        <v>20</v>
      </c>
      <c r="E1095">
        <v>8.1999999999999993</v>
      </c>
      <c r="F1095">
        <v>1.9</v>
      </c>
      <c r="G1095">
        <v>3.87</v>
      </c>
      <c r="H1095">
        <v>1.9</v>
      </c>
      <c r="I1095" t="s">
        <v>15</v>
      </c>
      <c r="J1095">
        <v>2</v>
      </c>
      <c r="K1095">
        <v>9</v>
      </c>
      <c r="L1095">
        <v>8</v>
      </c>
      <c r="M1095">
        <v>0</v>
      </c>
    </row>
    <row r="1096" spans="1:13" x14ac:dyDescent="0.35">
      <c r="A1096">
        <v>18</v>
      </c>
      <c r="B1096" t="s">
        <v>13</v>
      </c>
      <c r="C1096">
        <v>5</v>
      </c>
      <c r="D1096" t="s">
        <v>14</v>
      </c>
      <c r="E1096">
        <v>4.3</v>
      </c>
      <c r="F1096">
        <v>1.1000000000000001</v>
      </c>
      <c r="G1096">
        <v>2.2200000000000002</v>
      </c>
      <c r="H1096">
        <v>0.1</v>
      </c>
      <c r="I1096" t="s">
        <v>18</v>
      </c>
      <c r="J1096">
        <v>7</v>
      </c>
      <c r="K1096">
        <v>2</v>
      </c>
      <c r="L1096">
        <v>2</v>
      </c>
      <c r="M1096">
        <v>0</v>
      </c>
    </row>
    <row r="1097" spans="1:13" x14ac:dyDescent="0.35">
      <c r="A1097">
        <v>18</v>
      </c>
      <c r="B1097" t="s">
        <v>13</v>
      </c>
      <c r="C1097">
        <v>1.8</v>
      </c>
      <c r="D1097" t="s">
        <v>20</v>
      </c>
      <c r="E1097">
        <v>4.9000000000000004</v>
      </c>
      <c r="F1097">
        <v>2.7</v>
      </c>
      <c r="G1097">
        <v>2.12</v>
      </c>
      <c r="H1097">
        <v>0.2</v>
      </c>
      <c r="I1097" t="s">
        <v>15</v>
      </c>
      <c r="J1097">
        <v>1</v>
      </c>
      <c r="K1097">
        <v>3</v>
      </c>
      <c r="L1097">
        <v>8</v>
      </c>
      <c r="M1097">
        <v>0</v>
      </c>
    </row>
    <row r="1098" spans="1:13" x14ac:dyDescent="0.35">
      <c r="A1098">
        <v>18</v>
      </c>
      <c r="B1098" t="s">
        <v>13</v>
      </c>
      <c r="C1098">
        <v>7.5</v>
      </c>
      <c r="D1098" t="s">
        <v>17</v>
      </c>
      <c r="E1098">
        <v>7.6</v>
      </c>
      <c r="F1098">
        <v>1.8</v>
      </c>
      <c r="G1098">
        <v>3.19</v>
      </c>
      <c r="H1098">
        <v>1.7</v>
      </c>
      <c r="I1098" t="s">
        <v>18</v>
      </c>
      <c r="J1098">
        <v>2</v>
      </c>
      <c r="K1098">
        <v>6</v>
      </c>
      <c r="L1098">
        <v>6</v>
      </c>
      <c r="M1098">
        <v>0</v>
      </c>
    </row>
    <row r="1099" spans="1:13" x14ac:dyDescent="0.35">
      <c r="A1099">
        <v>18</v>
      </c>
      <c r="B1099" t="s">
        <v>13</v>
      </c>
      <c r="C1099">
        <v>4.2</v>
      </c>
      <c r="D1099" t="s">
        <v>14</v>
      </c>
      <c r="E1099">
        <v>5.5</v>
      </c>
      <c r="F1099">
        <v>1.8</v>
      </c>
      <c r="G1099">
        <v>3.83</v>
      </c>
      <c r="H1099">
        <v>1.9</v>
      </c>
      <c r="I1099" t="s">
        <v>15</v>
      </c>
      <c r="J1099">
        <v>3</v>
      </c>
      <c r="K1099">
        <v>8</v>
      </c>
      <c r="L1099">
        <v>8</v>
      </c>
      <c r="M1099">
        <v>0</v>
      </c>
    </row>
    <row r="1100" spans="1:13" x14ac:dyDescent="0.35">
      <c r="A1100">
        <v>18</v>
      </c>
      <c r="B1100" t="s">
        <v>13</v>
      </c>
      <c r="C1100">
        <v>4</v>
      </c>
      <c r="D1100" t="s">
        <v>20</v>
      </c>
      <c r="E1100">
        <v>8</v>
      </c>
      <c r="F1100">
        <v>2</v>
      </c>
      <c r="G1100">
        <v>3.04</v>
      </c>
      <c r="H1100">
        <v>1.4</v>
      </c>
      <c r="I1100" t="s">
        <v>18</v>
      </c>
      <c r="J1100">
        <v>3</v>
      </c>
      <c r="K1100">
        <v>1</v>
      </c>
      <c r="L1100">
        <v>8</v>
      </c>
      <c r="M1100">
        <v>0</v>
      </c>
    </row>
    <row r="1101" spans="1:13" x14ac:dyDescent="0.35">
      <c r="A1101">
        <v>18</v>
      </c>
      <c r="B1101" t="s">
        <v>13</v>
      </c>
      <c r="C1101">
        <v>7.9</v>
      </c>
      <c r="D1101" t="s">
        <v>20</v>
      </c>
      <c r="E1101">
        <v>7</v>
      </c>
      <c r="F1101">
        <v>2.7</v>
      </c>
      <c r="G1101">
        <v>3.9</v>
      </c>
      <c r="H1101">
        <v>1</v>
      </c>
      <c r="I1101" t="s">
        <v>19</v>
      </c>
      <c r="J1101">
        <v>1</v>
      </c>
      <c r="K1101">
        <v>2</v>
      </c>
      <c r="L1101">
        <v>10</v>
      </c>
      <c r="M1101">
        <v>0</v>
      </c>
    </row>
    <row r="1102" spans="1:13" x14ac:dyDescent="0.35">
      <c r="A1102">
        <v>18</v>
      </c>
      <c r="B1102" t="s">
        <v>13</v>
      </c>
      <c r="C1102">
        <v>2.6</v>
      </c>
      <c r="D1102" t="s">
        <v>20</v>
      </c>
      <c r="E1102">
        <v>8.6</v>
      </c>
      <c r="F1102">
        <v>2.7</v>
      </c>
      <c r="G1102">
        <v>3.28</v>
      </c>
      <c r="H1102">
        <v>0.8</v>
      </c>
      <c r="I1102" t="s">
        <v>18</v>
      </c>
      <c r="J1102">
        <v>5</v>
      </c>
      <c r="K1102">
        <v>4</v>
      </c>
      <c r="L1102">
        <v>6</v>
      </c>
      <c r="M1102">
        <v>0</v>
      </c>
    </row>
    <row r="1103" spans="1:13" x14ac:dyDescent="0.35">
      <c r="A1103">
        <v>18</v>
      </c>
      <c r="B1103" t="s">
        <v>13</v>
      </c>
      <c r="C1103">
        <v>4.5999999999999996</v>
      </c>
      <c r="D1103" t="s">
        <v>20</v>
      </c>
      <c r="E1103">
        <v>4.3</v>
      </c>
      <c r="F1103">
        <v>2.9</v>
      </c>
      <c r="G1103">
        <v>2.95</v>
      </c>
      <c r="H1103">
        <v>0.6</v>
      </c>
      <c r="I1103" t="s">
        <v>19</v>
      </c>
      <c r="J1103">
        <v>7</v>
      </c>
      <c r="K1103">
        <v>9</v>
      </c>
      <c r="L1103">
        <v>8</v>
      </c>
      <c r="M1103">
        <v>0</v>
      </c>
    </row>
    <row r="1104" spans="1:13" x14ac:dyDescent="0.35">
      <c r="A1104">
        <v>18</v>
      </c>
      <c r="B1104" t="s">
        <v>13</v>
      </c>
      <c r="C1104">
        <v>1.2</v>
      </c>
      <c r="D1104" t="s">
        <v>20</v>
      </c>
      <c r="E1104">
        <v>6.8</v>
      </c>
      <c r="F1104">
        <v>2.6</v>
      </c>
      <c r="G1104">
        <v>2.85</v>
      </c>
      <c r="H1104">
        <v>1.8</v>
      </c>
      <c r="I1104" t="s">
        <v>19</v>
      </c>
      <c r="J1104">
        <v>4</v>
      </c>
      <c r="K1104">
        <v>3</v>
      </c>
      <c r="L1104">
        <v>9</v>
      </c>
      <c r="M1104">
        <v>0</v>
      </c>
    </row>
    <row r="1105" spans="1:13" x14ac:dyDescent="0.35">
      <c r="A1105">
        <v>18</v>
      </c>
      <c r="B1105" t="s">
        <v>13</v>
      </c>
      <c r="C1105">
        <v>5.6</v>
      </c>
      <c r="D1105" t="s">
        <v>20</v>
      </c>
      <c r="E1105">
        <v>8</v>
      </c>
      <c r="F1105">
        <v>2.4</v>
      </c>
      <c r="G1105">
        <v>2.95</v>
      </c>
      <c r="H1105">
        <v>0</v>
      </c>
      <c r="I1105" t="s">
        <v>15</v>
      </c>
      <c r="J1105">
        <v>2</v>
      </c>
      <c r="K1105">
        <v>10</v>
      </c>
      <c r="L1105">
        <v>3</v>
      </c>
      <c r="M1105">
        <v>0</v>
      </c>
    </row>
    <row r="1106" spans="1:13" x14ac:dyDescent="0.35">
      <c r="A1106">
        <v>18</v>
      </c>
      <c r="B1106" t="s">
        <v>13</v>
      </c>
      <c r="C1106">
        <v>4.3</v>
      </c>
      <c r="D1106" t="s">
        <v>14</v>
      </c>
      <c r="E1106">
        <v>6.7</v>
      </c>
      <c r="F1106">
        <v>2.5</v>
      </c>
      <c r="G1106">
        <v>3.19</v>
      </c>
      <c r="H1106">
        <v>1</v>
      </c>
      <c r="I1106" t="s">
        <v>18</v>
      </c>
      <c r="J1106">
        <v>5</v>
      </c>
      <c r="K1106">
        <v>5</v>
      </c>
      <c r="L1106">
        <v>5</v>
      </c>
      <c r="M1106">
        <v>0</v>
      </c>
    </row>
    <row r="1107" spans="1:13" x14ac:dyDescent="0.35">
      <c r="A1107">
        <v>18</v>
      </c>
      <c r="B1107" t="s">
        <v>13</v>
      </c>
      <c r="C1107">
        <v>4.0999999999999996</v>
      </c>
      <c r="D1107" t="s">
        <v>14</v>
      </c>
      <c r="E1107">
        <v>6.7</v>
      </c>
      <c r="F1107">
        <v>2.1</v>
      </c>
      <c r="G1107">
        <v>2.5</v>
      </c>
      <c r="H1107">
        <v>0.1</v>
      </c>
      <c r="I1107" t="s">
        <v>19</v>
      </c>
      <c r="J1107">
        <v>8</v>
      </c>
      <c r="K1107">
        <v>1</v>
      </c>
      <c r="L1107">
        <v>5</v>
      </c>
      <c r="M1107">
        <v>0</v>
      </c>
    </row>
    <row r="1108" spans="1:13" x14ac:dyDescent="0.35">
      <c r="A1108">
        <v>18</v>
      </c>
      <c r="B1108" t="s">
        <v>13</v>
      </c>
      <c r="C1108">
        <v>1.6</v>
      </c>
      <c r="D1108" t="s">
        <v>20</v>
      </c>
      <c r="E1108">
        <v>5.4</v>
      </c>
      <c r="F1108">
        <v>2</v>
      </c>
      <c r="G1108">
        <v>3.2</v>
      </c>
      <c r="H1108">
        <v>1.8</v>
      </c>
      <c r="I1108" t="s">
        <v>15</v>
      </c>
      <c r="J1108">
        <v>8</v>
      </c>
      <c r="K1108">
        <v>8</v>
      </c>
      <c r="L1108">
        <v>3</v>
      </c>
      <c r="M1108">
        <v>0</v>
      </c>
    </row>
    <row r="1109" spans="1:13" x14ac:dyDescent="0.35">
      <c r="A1109">
        <v>18</v>
      </c>
      <c r="B1109" t="s">
        <v>13</v>
      </c>
      <c r="C1109">
        <v>2</v>
      </c>
      <c r="D1109" t="s">
        <v>14</v>
      </c>
      <c r="E1109">
        <v>8.9</v>
      </c>
      <c r="F1109">
        <v>0.8</v>
      </c>
      <c r="G1109">
        <v>2.96</v>
      </c>
      <c r="H1109">
        <v>0.5</v>
      </c>
      <c r="I1109" t="s">
        <v>19</v>
      </c>
      <c r="J1109">
        <v>6</v>
      </c>
      <c r="K1109">
        <v>2</v>
      </c>
      <c r="L1109">
        <v>2</v>
      </c>
      <c r="M1109">
        <v>0</v>
      </c>
    </row>
    <row r="1110" spans="1:13" x14ac:dyDescent="0.35">
      <c r="A1110">
        <v>19</v>
      </c>
      <c r="B1110" t="s">
        <v>13</v>
      </c>
      <c r="C1110">
        <v>2</v>
      </c>
      <c r="D1110" t="s">
        <v>17</v>
      </c>
      <c r="E1110">
        <v>7.1</v>
      </c>
      <c r="F1110">
        <v>0.9</v>
      </c>
      <c r="G1110">
        <v>3.26</v>
      </c>
      <c r="H1110">
        <v>1.6</v>
      </c>
      <c r="I1110" t="s">
        <v>18</v>
      </c>
      <c r="J1110">
        <v>7</v>
      </c>
      <c r="K1110">
        <v>5</v>
      </c>
      <c r="L1110">
        <v>9</v>
      </c>
      <c r="M1110">
        <v>0</v>
      </c>
    </row>
    <row r="1111" spans="1:13" x14ac:dyDescent="0.35">
      <c r="A1111">
        <v>19</v>
      </c>
      <c r="B1111" t="s">
        <v>13</v>
      </c>
      <c r="C1111">
        <v>1.6</v>
      </c>
      <c r="D1111" t="s">
        <v>14</v>
      </c>
      <c r="E1111">
        <v>8.6</v>
      </c>
      <c r="F1111">
        <v>2.4</v>
      </c>
      <c r="G1111">
        <v>3.81</v>
      </c>
      <c r="H1111">
        <v>0.4</v>
      </c>
      <c r="I1111" t="s">
        <v>15</v>
      </c>
      <c r="J1111">
        <v>10</v>
      </c>
      <c r="K1111">
        <v>4</v>
      </c>
      <c r="L1111">
        <v>1</v>
      </c>
      <c r="M1111">
        <v>0</v>
      </c>
    </row>
    <row r="1112" spans="1:13" x14ac:dyDescent="0.35">
      <c r="A1112">
        <v>19</v>
      </c>
      <c r="B1112" t="s">
        <v>13</v>
      </c>
      <c r="C1112">
        <v>6.5</v>
      </c>
      <c r="D1112" t="s">
        <v>20</v>
      </c>
      <c r="E1112">
        <v>8.1</v>
      </c>
      <c r="F1112">
        <v>2.2999999999999998</v>
      </c>
      <c r="G1112">
        <v>2.21</v>
      </c>
      <c r="H1112">
        <v>0.4</v>
      </c>
      <c r="I1112" t="s">
        <v>18</v>
      </c>
      <c r="J1112">
        <v>8</v>
      </c>
      <c r="K1112">
        <v>8</v>
      </c>
      <c r="L1112">
        <v>6</v>
      </c>
      <c r="M1112">
        <v>0</v>
      </c>
    </row>
    <row r="1113" spans="1:13" x14ac:dyDescent="0.35">
      <c r="A1113">
        <v>19</v>
      </c>
      <c r="B1113" t="s">
        <v>13</v>
      </c>
      <c r="C1113">
        <v>2.2999999999999998</v>
      </c>
      <c r="D1113" t="s">
        <v>14</v>
      </c>
      <c r="E1113">
        <v>6.9</v>
      </c>
      <c r="F1113">
        <v>2.2999999999999998</v>
      </c>
      <c r="G1113">
        <v>2.17</v>
      </c>
      <c r="H1113">
        <v>1.6</v>
      </c>
      <c r="I1113" t="s">
        <v>19</v>
      </c>
      <c r="J1113">
        <v>3</v>
      </c>
      <c r="K1113">
        <v>6</v>
      </c>
      <c r="L1113">
        <v>10</v>
      </c>
      <c r="M1113">
        <v>0</v>
      </c>
    </row>
    <row r="1114" spans="1:13" x14ac:dyDescent="0.35">
      <c r="A1114">
        <v>19</v>
      </c>
      <c r="B1114" t="s">
        <v>13</v>
      </c>
      <c r="C1114">
        <v>1.3</v>
      </c>
      <c r="D1114" t="s">
        <v>14</v>
      </c>
      <c r="E1114">
        <v>4.5</v>
      </c>
      <c r="F1114">
        <v>0.7</v>
      </c>
      <c r="G1114">
        <v>2.5099999999999998</v>
      </c>
      <c r="H1114">
        <v>0.8</v>
      </c>
      <c r="I1114" t="s">
        <v>15</v>
      </c>
      <c r="J1114">
        <v>10</v>
      </c>
      <c r="K1114">
        <v>9</v>
      </c>
      <c r="L1114">
        <v>7</v>
      </c>
      <c r="M1114">
        <v>0</v>
      </c>
    </row>
    <row r="1115" spans="1:13" x14ac:dyDescent="0.35">
      <c r="A1115">
        <v>19</v>
      </c>
      <c r="B1115" t="s">
        <v>13</v>
      </c>
      <c r="C1115">
        <v>2.4</v>
      </c>
      <c r="D1115" t="s">
        <v>20</v>
      </c>
      <c r="E1115">
        <v>7.4</v>
      </c>
      <c r="F1115">
        <v>1.2</v>
      </c>
      <c r="G1115">
        <v>2.5</v>
      </c>
      <c r="H1115">
        <v>1.8</v>
      </c>
      <c r="I1115" t="s">
        <v>18</v>
      </c>
      <c r="J1115">
        <v>2</v>
      </c>
      <c r="K1115">
        <v>5</v>
      </c>
      <c r="L1115">
        <v>2</v>
      </c>
      <c r="M1115">
        <v>0</v>
      </c>
    </row>
    <row r="1116" spans="1:13" x14ac:dyDescent="0.35">
      <c r="A1116">
        <v>19</v>
      </c>
      <c r="B1116" t="s">
        <v>13</v>
      </c>
      <c r="C1116">
        <v>2</v>
      </c>
      <c r="D1116" t="s">
        <v>17</v>
      </c>
      <c r="E1116">
        <v>5.3</v>
      </c>
      <c r="F1116">
        <v>1.7</v>
      </c>
      <c r="G1116">
        <v>2.91</v>
      </c>
      <c r="H1116">
        <v>0.8</v>
      </c>
      <c r="I1116" t="s">
        <v>15</v>
      </c>
      <c r="J1116">
        <v>9</v>
      </c>
      <c r="K1116">
        <v>5</v>
      </c>
      <c r="L1116">
        <v>9</v>
      </c>
      <c r="M1116">
        <v>0</v>
      </c>
    </row>
    <row r="1117" spans="1:13" x14ac:dyDescent="0.35">
      <c r="A1117">
        <v>19</v>
      </c>
      <c r="B1117" t="s">
        <v>13</v>
      </c>
      <c r="C1117">
        <v>4.7</v>
      </c>
      <c r="D1117" t="s">
        <v>17</v>
      </c>
      <c r="E1117">
        <v>8.1999999999999993</v>
      </c>
      <c r="F1117">
        <v>1.8</v>
      </c>
      <c r="G1117">
        <v>2.2599999999999998</v>
      </c>
      <c r="H1117">
        <v>1</v>
      </c>
      <c r="I1117" t="s">
        <v>15</v>
      </c>
      <c r="J1117">
        <v>7</v>
      </c>
      <c r="K1117">
        <v>4</v>
      </c>
      <c r="L1117">
        <v>7</v>
      </c>
      <c r="M1117">
        <v>0</v>
      </c>
    </row>
    <row r="1118" spans="1:13" x14ac:dyDescent="0.35">
      <c r="A1118">
        <v>19</v>
      </c>
      <c r="B1118" t="s">
        <v>13</v>
      </c>
      <c r="C1118">
        <v>3.5</v>
      </c>
      <c r="D1118" t="s">
        <v>17</v>
      </c>
      <c r="E1118">
        <v>8.4</v>
      </c>
      <c r="F1118">
        <v>1.7</v>
      </c>
      <c r="G1118">
        <v>2.46</v>
      </c>
      <c r="H1118">
        <v>0.1</v>
      </c>
      <c r="I1118" t="s">
        <v>18</v>
      </c>
      <c r="J1118">
        <v>6</v>
      </c>
      <c r="K1118">
        <v>9</v>
      </c>
      <c r="L1118">
        <v>3</v>
      </c>
      <c r="M1118">
        <v>0</v>
      </c>
    </row>
    <row r="1119" spans="1:13" x14ac:dyDescent="0.35">
      <c r="A1119">
        <v>19</v>
      </c>
      <c r="B1119" t="s">
        <v>13</v>
      </c>
      <c r="C1119">
        <v>4.9000000000000004</v>
      </c>
      <c r="D1119" t="s">
        <v>17</v>
      </c>
      <c r="E1119">
        <v>4.5</v>
      </c>
      <c r="F1119">
        <v>2.9</v>
      </c>
      <c r="G1119">
        <v>3.88</v>
      </c>
      <c r="H1119">
        <v>0.8</v>
      </c>
      <c r="I1119" t="s">
        <v>15</v>
      </c>
      <c r="J1119">
        <v>5</v>
      </c>
      <c r="K1119">
        <v>5</v>
      </c>
      <c r="L1119">
        <v>6</v>
      </c>
      <c r="M1119">
        <v>0</v>
      </c>
    </row>
    <row r="1120" spans="1:13" x14ac:dyDescent="0.35">
      <c r="A1120">
        <v>19</v>
      </c>
      <c r="B1120" t="s">
        <v>13</v>
      </c>
      <c r="C1120">
        <v>2.2999999999999998</v>
      </c>
      <c r="D1120" t="s">
        <v>17</v>
      </c>
      <c r="E1120">
        <v>6.5</v>
      </c>
      <c r="F1120">
        <v>3</v>
      </c>
      <c r="G1120">
        <v>3.5</v>
      </c>
      <c r="H1120">
        <v>0.1</v>
      </c>
      <c r="I1120" t="s">
        <v>18</v>
      </c>
      <c r="J1120">
        <v>9</v>
      </c>
      <c r="K1120">
        <v>10</v>
      </c>
      <c r="L1120">
        <v>8</v>
      </c>
      <c r="M1120">
        <v>0</v>
      </c>
    </row>
    <row r="1121" spans="1:13" x14ac:dyDescent="0.35">
      <c r="A1121">
        <v>19</v>
      </c>
      <c r="B1121" t="s">
        <v>13</v>
      </c>
      <c r="C1121">
        <v>6</v>
      </c>
      <c r="D1121" t="s">
        <v>20</v>
      </c>
      <c r="E1121">
        <v>7.1</v>
      </c>
      <c r="F1121">
        <v>0.9</v>
      </c>
      <c r="G1121">
        <v>2.98</v>
      </c>
      <c r="H1121">
        <v>0.1</v>
      </c>
      <c r="I1121" t="s">
        <v>15</v>
      </c>
      <c r="J1121">
        <v>1</v>
      </c>
      <c r="K1121">
        <v>6</v>
      </c>
      <c r="L1121">
        <v>5</v>
      </c>
      <c r="M1121">
        <v>0</v>
      </c>
    </row>
    <row r="1122" spans="1:13" x14ac:dyDescent="0.35">
      <c r="A1122">
        <v>19</v>
      </c>
      <c r="B1122" t="s">
        <v>13</v>
      </c>
      <c r="C1122">
        <v>1.2</v>
      </c>
      <c r="D1122" t="s">
        <v>17</v>
      </c>
      <c r="E1122">
        <v>5</v>
      </c>
      <c r="F1122">
        <v>1.5</v>
      </c>
      <c r="G1122">
        <v>2.09</v>
      </c>
      <c r="H1122">
        <v>0.6</v>
      </c>
      <c r="I1122" t="s">
        <v>19</v>
      </c>
      <c r="J1122">
        <v>5</v>
      </c>
      <c r="K1122">
        <v>2</v>
      </c>
      <c r="L1122">
        <v>1</v>
      </c>
      <c r="M1122">
        <v>0</v>
      </c>
    </row>
    <row r="1123" spans="1:13" x14ac:dyDescent="0.35">
      <c r="A1123">
        <v>19</v>
      </c>
      <c r="B1123" t="s">
        <v>13</v>
      </c>
      <c r="C1123">
        <v>5.3</v>
      </c>
      <c r="D1123" t="s">
        <v>14</v>
      </c>
      <c r="E1123">
        <v>6.7</v>
      </c>
      <c r="F1123">
        <v>0.7</v>
      </c>
      <c r="G1123">
        <v>3.59</v>
      </c>
      <c r="H1123">
        <v>1.8</v>
      </c>
      <c r="I1123" t="s">
        <v>18</v>
      </c>
      <c r="J1123">
        <v>4</v>
      </c>
      <c r="K1123">
        <v>8</v>
      </c>
      <c r="L1123">
        <v>8</v>
      </c>
      <c r="M1123">
        <v>0</v>
      </c>
    </row>
    <row r="1124" spans="1:13" x14ac:dyDescent="0.35">
      <c r="A1124">
        <v>19</v>
      </c>
      <c r="B1124" t="s">
        <v>13</v>
      </c>
      <c r="C1124">
        <v>2.7</v>
      </c>
      <c r="D1124" t="s">
        <v>20</v>
      </c>
      <c r="E1124">
        <v>7.7</v>
      </c>
      <c r="F1124">
        <v>0.7</v>
      </c>
      <c r="G1124">
        <v>2.2200000000000002</v>
      </c>
      <c r="H1124">
        <v>0.4</v>
      </c>
      <c r="I1124" t="s">
        <v>19</v>
      </c>
      <c r="J1124">
        <v>10</v>
      </c>
      <c r="K1124">
        <v>8</v>
      </c>
      <c r="L1124">
        <v>7</v>
      </c>
      <c r="M1124">
        <v>0</v>
      </c>
    </row>
    <row r="1125" spans="1:13" x14ac:dyDescent="0.35">
      <c r="A1125">
        <v>19</v>
      </c>
      <c r="B1125" t="s">
        <v>13</v>
      </c>
      <c r="C1125">
        <v>5.9</v>
      </c>
      <c r="D1125" t="s">
        <v>20</v>
      </c>
      <c r="E1125">
        <v>7.2</v>
      </c>
      <c r="F1125">
        <v>0.9</v>
      </c>
      <c r="G1125">
        <v>3.99</v>
      </c>
      <c r="H1125">
        <v>1.7</v>
      </c>
      <c r="I1125" t="s">
        <v>15</v>
      </c>
      <c r="J1125">
        <v>7</v>
      </c>
      <c r="K1125">
        <v>9</v>
      </c>
      <c r="L1125">
        <v>3</v>
      </c>
      <c r="M1125">
        <v>0</v>
      </c>
    </row>
    <row r="1126" spans="1:13" x14ac:dyDescent="0.35">
      <c r="A1126">
        <v>19</v>
      </c>
      <c r="B1126" t="s">
        <v>13</v>
      </c>
      <c r="C1126">
        <v>4.4000000000000004</v>
      </c>
      <c r="D1126" t="s">
        <v>17</v>
      </c>
      <c r="E1126">
        <v>4.3</v>
      </c>
      <c r="F1126">
        <v>0.8</v>
      </c>
      <c r="G1126">
        <v>2.44</v>
      </c>
      <c r="H1126">
        <v>1</v>
      </c>
      <c r="I1126" t="s">
        <v>18</v>
      </c>
      <c r="J1126">
        <v>9</v>
      </c>
      <c r="K1126">
        <v>9</v>
      </c>
      <c r="L1126">
        <v>7</v>
      </c>
      <c r="M1126">
        <v>0</v>
      </c>
    </row>
    <row r="1127" spans="1:13" x14ac:dyDescent="0.35">
      <c r="A1127">
        <v>19</v>
      </c>
      <c r="B1127" t="s">
        <v>13</v>
      </c>
      <c r="C1127">
        <v>4.5999999999999996</v>
      </c>
      <c r="D1127" t="s">
        <v>20</v>
      </c>
      <c r="E1127">
        <v>8.9</v>
      </c>
      <c r="F1127">
        <v>1.9</v>
      </c>
      <c r="G1127">
        <v>2.5</v>
      </c>
      <c r="H1127">
        <v>0.4</v>
      </c>
      <c r="I1127" t="s">
        <v>19</v>
      </c>
      <c r="J1127">
        <v>8</v>
      </c>
      <c r="K1127">
        <v>1</v>
      </c>
      <c r="L1127">
        <v>3</v>
      </c>
      <c r="M1127">
        <v>0</v>
      </c>
    </row>
    <row r="1128" spans="1:13" x14ac:dyDescent="0.35">
      <c r="A1128">
        <v>19</v>
      </c>
      <c r="B1128" t="s">
        <v>13</v>
      </c>
      <c r="C1128">
        <v>1.8</v>
      </c>
      <c r="D1128" t="s">
        <v>14</v>
      </c>
      <c r="E1128">
        <v>6.5</v>
      </c>
      <c r="F1128">
        <v>2.6</v>
      </c>
      <c r="G1128">
        <v>2.75</v>
      </c>
      <c r="H1128">
        <v>1.7</v>
      </c>
      <c r="I1128" t="s">
        <v>18</v>
      </c>
      <c r="J1128">
        <v>7</v>
      </c>
      <c r="K1128">
        <v>6</v>
      </c>
      <c r="L1128">
        <v>1</v>
      </c>
      <c r="M1128">
        <v>0</v>
      </c>
    </row>
    <row r="1129" spans="1:13" x14ac:dyDescent="0.35">
      <c r="A1129">
        <v>19</v>
      </c>
      <c r="B1129" t="s">
        <v>13</v>
      </c>
      <c r="C1129">
        <v>7</v>
      </c>
      <c r="D1129" t="s">
        <v>14</v>
      </c>
      <c r="E1129">
        <v>8.9</v>
      </c>
      <c r="F1129">
        <v>2.8</v>
      </c>
      <c r="G1129">
        <v>2.84</v>
      </c>
      <c r="H1129">
        <v>0.4</v>
      </c>
      <c r="I1129" t="s">
        <v>18</v>
      </c>
      <c r="J1129">
        <v>6</v>
      </c>
      <c r="K1129">
        <v>8</v>
      </c>
      <c r="L1129">
        <v>6</v>
      </c>
      <c r="M1129">
        <v>0</v>
      </c>
    </row>
    <row r="1130" spans="1:13" x14ac:dyDescent="0.35">
      <c r="A1130">
        <v>19</v>
      </c>
      <c r="B1130" t="s">
        <v>13</v>
      </c>
      <c r="C1130">
        <v>4.4000000000000004</v>
      </c>
      <c r="D1130" t="s">
        <v>20</v>
      </c>
      <c r="E1130">
        <v>6.4</v>
      </c>
      <c r="F1130">
        <v>0.9</v>
      </c>
      <c r="G1130">
        <v>2.72</v>
      </c>
      <c r="H1130">
        <v>0.2</v>
      </c>
      <c r="I1130" t="s">
        <v>19</v>
      </c>
      <c r="J1130">
        <v>6</v>
      </c>
      <c r="K1130">
        <v>9</v>
      </c>
      <c r="L1130">
        <v>8</v>
      </c>
      <c r="M1130">
        <v>0</v>
      </c>
    </row>
    <row r="1131" spans="1:13" x14ac:dyDescent="0.35">
      <c r="A1131">
        <v>19</v>
      </c>
      <c r="B1131" t="s">
        <v>13</v>
      </c>
      <c r="C1131">
        <v>6.4</v>
      </c>
      <c r="D1131" t="s">
        <v>20</v>
      </c>
      <c r="E1131">
        <v>6.7</v>
      </c>
      <c r="F1131">
        <v>2.4</v>
      </c>
      <c r="G1131">
        <v>2.2000000000000002</v>
      </c>
      <c r="H1131">
        <v>1.3</v>
      </c>
      <c r="I1131" t="s">
        <v>15</v>
      </c>
      <c r="J1131">
        <v>5</v>
      </c>
      <c r="K1131">
        <v>2</v>
      </c>
      <c r="L1131">
        <v>2</v>
      </c>
      <c r="M1131">
        <v>0</v>
      </c>
    </row>
    <row r="1132" spans="1:13" x14ac:dyDescent="0.35">
      <c r="A1132">
        <v>19</v>
      </c>
      <c r="B1132" t="s">
        <v>13</v>
      </c>
      <c r="C1132">
        <v>6.6</v>
      </c>
      <c r="D1132" t="s">
        <v>14</v>
      </c>
      <c r="E1132">
        <v>4.4000000000000004</v>
      </c>
      <c r="F1132">
        <v>1.1000000000000001</v>
      </c>
      <c r="G1132">
        <v>2.29</v>
      </c>
      <c r="H1132">
        <v>1</v>
      </c>
      <c r="I1132" t="s">
        <v>15</v>
      </c>
      <c r="J1132">
        <v>6</v>
      </c>
      <c r="K1132">
        <v>8</v>
      </c>
      <c r="L1132">
        <v>5</v>
      </c>
      <c r="M1132">
        <v>0</v>
      </c>
    </row>
    <row r="1133" spans="1:13" x14ac:dyDescent="0.35">
      <c r="A1133">
        <v>19</v>
      </c>
      <c r="B1133" t="s">
        <v>13</v>
      </c>
      <c r="C1133">
        <v>1.5</v>
      </c>
      <c r="D1133" t="s">
        <v>14</v>
      </c>
      <c r="E1133">
        <v>7.3</v>
      </c>
      <c r="F1133">
        <v>2.7</v>
      </c>
      <c r="G1133">
        <v>2.61</v>
      </c>
      <c r="H1133">
        <v>0.9</v>
      </c>
      <c r="I1133" t="s">
        <v>15</v>
      </c>
      <c r="J1133">
        <v>5</v>
      </c>
      <c r="K1133">
        <v>7</v>
      </c>
      <c r="L1133">
        <v>10</v>
      </c>
      <c r="M1133">
        <v>0</v>
      </c>
    </row>
    <row r="1134" spans="1:13" x14ac:dyDescent="0.35">
      <c r="A1134">
        <v>19</v>
      </c>
      <c r="B1134" t="s">
        <v>13</v>
      </c>
      <c r="C1134">
        <v>1.8</v>
      </c>
      <c r="D1134" t="s">
        <v>17</v>
      </c>
      <c r="E1134">
        <v>6</v>
      </c>
      <c r="F1134">
        <v>2.2999999999999998</v>
      </c>
      <c r="G1134">
        <v>3.22</v>
      </c>
      <c r="H1134">
        <v>1</v>
      </c>
      <c r="I1134" t="s">
        <v>19</v>
      </c>
      <c r="J1134">
        <v>5</v>
      </c>
      <c r="K1134">
        <v>6</v>
      </c>
      <c r="L1134">
        <v>8</v>
      </c>
      <c r="M1134">
        <v>0</v>
      </c>
    </row>
    <row r="1135" spans="1:13" x14ac:dyDescent="0.35">
      <c r="A1135">
        <v>19</v>
      </c>
      <c r="B1135" t="s">
        <v>13</v>
      </c>
      <c r="C1135">
        <v>5</v>
      </c>
      <c r="D1135" t="s">
        <v>20</v>
      </c>
      <c r="E1135">
        <v>9</v>
      </c>
      <c r="F1135">
        <v>2.4</v>
      </c>
      <c r="G1135">
        <v>2.5299999999999998</v>
      </c>
      <c r="H1135">
        <v>0.4</v>
      </c>
      <c r="I1135" t="s">
        <v>19</v>
      </c>
      <c r="J1135">
        <v>7</v>
      </c>
      <c r="K1135">
        <v>2</v>
      </c>
      <c r="L1135">
        <v>10</v>
      </c>
      <c r="M1135">
        <v>0</v>
      </c>
    </row>
    <row r="1136" spans="1:13" x14ac:dyDescent="0.35">
      <c r="A1136">
        <v>19</v>
      </c>
      <c r="B1136" t="s">
        <v>13</v>
      </c>
      <c r="C1136">
        <v>4.8</v>
      </c>
      <c r="D1136" t="s">
        <v>17</v>
      </c>
      <c r="E1136">
        <v>5</v>
      </c>
      <c r="F1136">
        <v>2.6</v>
      </c>
      <c r="G1136">
        <v>3.25</v>
      </c>
      <c r="H1136">
        <v>1.6</v>
      </c>
      <c r="I1136" t="s">
        <v>15</v>
      </c>
      <c r="J1136">
        <v>4</v>
      </c>
      <c r="K1136">
        <v>6</v>
      </c>
      <c r="L1136">
        <v>1</v>
      </c>
      <c r="M1136">
        <v>0</v>
      </c>
    </row>
    <row r="1137" spans="1:13" x14ac:dyDescent="0.35">
      <c r="A1137">
        <v>19</v>
      </c>
      <c r="B1137" t="s">
        <v>13</v>
      </c>
      <c r="C1137">
        <v>6.9</v>
      </c>
      <c r="D1137" t="s">
        <v>14</v>
      </c>
      <c r="E1137">
        <v>5</v>
      </c>
      <c r="F1137">
        <v>1.2</v>
      </c>
      <c r="G1137">
        <v>2.56</v>
      </c>
      <c r="H1137">
        <v>1.6</v>
      </c>
      <c r="I1137" t="s">
        <v>18</v>
      </c>
      <c r="J1137">
        <v>3</v>
      </c>
      <c r="K1137">
        <v>10</v>
      </c>
      <c r="L1137">
        <v>8</v>
      </c>
      <c r="M1137">
        <v>0</v>
      </c>
    </row>
    <row r="1138" spans="1:13" x14ac:dyDescent="0.35">
      <c r="A1138">
        <v>19</v>
      </c>
      <c r="B1138" t="s">
        <v>13</v>
      </c>
      <c r="C1138">
        <v>6.6</v>
      </c>
      <c r="D1138" t="s">
        <v>20</v>
      </c>
      <c r="E1138">
        <v>6</v>
      </c>
      <c r="F1138">
        <v>2.1</v>
      </c>
      <c r="G1138">
        <v>2.84</v>
      </c>
      <c r="H1138">
        <v>1.5</v>
      </c>
      <c r="I1138" t="s">
        <v>15</v>
      </c>
      <c r="J1138">
        <v>9</v>
      </c>
      <c r="K1138">
        <v>4</v>
      </c>
      <c r="L1138">
        <v>5</v>
      </c>
      <c r="M1138">
        <v>0</v>
      </c>
    </row>
    <row r="1139" spans="1:13" x14ac:dyDescent="0.35">
      <c r="A1139">
        <v>19</v>
      </c>
      <c r="B1139" t="s">
        <v>13</v>
      </c>
      <c r="C1139">
        <v>1.5</v>
      </c>
      <c r="D1139" t="s">
        <v>17</v>
      </c>
      <c r="E1139">
        <v>6.8</v>
      </c>
      <c r="F1139">
        <v>2.5</v>
      </c>
      <c r="G1139">
        <v>2.13</v>
      </c>
      <c r="H1139">
        <v>0.2</v>
      </c>
      <c r="I1139" t="s">
        <v>19</v>
      </c>
      <c r="J1139">
        <v>9</v>
      </c>
      <c r="K1139">
        <v>8</v>
      </c>
      <c r="L1139">
        <v>10</v>
      </c>
      <c r="M1139">
        <v>0</v>
      </c>
    </row>
    <row r="1140" spans="1:13" x14ac:dyDescent="0.35">
      <c r="A1140">
        <v>19</v>
      </c>
      <c r="B1140" t="s">
        <v>13</v>
      </c>
      <c r="C1140">
        <v>1.8</v>
      </c>
      <c r="D1140" t="s">
        <v>17</v>
      </c>
      <c r="E1140">
        <v>7.7</v>
      </c>
      <c r="F1140">
        <v>2.2000000000000002</v>
      </c>
      <c r="G1140">
        <v>3.77</v>
      </c>
      <c r="H1140">
        <v>0.3</v>
      </c>
      <c r="I1140" t="s">
        <v>19</v>
      </c>
      <c r="J1140">
        <v>4</v>
      </c>
      <c r="K1140">
        <v>6</v>
      </c>
      <c r="L1140">
        <v>7</v>
      </c>
      <c r="M1140">
        <v>0</v>
      </c>
    </row>
    <row r="1141" spans="1:13" x14ac:dyDescent="0.35">
      <c r="A1141">
        <v>19</v>
      </c>
      <c r="B1141" t="s">
        <v>13</v>
      </c>
      <c r="C1141">
        <v>2</v>
      </c>
      <c r="D1141" t="s">
        <v>14</v>
      </c>
      <c r="E1141">
        <v>4.0999999999999996</v>
      </c>
      <c r="F1141">
        <v>1.3</v>
      </c>
      <c r="G1141">
        <v>3.71</v>
      </c>
      <c r="H1141">
        <v>1.6</v>
      </c>
      <c r="I1141" t="s">
        <v>15</v>
      </c>
      <c r="J1141">
        <v>7</v>
      </c>
      <c r="K1141">
        <v>7</v>
      </c>
      <c r="L1141">
        <v>8</v>
      </c>
      <c r="M1141">
        <v>0</v>
      </c>
    </row>
    <row r="1142" spans="1:13" x14ac:dyDescent="0.35">
      <c r="A1142">
        <v>19</v>
      </c>
      <c r="B1142" t="s">
        <v>13</v>
      </c>
      <c r="C1142">
        <v>5.9</v>
      </c>
      <c r="D1142" t="s">
        <v>20</v>
      </c>
      <c r="E1142">
        <v>7</v>
      </c>
      <c r="F1142">
        <v>2.2999999999999998</v>
      </c>
      <c r="G1142">
        <v>3</v>
      </c>
      <c r="H1142">
        <v>1.6</v>
      </c>
      <c r="I1142" t="s">
        <v>15</v>
      </c>
      <c r="J1142">
        <v>3</v>
      </c>
      <c r="K1142">
        <v>5</v>
      </c>
      <c r="L1142">
        <v>10</v>
      </c>
      <c r="M1142">
        <v>0</v>
      </c>
    </row>
    <row r="1143" spans="1:13" x14ac:dyDescent="0.35">
      <c r="A1143">
        <v>19</v>
      </c>
      <c r="B1143" t="s">
        <v>13</v>
      </c>
      <c r="C1143">
        <v>2.9</v>
      </c>
      <c r="D1143" t="s">
        <v>20</v>
      </c>
      <c r="E1143">
        <v>4</v>
      </c>
      <c r="F1143">
        <v>0.5</v>
      </c>
      <c r="G1143">
        <v>3.16</v>
      </c>
      <c r="H1143">
        <v>0.2</v>
      </c>
      <c r="I1143" t="s">
        <v>18</v>
      </c>
      <c r="J1143">
        <v>7</v>
      </c>
      <c r="K1143">
        <v>6</v>
      </c>
      <c r="L1143">
        <v>3</v>
      </c>
      <c r="M1143">
        <v>0</v>
      </c>
    </row>
    <row r="1144" spans="1:13" x14ac:dyDescent="0.35">
      <c r="A1144">
        <v>19</v>
      </c>
      <c r="B1144" t="s">
        <v>13</v>
      </c>
      <c r="C1144">
        <v>3.5</v>
      </c>
      <c r="D1144" t="s">
        <v>17</v>
      </c>
      <c r="E1144">
        <v>5.8</v>
      </c>
      <c r="F1144">
        <v>1.8</v>
      </c>
      <c r="G1144">
        <v>3.3</v>
      </c>
      <c r="H1144">
        <v>0.9</v>
      </c>
      <c r="I1144" t="s">
        <v>15</v>
      </c>
      <c r="J1144">
        <v>7</v>
      </c>
      <c r="K1144">
        <v>6</v>
      </c>
      <c r="L1144">
        <v>9</v>
      </c>
      <c r="M1144">
        <v>0</v>
      </c>
    </row>
    <row r="1145" spans="1:13" x14ac:dyDescent="0.35">
      <c r="A1145">
        <v>19</v>
      </c>
      <c r="B1145" t="s">
        <v>13</v>
      </c>
      <c r="C1145">
        <v>6.9</v>
      </c>
      <c r="D1145" t="s">
        <v>17</v>
      </c>
      <c r="E1145">
        <v>8.5</v>
      </c>
      <c r="F1145">
        <v>1.5</v>
      </c>
      <c r="G1145">
        <v>3.55</v>
      </c>
      <c r="H1145">
        <v>1.3</v>
      </c>
      <c r="I1145" t="s">
        <v>15</v>
      </c>
      <c r="J1145">
        <v>5</v>
      </c>
      <c r="K1145">
        <v>6</v>
      </c>
      <c r="L1145">
        <v>1</v>
      </c>
      <c r="M1145">
        <v>0</v>
      </c>
    </row>
    <row r="1146" spans="1:13" x14ac:dyDescent="0.35">
      <c r="A1146">
        <v>19</v>
      </c>
      <c r="B1146" t="s">
        <v>13</v>
      </c>
      <c r="C1146">
        <v>7</v>
      </c>
      <c r="D1146" t="s">
        <v>14</v>
      </c>
      <c r="E1146">
        <v>8.3000000000000007</v>
      </c>
      <c r="F1146">
        <v>2.1</v>
      </c>
      <c r="G1146">
        <v>3.09</v>
      </c>
      <c r="H1146">
        <v>1.5</v>
      </c>
      <c r="I1146" t="s">
        <v>15</v>
      </c>
      <c r="J1146">
        <v>9</v>
      </c>
      <c r="K1146">
        <v>7</v>
      </c>
      <c r="L1146">
        <v>3</v>
      </c>
      <c r="M1146">
        <v>0</v>
      </c>
    </row>
    <row r="1147" spans="1:13" x14ac:dyDescent="0.35">
      <c r="A1147">
        <v>19</v>
      </c>
      <c r="B1147" t="s">
        <v>13</v>
      </c>
      <c r="C1147">
        <v>3.2</v>
      </c>
      <c r="D1147" t="s">
        <v>14</v>
      </c>
      <c r="E1147">
        <v>6.2</v>
      </c>
      <c r="F1147">
        <v>2.6</v>
      </c>
      <c r="G1147">
        <v>3.72</v>
      </c>
      <c r="H1147">
        <v>1.9</v>
      </c>
      <c r="I1147" t="s">
        <v>18</v>
      </c>
      <c r="J1147">
        <v>9</v>
      </c>
      <c r="K1147">
        <v>5</v>
      </c>
      <c r="L1147">
        <v>7</v>
      </c>
      <c r="M1147">
        <v>0</v>
      </c>
    </row>
    <row r="1148" spans="1:13" x14ac:dyDescent="0.35">
      <c r="A1148">
        <v>19</v>
      </c>
      <c r="B1148" t="s">
        <v>13</v>
      </c>
      <c r="C1148">
        <v>5.8</v>
      </c>
      <c r="D1148" t="s">
        <v>20</v>
      </c>
      <c r="E1148">
        <v>7.5</v>
      </c>
      <c r="F1148">
        <v>1.9</v>
      </c>
      <c r="G1148">
        <v>2.08</v>
      </c>
      <c r="H1148">
        <v>0.1</v>
      </c>
      <c r="I1148" t="s">
        <v>18</v>
      </c>
      <c r="J1148">
        <v>2</v>
      </c>
      <c r="K1148">
        <v>1</v>
      </c>
      <c r="L1148">
        <v>3</v>
      </c>
      <c r="M1148">
        <v>0</v>
      </c>
    </row>
    <row r="1149" spans="1:13" x14ac:dyDescent="0.35">
      <c r="A1149">
        <v>19</v>
      </c>
      <c r="B1149" t="s">
        <v>13</v>
      </c>
      <c r="C1149">
        <v>1.5</v>
      </c>
      <c r="D1149" t="s">
        <v>17</v>
      </c>
      <c r="E1149">
        <v>6.7</v>
      </c>
      <c r="F1149">
        <v>1</v>
      </c>
      <c r="G1149">
        <v>3.9</v>
      </c>
      <c r="H1149">
        <v>0.4</v>
      </c>
      <c r="I1149" t="s">
        <v>15</v>
      </c>
      <c r="J1149">
        <v>4</v>
      </c>
      <c r="K1149">
        <v>3</v>
      </c>
      <c r="L1149">
        <v>3</v>
      </c>
      <c r="M1149">
        <v>0</v>
      </c>
    </row>
    <row r="1150" spans="1:13" x14ac:dyDescent="0.35">
      <c r="A1150">
        <v>19</v>
      </c>
      <c r="B1150" t="s">
        <v>13</v>
      </c>
      <c r="C1150">
        <v>5.7</v>
      </c>
      <c r="D1150" t="s">
        <v>14</v>
      </c>
      <c r="E1150">
        <v>4.8</v>
      </c>
      <c r="F1150">
        <v>2.2000000000000002</v>
      </c>
      <c r="G1150">
        <v>3.66</v>
      </c>
      <c r="H1150">
        <v>0.9</v>
      </c>
      <c r="I1150" t="s">
        <v>15</v>
      </c>
      <c r="J1150">
        <v>3</v>
      </c>
      <c r="K1150">
        <v>7</v>
      </c>
      <c r="L1150">
        <v>5</v>
      </c>
      <c r="M1150">
        <v>0</v>
      </c>
    </row>
    <row r="1151" spans="1:13" x14ac:dyDescent="0.35">
      <c r="A1151">
        <v>19</v>
      </c>
      <c r="B1151" t="s">
        <v>13</v>
      </c>
      <c r="C1151">
        <v>5.2</v>
      </c>
      <c r="D1151" t="s">
        <v>17</v>
      </c>
      <c r="E1151">
        <v>6.9</v>
      </c>
      <c r="F1151">
        <v>2.2999999999999998</v>
      </c>
      <c r="G1151">
        <v>2.09</v>
      </c>
      <c r="H1151">
        <v>0.2</v>
      </c>
      <c r="I1151" t="s">
        <v>18</v>
      </c>
      <c r="J1151">
        <v>6</v>
      </c>
      <c r="K1151">
        <v>4</v>
      </c>
      <c r="L1151">
        <v>8</v>
      </c>
      <c r="M1151">
        <v>0</v>
      </c>
    </row>
    <row r="1152" spans="1:13" x14ac:dyDescent="0.35">
      <c r="A1152">
        <v>19</v>
      </c>
      <c r="B1152" t="s">
        <v>13</v>
      </c>
      <c r="C1152">
        <v>7.2</v>
      </c>
      <c r="D1152" t="s">
        <v>17</v>
      </c>
      <c r="E1152">
        <v>6.6</v>
      </c>
      <c r="F1152">
        <v>2.9</v>
      </c>
      <c r="G1152">
        <v>2.74</v>
      </c>
      <c r="H1152">
        <v>0.3</v>
      </c>
      <c r="I1152" t="s">
        <v>19</v>
      </c>
      <c r="J1152">
        <v>1</v>
      </c>
      <c r="K1152">
        <v>10</v>
      </c>
      <c r="L1152">
        <v>9</v>
      </c>
      <c r="M1152">
        <v>0</v>
      </c>
    </row>
    <row r="1153" spans="1:13" x14ac:dyDescent="0.35">
      <c r="A1153">
        <v>19</v>
      </c>
      <c r="B1153" t="s">
        <v>13</v>
      </c>
      <c r="C1153">
        <v>2.1</v>
      </c>
      <c r="D1153" t="s">
        <v>17</v>
      </c>
      <c r="E1153">
        <v>5.2</v>
      </c>
      <c r="F1153">
        <v>2.5</v>
      </c>
      <c r="G1153">
        <v>3.1</v>
      </c>
      <c r="H1153">
        <v>0.3</v>
      </c>
      <c r="I1153" t="s">
        <v>15</v>
      </c>
      <c r="J1153">
        <v>9</v>
      </c>
      <c r="K1153">
        <v>9</v>
      </c>
      <c r="L1153">
        <v>3</v>
      </c>
      <c r="M1153">
        <v>0</v>
      </c>
    </row>
    <row r="1154" spans="1:13" x14ac:dyDescent="0.35">
      <c r="A1154">
        <v>19</v>
      </c>
      <c r="B1154" t="s">
        <v>13</v>
      </c>
      <c r="C1154">
        <v>5.2</v>
      </c>
      <c r="D1154" t="s">
        <v>14</v>
      </c>
      <c r="E1154">
        <v>4.3</v>
      </c>
      <c r="F1154">
        <v>1.3</v>
      </c>
      <c r="G1154">
        <v>2.29</v>
      </c>
      <c r="H1154">
        <v>1.3</v>
      </c>
      <c r="I1154" t="s">
        <v>19</v>
      </c>
      <c r="J1154">
        <v>10</v>
      </c>
      <c r="K1154">
        <v>8</v>
      </c>
      <c r="L1154">
        <v>10</v>
      </c>
      <c r="M1154">
        <v>1</v>
      </c>
    </row>
    <row r="1155" spans="1:13" x14ac:dyDescent="0.35">
      <c r="A1155">
        <v>19</v>
      </c>
      <c r="B1155" t="s">
        <v>13</v>
      </c>
      <c r="C1155">
        <v>7.7</v>
      </c>
      <c r="D1155" t="s">
        <v>14</v>
      </c>
      <c r="E1155">
        <v>4.2</v>
      </c>
      <c r="F1155">
        <v>2.6</v>
      </c>
      <c r="G1155">
        <v>2.2000000000000002</v>
      </c>
      <c r="H1155">
        <v>1.8</v>
      </c>
      <c r="I1155" t="s">
        <v>15</v>
      </c>
      <c r="J1155">
        <v>8</v>
      </c>
      <c r="K1155">
        <v>9</v>
      </c>
      <c r="L1155">
        <v>4</v>
      </c>
      <c r="M1155">
        <v>1</v>
      </c>
    </row>
    <row r="1156" spans="1:13" x14ac:dyDescent="0.35">
      <c r="A1156">
        <v>19</v>
      </c>
      <c r="B1156" t="s">
        <v>13</v>
      </c>
      <c r="C1156">
        <v>2.7</v>
      </c>
      <c r="D1156" t="s">
        <v>14</v>
      </c>
      <c r="E1156">
        <v>6.3</v>
      </c>
      <c r="F1156">
        <v>1.3</v>
      </c>
      <c r="G1156">
        <v>3.91</v>
      </c>
      <c r="H1156">
        <v>1.2</v>
      </c>
      <c r="I1156" t="s">
        <v>18</v>
      </c>
      <c r="J1156">
        <v>7</v>
      </c>
      <c r="K1156">
        <v>5</v>
      </c>
      <c r="L1156">
        <v>7</v>
      </c>
      <c r="M1156">
        <v>0</v>
      </c>
    </row>
    <row r="1157" spans="1:13" x14ac:dyDescent="0.35">
      <c r="A1157">
        <v>19</v>
      </c>
      <c r="B1157" t="s">
        <v>13</v>
      </c>
      <c r="C1157">
        <v>7.2</v>
      </c>
      <c r="D1157" t="s">
        <v>14</v>
      </c>
      <c r="E1157">
        <v>5</v>
      </c>
      <c r="F1157">
        <v>2.2000000000000002</v>
      </c>
      <c r="G1157">
        <v>2.5</v>
      </c>
      <c r="H1157">
        <v>0.7</v>
      </c>
      <c r="I1157" t="s">
        <v>18</v>
      </c>
      <c r="J1157">
        <v>6</v>
      </c>
      <c r="K1157">
        <v>9</v>
      </c>
      <c r="L1157">
        <v>2</v>
      </c>
      <c r="M1157">
        <v>0</v>
      </c>
    </row>
    <row r="1158" spans="1:13" x14ac:dyDescent="0.35">
      <c r="A1158">
        <v>19</v>
      </c>
      <c r="B1158" t="s">
        <v>13</v>
      </c>
      <c r="C1158">
        <v>6.6</v>
      </c>
      <c r="D1158" t="s">
        <v>17</v>
      </c>
      <c r="E1158">
        <v>8.8000000000000007</v>
      </c>
      <c r="F1158">
        <v>0.9</v>
      </c>
      <c r="G1158">
        <v>3.84</v>
      </c>
      <c r="H1158">
        <v>0.3</v>
      </c>
      <c r="I1158" t="s">
        <v>18</v>
      </c>
      <c r="J1158">
        <v>10</v>
      </c>
      <c r="K1158">
        <v>10</v>
      </c>
      <c r="L1158">
        <v>6</v>
      </c>
      <c r="M1158">
        <v>0</v>
      </c>
    </row>
    <row r="1159" spans="1:13" x14ac:dyDescent="0.35">
      <c r="A1159">
        <v>19</v>
      </c>
      <c r="B1159" t="s">
        <v>13</v>
      </c>
      <c r="C1159">
        <v>2.1</v>
      </c>
      <c r="D1159" t="s">
        <v>14</v>
      </c>
      <c r="E1159">
        <v>8.8000000000000007</v>
      </c>
      <c r="F1159">
        <v>2.2999999999999998</v>
      </c>
      <c r="G1159">
        <v>2.2200000000000002</v>
      </c>
      <c r="H1159">
        <v>1.2</v>
      </c>
      <c r="I1159" t="s">
        <v>18</v>
      </c>
      <c r="J1159">
        <v>5</v>
      </c>
      <c r="K1159">
        <v>5</v>
      </c>
      <c r="L1159">
        <v>3</v>
      </c>
      <c r="M1159">
        <v>0</v>
      </c>
    </row>
    <row r="1160" spans="1:13" x14ac:dyDescent="0.35">
      <c r="A1160">
        <v>19</v>
      </c>
      <c r="B1160" t="s">
        <v>13</v>
      </c>
      <c r="C1160">
        <v>7</v>
      </c>
      <c r="D1160" t="s">
        <v>17</v>
      </c>
      <c r="E1160">
        <v>4.5</v>
      </c>
      <c r="F1160">
        <v>2.2999999999999998</v>
      </c>
      <c r="G1160">
        <v>3.26</v>
      </c>
      <c r="H1160">
        <v>1.7</v>
      </c>
      <c r="I1160" t="s">
        <v>18</v>
      </c>
      <c r="J1160">
        <v>9</v>
      </c>
      <c r="K1160">
        <v>10</v>
      </c>
      <c r="L1160">
        <v>3</v>
      </c>
      <c r="M1160">
        <v>1</v>
      </c>
    </row>
    <row r="1161" spans="1:13" x14ac:dyDescent="0.35">
      <c r="A1161">
        <v>19</v>
      </c>
      <c r="B1161" t="s">
        <v>13</v>
      </c>
      <c r="C1161">
        <v>6.8</v>
      </c>
      <c r="D1161" t="s">
        <v>17</v>
      </c>
      <c r="E1161">
        <v>8.4</v>
      </c>
      <c r="F1161">
        <v>2</v>
      </c>
      <c r="G1161">
        <v>2.6</v>
      </c>
      <c r="H1161">
        <v>1.5</v>
      </c>
      <c r="I1161" t="s">
        <v>15</v>
      </c>
      <c r="J1161">
        <v>7</v>
      </c>
      <c r="K1161">
        <v>2</v>
      </c>
      <c r="L1161">
        <v>2</v>
      </c>
      <c r="M1161">
        <v>0</v>
      </c>
    </row>
    <row r="1162" spans="1:13" x14ac:dyDescent="0.35">
      <c r="A1162">
        <v>19</v>
      </c>
      <c r="B1162" t="s">
        <v>13</v>
      </c>
      <c r="C1162">
        <v>4.7</v>
      </c>
      <c r="D1162" t="s">
        <v>20</v>
      </c>
      <c r="E1162">
        <v>8.1999999999999993</v>
      </c>
      <c r="F1162">
        <v>1.2</v>
      </c>
      <c r="G1162">
        <v>2.83</v>
      </c>
      <c r="H1162">
        <v>1.2</v>
      </c>
      <c r="I1162" t="s">
        <v>18</v>
      </c>
      <c r="J1162">
        <v>5</v>
      </c>
      <c r="K1162">
        <v>9</v>
      </c>
      <c r="L1162">
        <v>9</v>
      </c>
      <c r="M1162">
        <v>0</v>
      </c>
    </row>
    <row r="1163" spans="1:13" x14ac:dyDescent="0.35">
      <c r="A1163">
        <v>19</v>
      </c>
      <c r="B1163" t="s">
        <v>13</v>
      </c>
      <c r="C1163">
        <v>5.9</v>
      </c>
      <c r="D1163" t="s">
        <v>17</v>
      </c>
      <c r="E1163">
        <v>7.4</v>
      </c>
      <c r="F1163">
        <v>0.7</v>
      </c>
      <c r="G1163">
        <v>3.27</v>
      </c>
      <c r="H1163">
        <v>1.7</v>
      </c>
      <c r="I1163" t="s">
        <v>18</v>
      </c>
      <c r="J1163">
        <v>1</v>
      </c>
      <c r="K1163">
        <v>9</v>
      </c>
      <c r="L1163">
        <v>9</v>
      </c>
      <c r="M1163">
        <v>0</v>
      </c>
    </row>
    <row r="1164" spans="1:13" x14ac:dyDescent="0.35">
      <c r="A1164">
        <v>19</v>
      </c>
      <c r="B1164" t="s">
        <v>13</v>
      </c>
      <c r="C1164">
        <v>7.7</v>
      </c>
      <c r="D1164" t="s">
        <v>17</v>
      </c>
      <c r="E1164">
        <v>8.4</v>
      </c>
      <c r="F1164">
        <v>2.8</v>
      </c>
      <c r="G1164">
        <v>3.43</v>
      </c>
      <c r="H1164">
        <v>0.2</v>
      </c>
      <c r="I1164" t="s">
        <v>19</v>
      </c>
      <c r="J1164">
        <v>7</v>
      </c>
      <c r="K1164">
        <v>6</v>
      </c>
      <c r="L1164">
        <v>6</v>
      </c>
      <c r="M1164">
        <v>0</v>
      </c>
    </row>
    <row r="1165" spans="1:13" x14ac:dyDescent="0.35">
      <c r="A1165">
        <v>19</v>
      </c>
      <c r="B1165" t="s">
        <v>13</v>
      </c>
      <c r="C1165">
        <v>6</v>
      </c>
      <c r="D1165" t="s">
        <v>14</v>
      </c>
      <c r="E1165">
        <v>4.2</v>
      </c>
      <c r="F1165">
        <v>0.9</v>
      </c>
      <c r="G1165">
        <v>2.41</v>
      </c>
      <c r="H1165">
        <v>0.8</v>
      </c>
      <c r="I1165" t="s">
        <v>19</v>
      </c>
      <c r="J1165">
        <v>7</v>
      </c>
      <c r="K1165">
        <v>9</v>
      </c>
      <c r="L1165">
        <v>9</v>
      </c>
      <c r="M1165">
        <v>1</v>
      </c>
    </row>
    <row r="1166" spans="1:13" x14ac:dyDescent="0.35">
      <c r="A1166">
        <v>19</v>
      </c>
      <c r="B1166" t="s">
        <v>13</v>
      </c>
      <c r="C1166">
        <v>3.8</v>
      </c>
      <c r="D1166" t="s">
        <v>14</v>
      </c>
      <c r="E1166">
        <v>7.1</v>
      </c>
      <c r="F1166">
        <v>2.5</v>
      </c>
      <c r="G1166">
        <v>3.81</v>
      </c>
      <c r="H1166">
        <v>0.9</v>
      </c>
      <c r="I1166" t="s">
        <v>15</v>
      </c>
      <c r="J1166">
        <v>6</v>
      </c>
      <c r="K1166">
        <v>9</v>
      </c>
      <c r="L1166">
        <v>4</v>
      </c>
      <c r="M1166">
        <v>0</v>
      </c>
    </row>
    <row r="1167" spans="1:13" x14ac:dyDescent="0.35">
      <c r="A1167">
        <v>19</v>
      </c>
      <c r="B1167" t="s">
        <v>13</v>
      </c>
      <c r="C1167">
        <v>6.8</v>
      </c>
      <c r="D1167" t="s">
        <v>14</v>
      </c>
      <c r="E1167">
        <v>8.4</v>
      </c>
      <c r="F1167">
        <v>2.1</v>
      </c>
      <c r="G1167">
        <v>3.15</v>
      </c>
      <c r="H1167">
        <v>2</v>
      </c>
      <c r="I1167" t="s">
        <v>19</v>
      </c>
      <c r="J1167">
        <v>4</v>
      </c>
      <c r="K1167">
        <v>10</v>
      </c>
      <c r="L1167">
        <v>1</v>
      </c>
      <c r="M1167">
        <v>0</v>
      </c>
    </row>
    <row r="1168" spans="1:13" x14ac:dyDescent="0.35">
      <c r="A1168">
        <v>19</v>
      </c>
      <c r="B1168" t="s">
        <v>13</v>
      </c>
      <c r="C1168">
        <v>2.4</v>
      </c>
      <c r="D1168" t="s">
        <v>20</v>
      </c>
      <c r="E1168">
        <v>7.5</v>
      </c>
      <c r="F1168">
        <v>1.8</v>
      </c>
      <c r="G1168">
        <v>2.35</v>
      </c>
      <c r="H1168">
        <v>1.4</v>
      </c>
      <c r="I1168" t="s">
        <v>15</v>
      </c>
      <c r="J1168">
        <v>3</v>
      </c>
      <c r="K1168">
        <v>8</v>
      </c>
      <c r="L1168">
        <v>6</v>
      </c>
      <c r="M1168">
        <v>0</v>
      </c>
    </row>
    <row r="1169" spans="1:13" x14ac:dyDescent="0.35">
      <c r="A1169">
        <v>19</v>
      </c>
      <c r="B1169" t="s">
        <v>13</v>
      </c>
      <c r="C1169">
        <v>6.5</v>
      </c>
      <c r="D1169" t="s">
        <v>14</v>
      </c>
      <c r="E1169">
        <v>6</v>
      </c>
      <c r="F1169">
        <v>1.5</v>
      </c>
      <c r="G1169">
        <v>2.12</v>
      </c>
      <c r="H1169">
        <v>1.7</v>
      </c>
      <c r="I1169" t="s">
        <v>19</v>
      </c>
      <c r="J1169">
        <v>8</v>
      </c>
      <c r="K1169">
        <v>5</v>
      </c>
      <c r="L1169">
        <v>7</v>
      </c>
      <c r="M1169">
        <v>0</v>
      </c>
    </row>
    <row r="1170" spans="1:13" x14ac:dyDescent="0.35">
      <c r="A1170">
        <v>19</v>
      </c>
      <c r="B1170" t="s">
        <v>13</v>
      </c>
      <c r="C1170">
        <v>5.2</v>
      </c>
      <c r="D1170" t="s">
        <v>14</v>
      </c>
      <c r="E1170">
        <v>7.6</v>
      </c>
      <c r="F1170">
        <v>1.3</v>
      </c>
      <c r="G1170">
        <v>3.89</v>
      </c>
      <c r="H1170">
        <v>1.5</v>
      </c>
      <c r="I1170" t="s">
        <v>18</v>
      </c>
      <c r="J1170">
        <v>4</v>
      </c>
      <c r="K1170">
        <v>5</v>
      </c>
      <c r="L1170">
        <v>8</v>
      </c>
      <c r="M1170">
        <v>0</v>
      </c>
    </row>
    <row r="1171" spans="1:13" x14ac:dyDescent="0.35">
      <c r="A1171">
        <v>19</v>
      </c>
      <c r="B1171" t="s">
        <v>13</v>
      </c>
      <c r="C1171">
        <v>5.6</v>
      </c>
      <c r="D1171" t="s">
        <v>17</v>
      </c>
      <c r="E1171">
        <v>6.5</v>
      </c>
      <c r="F1171">
        <v>1.4</v>
      </c>
      <c r="G1171">
        <v>3.19</v>
      </c>
      <c r="H1171">
        <v>0</v>
      </c>
      <c r="I1171" t="s">
        <v>18</v>
      </c>
      <c r="J1171">
        <v>9</v>
      </c>
      <c r="K1171">
        <v>9</v>
      </c>
      <c r="L1171">
        <v>7</v>
      </c>
      <c r="M1171">
        <v>0</v>
      </c>
    </row>
    <row r="1172" spans="1:13" x14ac:dyDescent="0.35">
      <c r="A1172">
        <v>19</v>
      </c>
      <c r="B1172" t="s">
        <v>13</v>
      </c>
      <c r="C1172">
        <v>3.9</v>
      </c>
      <c r="D1172" t="s">
        <v>20</v>
      </c>
      <c r="E1172">
        <v>4.8</v>
      </c>
      <c r="F1172">
        <v>2.8</v>
      </c>
      <c r="G1172">
        <v>3.98</v>
      </c>
      <c r="H1172">
        <v>1.9</v>
      </c>
      <c r="I1172" t="s">
        <v>19</v>
      </c>
      <c r="J1172">
        <v>7</v>
      </c>
      <c r="K1172">
        <v>5</v>
      </c>
      <c r="L1172">
        <v>3</v>
      </c>
      <c r="M1172">
        <v>0</v>
      </c>
    </row>
    <row r="1173" spans="1:13" x14ac:dyDescent="0.35">
      <c r="A1173">
        <v>19</v>
      </c>
      <c r="B1173" t="s">
        <v>13</v>
      </c>
      <c r="C1173">
        <v>1.6</v>
      </c>
      <c r="D1173" t="s">
        <v>20</v>
      </c>
      <c r="E1173">
        <v>4.4000000000000004</v>
      </c>
      <c r="F1173">
        <v>1.4</v>
      </c>
      <c r="G1173">
        <v>2.0299999999999998</v>
      </c>
      <c r="H1173">
        <v>1.1000000000000001</v>
      </c>
      <c r="I1173" t="s">
        <v>18</v>
      </c>
      <c r="J1173">
        <v>2</v>
      </c>
      <c r="K1173">
        <v>9</v>
      </c>
      <c r="L1173">
        <v>5</v>
      </c>
      <c r="M1173">
        <v>0</v>
      </c>
    </row>
    <row r="1174" spans="1:13" x14ac:dyDescent="0.35">
      <c r="A1174">
        <v>19</v>
      </c>
      <c r="B1174" t="s">
        <v>13</v>
      </c>
      <c r="C1174">
        <v>6</v>
      </c>
      <c r="D1174" t="s">
        <v>20</v>
      </c>
      <c r="E1174">
        <v>5.6</v>
      </c>
      <c r="F1174">
        <v>1.1000000000000001</v>
      </c>
      <c r="G1174">
        <v>2.4300000000000002</v>
      </c>
      <c r="H1174">
        <v>1.7</v>
      </c>
      <c r="I1174" t="s">
        <v>19</v>
      </c>
      <c r="J1174">
        <v>1</v>
      </c>
      <c r="K1174">
        <v>3</v>
      </c>
      <c r="L1174">
        <v>3</v>
      </c>
      <c r="M1174">
        <v>0</v>
      </c>
    </row>
    <row r="1175" spans="1:13" x14ac:dyDescent="0.35">
      <c r="A1175">
        <v>19</v>
      </c>
      <c r="B1175" t="s">
        <v>13</v>
      </c>
      <c r="C1175">
        <v>5.4</v>
      </c>
      <c r="D1175" t="s">
        <v>14</v>
      </c>
      <c r="E1175">
        <v>4.9000000000000004</v>
      </c>
      <c r="F1175">
        <v>0.6</v>
      </c>
      <c r="G1175">
        <v>3.17</v>
      </c>
      <c r="H1175">
        <v>0</v>
      </c>
      <c r="I1175" t="s">
        <v>15</v>
      </c>
      <c r="J1175">
        <v>5</v>
      </c>
      <c r="K1175">
        <v>6</v>
      </c>
      <c r="L1175">
        <v>10</v>
      </c>
      <c r="M1175">
        <v>0</v>
      </c>
    </row>
    <row r="1176" spans="1:13" x14ac:dyDescent="0.35">
      <c r="A1176">
        <v>19</v>
      </c>
      <c r="B1176" t="s">
        <v>13</v>
      </c>
      <c r="C1176">
        <v>4.8</v>
      </c>
      <c r="D1176" t="s">
        <v>20</v>
      </c>
      <c r="E1176">
        <v>7.5</v>
      </c>
      <c r="F1176">
        <v>1</v>
      </c>
      <c r="G1176">
        <v>2.68</v>
      </c>
      <c r="H1176">
        <v>1.5</v>
      </c>
      <c r="I1176" t="s">
        <v>15</v>
      </c>
      <c r="J1176">
        <v>9</v>
      </c>
      <c r="K1176">
        <v>4</v>
      </c>
      <c r="L1176">
        <v>6</v>
      </c>
      <c r="M1176">
        <v>0</v>
      </c>
    </row>
    <row r="1177" spans="1:13" x14ac:dyDescent="0.35">
      <c r="A1177">
        <v>19</v>
      </c>
      <c r="B1177" t="s">
        <v>13</v>
      </c>
      <c r="C1177">
        <v>2.1</v>
      </c>
      <c r="D1177" t="s">
        <v>20</v>
      </c>
      <c r="E1177">
        <v>5.6</v>
      </c>
      <c r="F1177">
        <v>2.4</v>
      </c>
      <c r="G1177">
        <v>3.56</v>
      </c>
      <c r="H1177">
        <v>1</v>
      </c>
      <c r="I1177" t="s">
        <v>18</v>
      </c>
      <c r="J1177">
        <v>9</v>
      </c>
      <c r="K1177">
        <v>3</v>
      </c>
      <c r="L1177">
        <v>4</v>
      </c>
      <c r="M1177">
        <v>0</v>
      </c>
    </row>
    <row r="1178" spans="1:13" x14ac:dyDescent="0.35">
      <c r="A1178">
        <v>19</v>
      </c>
      <c r="B1178" t="s">
        <v>13</v>
      </c>
      <c r="C1178">
        <v>6.1</v>
      </c>
      <c r="D1178" t="s">
        <v>14</v>
      </c>
      <c r="E1178">
        <v>7.1</v>
      </c>
      <c r="F1178">
        <v>2.2999999999999998</v>
      </c>
      <c r="G1178">
        <v>3.22</v>
      </c>
      <c r="H1178">
        <v>0.5</v>
      </c>
      <c r="I1178" t="s">
        <v>15</v>
      </c>
      <c r="J1178">
        <v>4</v>
      </c>
      <c r="K1178">
        <v>3</v>
      </c>
      <c r="L1178">
        <v>7</v>
      </c>
      <c r="M1178">
        <v>0</v>
      </c>
    </row>
    <row r="1179" spans="1:13" x14ac:dyDescent="0.35">
      <c r="A1179">
        <v>19</v>
      </c>
      <c r="B1179" t="s">
        <v>13</v>
      </c>
      <c r="C1179">
        <v>2.5</v>
      </c>
      <c r="D1179" t="s">
        <v>17</v>
      </c>
      <c r="E1179">
        <v>7.1</v>
      </c>
      <c r="F1179">
        <v>1.9</v>
      </c>
      <c r="G1179">
        <v>2.35</v>
      </c>
      <c r="H1179">
        <v>1.1000000000000001</v>
      </c>
      <c r="I1179" t="s">
        <v>15</v>
      </c>
      <c r="J1179">
        <v>4</v>
      </c>
      <c r="K1179">
        <v>4</v>
      </c>
      <c r="L1179">
        <v>8</v>
      </c>
      <c r="M1179">
        <v>0</v>
      </c>
    </row>
    <row r="1180" spans="1:13" x14ac:dyDescent="0.35">
      <c r="A1180">
        <v>19</v>
      </c>
      <c r="B1180" t="s">
        <v>13</v>
      </c>
      <c r="C1180">
        <v>7.4</v>
      </c>
      <c r="D1180" t="s">
        <v>17</v>
      </c>
      <c r="E1180">
        <v>6.1</v>
      </c>
      <c r="F1180">
        <v>1.1000000000000001</v>
      </c>
      <c r="G1180">
        <v>2.15</v>
      </c>
      <c r="H1180">
        <v>1.6</v>
      </c>
      <c r="I1180" t="s">
        <v>18</v>
      </c>
      <c r="J1180">
        <v>4</v>
      </c>
      <c r="K1180">
        <v>4</v>
      </c>
      <c r="L1180">
        <v>1</v>
      </c>
      <c r="M1180">
        <v>0</v>
      </c>
    </row>
    <row r="1181" spans="1:13" x14ac:dyDescent="0.35">
      <c r="A1181">
        <v>19</v>
      </c>
      <c r="B1181" t="s">
        <v>13</v>
      </c>
      <c r="C1181">
        <v>2.1</v>
      </c>
      <c r="D1181" t="s">
        <v>17</v>
      </c>
      <c r="E1181">
        <v>6.8</v>
      </c>
      <c r="F1181">
        <v>2.2000000000000002</v>
      </c>
      <c r="G1181">
        <v>2.33</v>
      </c>
      <c r="H1181">
        <v>1</v>
      </c>
      <c r="I1181" t="s">
        <v>19</v>
      </c>
      <c r="J1181">
        <v>7</v>
      </c>
      <c r="K1181">
        <v>6</v>
      </c>
      <c r="L1181">
        <v>7</v>
      </c>
      <c r="M1181">
        <v>0</v>
      </c>
    </row>
    <row r="1182" spans="1:13" x14ac:dyDescent="0.35">
      <c r="A1182">
        <v>19</v>
      </c>
      <c r="B1182" t="s">
        <v>13</v>
      </c>
      <c r="C1182">
        <v>6.3</v>
      </c>
      <c r="D1182" t="s">
        <v>17</v>
      </c>
      <c r="E1182">
        <v>5.7</v>
      </c>
      <c r="F1182">
        <v>1.4</v>
      </c>
      <c r="G1182">
        <v>2.0299999999999998</v>
      </c>
      <c r="H1182">
        <v>1.1000000000000001</v>
      </c>
      <c r="I1182" t="s">
        <v>15</v>
      </c>
      <c r="J1182">
        <v>4</v>
      </c>
      <c r="K1182">
        <v>6</v>
      </c>
      <c r="L1182">
        <v>1</v>
      </c>
      <c r="M1182">
        <v>0</v>
      </c>
    </row>
    <row r="1183" spans="1:13" x14ac:dyDescent="0.35">
      <c r="A1183">
        <v>19</v>
      </c>
      <c r="B1183" t="s">
        <v>13</v>
      </c>
      <c r="C1183">
        <v>3.8</v>
      </c>
      <c r="D1183" t="s">
        <v>17</v>
      </c>
      <c r="E1183">
        <v>7.4</v>
      </c>
      <c r="F1183">
        <v>2.6</v>
      </c>
      <c r="G1183">
        <v>2.25</v>
      </c>
      <c r="H1183">
        <v>0.5</v>
      </c>
      <c r="I1183" t="s">
        <v>15</v>
      </c>
      <c r="J1183">
        <v>7</v>
      </c>
      <c r="K1183">
        <v>4</v>
      </c>
      <c r="L1183">
        <v>8</v>
      </c>
      <c r="M1183">
        <v>0</v>
      </c>
    </row>
    <row r="1184" spans="1:13" x14ac:dyDescent="0.35">
      <c r="A1184">
        <v>19</v>
      </c>
      <c r="B1184" t="s">
        <v>13</v>
      </c>
      <c r="C1184">
        <v>4.7</v>
      </c>
      <c r="D1184" t="s">
        <v>20</v>
      </c>
      <c r="E1184">
        <v>8.6999999999999993</v>
      </c>
      <c r="F1184">
        <v>2</v>
      </c>
      <c r="G1184">
        <v>3.23</v>
      </c>
      <c r="H1184">
        <v>1.7</v>
      </c>
      <c r="I1184" t="s">
        <v>15</v>
      </c>
      <c r="J1184">
        <v>4</v>
      </c>
      <c r="K1184">
        <v>10</v>
      </c>
      <c r="L1184">
        <v>3</v>
      </c>
      <c r="M1184">
        <v>0</v>
      </c>
    </row>
    <row r="1185" spans="1:13" x14ac:dyDescent="0.35">
      <c r="A1185">
        <v>19</v>
      </c>
      <c r="B1185" t="s">
        <v>13</v>
      </c>
      <c r="C1185">
        <v>3.3</v>
      </c>
      <c r="D1185" t="s">
        <v>17</v>
      </c>
      <c r="E1185">
        <v>8.5</v>
      </c>
      <c r="F1185">
        <v>1.2</v>
      </c>
      <c r="G1185">
        <v>3.29</v>
      </c>
      <c r="H1185">
        <v>0.5</v>
      </c>
      <c r="I1185" t="s">
        <v>19</v>
      </c>
      <c r="J1185">
        <v>6</v>
      </c>
      <c r="K1185">
        <v>2</v>
      </c>
      <c r="L1185">
        <v>9</v>
      </c>
      <c r="M1185">
        <v>0</v>
      </c>
    </row>
    <row r="1186" spans="1:13" x14ac:dyDescent="0.35">
      <c r="A1186">
        <v>19</v>
      </c>
      <c r="B1186" t="s">
        <v>13</v>
      </c>
      <c r="C1186">
        <v>5.3</v>
      </c>
      <c r="D1186" t="s">
        <v>17</v>
      </c>
      <c r="E1186">
        <v>8.4</v>
      </c>
      <c r="F1186">
        <v>0.6</v>
      </c>
      <c r="G1186">
        <v>3.08</v>
      </c>
      <c r="H1186">
        <v>0.4</v>
      </c>
      <c r="I1186" t="s">
        <v>19</v>
      </c>
      <c r="J1186">
        <v>9</v>
      </c>
      <c r="K1186">
        <v>4</v>
      </c>
      <c r="L1186">
        <v>6</v>
      </c>
      <c r="M1186">
        <v>0</v>
      </c>
    </row>
    <row r="1187" spans="1:13" x14ac:dyDescent="0.35">
      <c r="A1187">
        <v>19</v>
      </c>
      <c r="B1187" t="s">
        <v>13</v>
      </c>
      <c r="C1187">
        <v>3.6</v>
      </c>
      <c r="D1187" t="s">
        <v>14</v>
      </c>
      <c r="E1187">
        <v>6.5</v>
      </c>
      <c r="F1187">
        <v>1.1000000000000001</v>
      </c>
      <c r="G1187">
        <v>3.65</v>
      </c>
      <c r="H1187">
        <v>1.1000000000000001</v>
      </c>
      <c r="I1187" t="s">
        <v>15</v>
      </c>
      <c r="J1187">
        <v>5</v>
      </c>
      <c r="K1187">
        <v>9</v>
      </c>
      <c r="L1187">
        <v>10</v>
      </c>
      <c r="M1187">
        <v>0</v>
      </c>
    </row>
    <row r="1188" spans="1:13" x14ac:dyDescent="0.35">
      <c r="A1188">
        <v>19</v>
      </c>
      <c r="B1188" t="s">
        <v>13</v>
      </c>
      <c r="C1188">
        <v>5.5</v>
      </c>
      <c r="D1188" t="s">
        <v>17</v>
      </c>
      <c r="E1188">
        <v>5.0999999999999996</v>
      </c>
      <c r="F1188">
        <v>2.7</v>
      </c>
      <c r="G1188">
        <v>2.56</v>
      </c>
      <c r="H1188">
        <v>1.4</v>
      </c>
      <c r="I1188" t="s">
        <v>15</v>
      </c>
      <c r="J1188">
        <v>2</v>
      </c>
      <c r="K1188">
        <v>3</v>
      </c>
      <c r="L1188">
        <v>7</v>
      </c>
      <c r="M1188">
        <v>0</v>
      </c>
    </row>
    <row r="1189" spans="1:13" x14ac:dyDescent="0.35">
      <c r="A1189">
        <v>19</v>
      </c>
      <c r="B1189" t="s">
        <v>13</v>
      </c>
      <c r="C1189">
        <v>7.1</v>
      </c>
      <c r="D1189" t="s">
        <v>17</v>
      </c>
      <c r="E1189">
        <v>8.4</v>
      </c>
      <c r="F1189">
        <v>1.8</v>
      </c>
      <c r="G1189">
        <v>2.93</v>
      </c>
      <c r="H1189">
        <v>1.3</v>
      </c>
      <c r="I1189" t="s">
        <v>19</v>
      </c>
      <c r="J1189">
        <v>1</v>
      </c>
      <c r="K1189">
        <v>6</v>
      </c>
      <c r="L1189">
        <v>8</v>
      </c>
      <c r="M1189">
        <v>0</v>
      </c>
    </row>
    <row r="1190" spans="1:13" x14ac:dyDescent="0.35">
      <c r="A1190">
        <v>19</v>
      </c>
      <c r="B1190" t="s">
        <v>13</v>
      </c>
      <c r="C1190">
        <v>4.5999999999999996</v>
      </c>
      <c r="D1190" t="s">
        <v>20</v>
      </c>
      <c r="E1190">
        <v>4.5999999999999996</v>
      </c>
      <c r="F1190">
        <v>2.5</v>
      </c>
      <c r="G1190">
        <v>2.4</v>
      </c>
      <c r="H1190">
        <v>1</v>
      </c>
      <c r="I1190" t="s">
        <v>18</v>
      </c>
      <c r="J1190">
        <v>10</v>
      </c>
      <c r="K1190">
        <v>10</v>
      </c>
      <c r="L1190">
        <v>8</v>
      </c>
      <c r="M1190">
        <v>0</v>
      </c>
    </row>
    <row r="1191" spans="1:13" x14ac:dyDescent="0.35">
      <c r="A1191">
        <v>19</v>
      </c>
      <c r="B1191" t="s">
        <v>13</v>
      </c>
      <c r="C1191">
        <v>1.5</v>
      </c>
      <c r="D1191" t="s">
        <v>17</v>
      </c>
      <c r="E1191">
        <v>5.8</v>
      </c>
      <c r="F1191">
        <v>1.1000000000000001</v>
      </c>
      <c r="G1191">
        <v>3.29</v>
      </c>
      <c r="H1191">
        <v>1.7</v>
      </c>
      <c r="I1191" t="s">
        <v>18</v>
      </c>
      <c r="J1191">
        <v>6</v>
      </c>
      <c r="K1191">
        <v>4</v>
      </c>
      <c r="L1191">
        <v>2</v>
      </c>
      <c r="M1191">
        <v>0</v>
      </c>
    </row>
    <row r="1192" spans="1:13" x14ac:dyDescent="0.35">
      <c r="A1192">
        <v>19</v>
      </c>
      <c r="B1192" t="s">
        <v>13</v>
      </c>
      <c r="C1192">
        <v>5.7</v>
      </c>
      <c r="D1192" t="s">
        <v>17</v>
      </c>
      <c r="E1192">
        <v>6.4</v>
      </c>
      <c r="F1192">
        <v>0.9</v>
      </c>
      <c r="G1192">
        <v>3.57</v>
      </c>
      <c r="H1192">
        <v>1.5</v>
      </c>
      <c r="I1192" t="s">
        <v>18</v>
      </c>
      <c r="J1192">
        <v>3</v>
      </c>
      <c r="K1192">
        <v>7</v>
      </c>
      <c r="L1192">
        <v>2</v>
      </c>
      <c r="M1192">
        <v>0</v>
      </c>
    </row>
    <row r="1193" spans="1:13" x14ac:dyDescent="0.35">
      <c r="A1193">
        <v>19</v>
      </c>
      <c r="B1193" t="s">
        <v>13</v>
      </c>
      <c r="C1193">
        <v>1.4</v>
      </c>
      <c r="D1193" t="s">
        <v>20</v>
      </c>
      <c r="E1193">
        <v>4.7</v>
      </c>
      <c r="F1193">
        <v>0.5</v>
      </c>
      <c r="G1193">
        <v>3.57</v>
      </c>
      <c r="H1193">
        <v>1.7</v>
      </c>
      <c r="I1193" t="s">
        <v>18</v>
      </c>
      <c r="J1193">
        <v>1</v>
      </c>
      <c r="K1193">
        <v>5</v>
      </c>
      <c r="L1193">
        <v>6</v>
      </c>
      <c r="M1193">
        <v>0</v>
      </c>
    </row>
    <row r="1194" spans="1:13" x14ac:dyDescent="0.35">
      <c r="A1194">
        <v>19</v>
      </c>
      <c r="B1194" t="s">
        <v>13</v>
      </c>
      <c r="C1194">
        <v>2.9</v>
      </c>
      <c r="D1194" t="s">
        <v>14</v>
      </c>
      <c r="E1194">
        <v>8.6999999999999993</v>
      </c>
      <c r="F1194">
        <v>0.9</v>
      </c>
      <c r="G1194">
        <v>2.99</v>
      </c>
      <c r="H1194">
        <v>0.8</v>
      </c>
      <c r="I1194" t="s">
        <v>19</v>
      </c>
      <c r="J1194">
        <v>7</v>
      </c>
      <c r="K1194">
        <v>8</v>
      </c>
      <c r="L1194">
        <v>2</v>
      </c>
      <c r="M1194">
        <v>0</v>
      </c>
    </row>
    <row r="1195" spans="1:13" x14ac:dyDescent="0.35">
      <c r="A1195">
        <v>19</v>
      </c>
      <c r="B1195" t="s">
        <v>13</v>
      </c>
      <c r="C1195">
        <v>1.6</v>
      </c>
      <c r="D1195" t="s">
        <v>17</v>
      </c>
      <c r="E1195">
        <v>8.6</v>
      </c>
      <c r="F1195">
        <v>1.4</v>
      </c>
      <c r="G1195">
        <v>2.69</v>
      </c>
      <c r="H1195">
        <v>1.6</v>
      </c>
      <c r="I1195" t="s">
        <v>19</v>
      </c>
      <c r="J1195">
        <v>4</v>
      </c>
      <c r="K1195">
        <v>3</v>
      </c>
      <c r="L1195">
        <v>4</v>
      </c>
      <c r="M1195">
        <v>0</v>
      </c>
    </row>
    <row r="1196" spans="1:13" x14ac:dyDescent="0.35">
      <c r="A1196">
        <v>19</v>
      </c>
      <c r="B1196" t="s">
        <v>13</v>
      </c>
      <c r="C1196">
        <v>2</v>
      </c>
      <c r="D1196" t="s">
        <v>17</v>
      </c>
      <c r="E1196">
        <v>4.3</v>
      </c>
      <c r="F1196">
        <v>0.8</v>
      </c>
      <c r="G1196">
        <v>3.4</v>
      </c>
      <c r="H1196">
        <v>0.7</v>
      </c>
      <c r="I1196" t="s">
        <v>15</v>
      </c>
      <c r="J1196">
        <v>8</v>
      </c>
      <c r="K1196">
        <v>1</v>
      </c>
      <c r="L1196">
        <v>1</v>
      </c>
      <c r="M1196">
        <v>0</v>
      </c>
    </row>
    <row r="1197" spans="1:13" x14ac:dyDescent="0.35">
      <c r="A1197">
        <v>19</v>
      </c>
      <c r="B1197" t="s">
        <v>13</v>
      </c>
      <c r="C1197">
        <v>5.3</v>
      </c>
      <c r="D1197" t="s">
        <v>14</v>
      </c>
      <c r="E1197">
        <v>4.7</v>
      </c>
      <c r="F1197">
        <v>2.8</v>
      </c>
      <c r="G1197">
        <v>2.82</v>
      </c>
      <c r="H1197">
        <v>0.3</v>
      </c>
      <c r="I1197" t="s">
        <v>18</v>
      </c>
      <c r="J1197">
        <v>1</v>
      </c>
      <c r="K1197">
        <v>9</v>
      </c>
      <c r="L1197">
        <v>6</v>
      </c>
      <c r="M1197">
        <v>0</v>
      </c>
    </row>
    <row r="1198" spans="1:13" x14ac:dyDescent="0.35">
      <c r="A1198">
        <v>19</v>
      </c>
      <c r="B1198" t="s">
        <v>13</v>
      </c>
      <c r="C1198">
        <v>4</v>
      </c>
      <c r="D1198" t="s">
        <v>14</v>
      </c>
      <c r="E1198">
        <v>7.8</v>
      </c>
      <c r="F1198">
        <v>0.6</v>
      </c>
      <c r="G1198">
        <v>3.61</v>
      </c>
      <c r="H1198">
        <v>1.7</v>
      </c>
      <c r="I1198" t="s">
        <v>18</v>
      </c>
      <c r="J1198">
        <v>2</v>
      </c>
      <c r="K1198">
        <v>7</v>
      </c>
      <c r="L1198">
        <v>9</v>
      </c>
      <c r="M1198">
        <v>0</v>
      </c>
    </row>
    <row r="1199" spans="1:13" x14ac:dyDescent="0.35">
      <c r="A1199">
        <v>19</v>
      </c>
      <c r="B1199" t="s">
        <v>13</v>
      </c>
      <c r="C1199">
        <v>1.4</v>
      </c>
      <c r="D1199" t="s">
        <v>20</v>
      </c>
      <c r="E1199">
        <v>4.5</v>
      </c>
      <c r="F1199">
        <v>2.2999999999999998</v>
      </c>
      <c r="G1199">
        <v>3.9</v>
      </c>
      <c r="H1199">
        <v>0</v>
      </c>
      <c r="I1199" t="s">
        <v>19</v>
      </c>
      <c r="J1199">
        <v>2</v>
      </c>
      <c r="K1199">
        <v>8</v>
      </c>
      <c r="L1199">
        <v>10</v>
      </c>
      <c r="M1199">
        <v>0</v>
      </c>
    </row>
    <row r="1200" spans="1:13" x14ac:dyDescent="0.35">
      <c r="A1200">
        <v>19</v>
      </c>
      <c r="B1200" t="s">
        <v>13</v>
      </c>
      <c r="C1200">
        <v>2.4</v>
      </c>
      <c r="D1200" t="s">
        <v>17</v>
      </c>
      <c r="E1200">
        <v>9</v>
      </c>
      <c r="F1200">
        <v>2.4</v>
      </c>
      <c r="G1200">
        <v>3.13</v>
      </c>
      <c r="H1200">
        <v>0.5</v>
      </c>
      <c r="I1200" t="s">
        <v>18</v>
      </c>
      <c r="J1200">
        <v>5</v>
      </c>
      <c r="K1200">
        <v>3</v>
      </c>
      <c r="L1200">
        <v>3</v>
      </c>
      <c r="M1200">
        <v>0</v>
      </c>
    </row>
    <row r="1201" spans="1:13" x14ac:dyDescent="0.35">
      <c r="A1201">
        <v>19</v>
      </c>
      <c r="B1201" t="s">
        <v>13</v>
      </c>
      <c r="C1201">
        <v>8</v>
      </c>
      <c r="D1201" t="s">
        <v>17</v>
      </c>
      <c r="E1201">
        <v>4.7</v>
      </c>
      <c r="F1201">
        <v>0.5</v>
      </c>
      <c r="G1201">
        <v>2.1800000000000002</v>
      </c>
      <c r="H1201">
        <v>0.6</v>
      </c>
      <c r="I1201" t="s">
        <v>19</v>
      </c>
      <c r="J1201">
        <v>8</v>
      </c>
      <c r="K1201">
        <v>8</v>
      </c>
      <c r="L1201">
        <v>6</v>
      </c>
      <c r="M1201">
        <v>1</v>
      </c>
    </row>
  </sheetData>
  <mergeCells count="3">
    <mergeCell ref="O2:AD2"/>
    <mergeCell ref="O16:O18"/>
    <mergeCell ref="O27:O30"/>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6209F-919B-4291-A406-FAB5B15F2C3D}">
  <sheetPr codeName="Sheet3"/>
  <dimension ref="A1:Q1205"/>
  <sheetViews>
    <sheetView topLeftCell="G1" workbookViewId="0">
      <selection activeCell="G1" sqref="A1:XFD1048576"/>
    </sheetView>
  </sheetViews>
  <sheetFormatPr defaultRowHeight="14.5" x14ac:dyDescent="0.35"/>
  <cols>
    <col min="3" max="3" width="24.36328125" customWidth="1"/>
    <col min="4" max="4" width="15.7265625" customWidth="1"/>
    <col min="5" max="5" width="12.90625" customWidth="1"/>
    <col min="6" max="6" width="24.6328125" customWidth="1"/>
    <col min="7" max="7" width="22.6328125" customWidth="1"/>
    <col min="8" max="8" width="16.90625" customWidth="1"/>
    <col min="9" max="9" width="22.6328125" hidden="1" customWidth="1"/>
    <col min="10" max="10" width="12.6328125" customWidth="1"/>
    <col min="11" max="11" width="13.7265625" customWidth="1"/>
    <col min="12" max="12" width="15.6328125" customWidth="1"/>
    <col min="13" max="13" width="17.08984375" customWidth="1"/>
    <col min="15" max="15" width="22.7265625" customWidth="1"/>
    <col min="16" max="16" width="16.453125" bestFit="1" customWidth="1"/>
  </cols>
  <sheetData>
    <row r="1" spans="1:17" x14ac:dyDescent="0.35">
      <c r="A1" t="s">
        <v>0</v>
      </c>
      <c r="B1" t="s">
        <v>1</v>
      </c>
      <c r="C1" t="s">
        <v>2</v>
      </c>
      <c r="D1" t="s">
        <v>3</v>
      </c>
      <c r="E1" t="s">
        <v>4</v>
      </c>
      <c r="F1" t="s">
        <v>5</v>
      </c>
      <c r="G1" t="s">
        <v>6</v>
      </c>
      <c r="H1" t="s">
        <v>7</v>
      </c>
      <c r="I1" t="s">
        <v>8</v>
      </c>
      <c r="J1" t="s">
        <v>9</v>
      </c>
      <c r="K1" t="s">
        <v>10</v>
      </c>
      <c r="L1" t="s">
        <v>11</v>
      </c>
      <c r="M1" t="s">
        <v>12</v>
      </c>
      <c r="N1" t="s">
        <v>85</v>
      </c>
      <c r="O1" t="s">
        <v>100</v>
      </c>
      <c r="P1" t="s">
        <v>122</v>
      </c>
      <c r="Q1" t="s">
        <v>125</v>
      </c>
    </row>
    <row r="2" spans="1:17" x14ac:dyDescent="0.35">
      <c r="A2">
        <v>14</v>
      </c>
      <c r="B2" t="s">
        <v>13</v>
      </c>
      <c r="C2" s="4">
        <v>7.9</v>
      </c>
      <c r="D2" t="s">
        <v>14</v>
      </c>
      <c r="E2" s="4">
        <v>7.4</v>
      </c>
      <c r="F2" s="4">
        <v>2.9</v>
      </c>
      <c r="G2">
        <v>3.01</v>
      </c>
      <c r="H2">
        <v>1.5</v>
      </c>
      <c r="I2" t="s">
        <v>15</v>
      </c>
      <c r="J2">
        <v>2</v>
      </c>
      <c r="K2">
        <v>2</v>
      </c>
      <c r="L2">
        <v>1</v>
      </c>
      <c r="M2">
        <v>0</v>
      </c>
      <c r="N2">
        <f>_xlfn.IFS(rounded[[#This Row],[social_interaction_level]] = "low", 1,rounded[[#This Row],[social_interaction_level]] = "medium", 2,rounded[[#This Row],[social_interaction_level]] = "high", 3)</f>
        <v>1</v>
      </c>
      <c r="O2">
        <f t="shared" ref="O2:O65" si="0">SUM(J2+K2+L2)</f>
        <v>5</v>
      </c>
      <c r="P2" t="str" cm="1">
        <f t="array" ref="P2">_xlfn.SWITCH(rounded[[#This Row],[depression_label]], 0, "Not Depressed", 1, "Depressed")</f>
        <v>Not Depressed</v>
      </c>
      <c r="Q2" s="45" t="str" cm="1">
        <f t="array" ref="Q2">_xlfn.SWITCH(rounded[[#This Row],[gender]], "male", "Male", "female", "Female")</f>
        <v>Male</v>
      </c>
    </row>
    <row r="3" spans="1:17" x14ac:dyDescent="0.35">
      <c r="A3">
        <v>19</v>
      </c>
      <c r="B3" t="s">
        <v>16</v>
      </c>
      <c r="C3" s="4">
        <v>1.9</v>
      </c>
      <c r="D3" t="s">
        <v>17</v>
      </c>
      <c r="E3" s="4">
        <v>8</v>
      </c>
      <c r="F3" s="4">
        <v>2.9</v>
      </c>
      <c r="G3">
        <v>3.22</v>
      </c>
      <c r="H3">
        <v>0.8</v>
      </c>
      <c r="I3" t="s">
        <v>18</v>
      </c>
      <c r="J3">
        <v>8</v>
      </c>
      <c r="K3">
        <v>1</v>
      </c>
      <c r="L3">
        <v>10</v>
      </c>
      <c r="M3">
        <v>0</v>
      </c>
      <c r="N3">
        <f>_xlfn.IFS(rounded[[#This Row],[social_interaction_level]] = "low", 1,rounded[[#This Row],[social_interaction_level]] = "medium", 2,rounded[[#This Row],[social_interaction_level]] = "high", 3)</f>
        <v>3</v>
      </c>
      <c r="O3">
        <f t="shared" si="0"/>
        <v>19</v>
      </c>
      <c r="P3" t="str" cm="1">
        <f t="array" ref="P3">_xlfn.SWITCH(rounded[[#This Row],[depression_label]], 0, "Not Depressed", 1, "Depressed")</f>
        <v>Not Depressed</v>
      </c>
      <c r="Q3" s="45" t="str" cm="1">
        <f t="array" ref="Q3">_xlfn.SWITCH(rounded[[#This Row],[gender]], "male", "Male", "female", "Female")</f>
        <v>Female</v>
      </c>
    </row>
    <row r="4" spans="1:17" x14ac:dyDescent="0.35">
      <c r="A4">
        <v>17</v>
      </c>
      <c r="B4" t="s">
        <v>16</v>
      </c>
      <c r="C4" s="4">
        <v>1.3</v>
      </c>
      <c r="D4" t="s">
        <v>14</v>
      </c>
      <c r="E4" s="4">
        <v>7.6</v>
      </c>
      <c r="F4" s="4">
        <v>0.5</v>
      </c>
      <c r="G4">
        <v>3.92</v>
      </c>
      <c r="H4">
        <v>0</v>
      </c>
      <c r="I4" t="s">
        <v>18</v>
      </c>
      <c r="J4">
        <v>2</v>
      </c>
      <c r="K4">
        <v>4</v>
      </c>
      <c r="L4">
        <v>2</v>
      </c>
      <c r="M4">
        <v>0</v>
      </c>
      <c r="N4">
        <f>_xlfn.IFS(rounded[[#This Row],[social_interaction_level]] = "low", 1,rounded[[#This Row],[social_interaction_level]] = "medium", 2,rounded[[#This Row],[social_interaction_level]] = "high", 3)</f>
        <v>3</v>
      </c>
      <c r="O4">
        <f t="shared" si="0"/>
        <v>8</v>
      </c>
      <c r="P4" t="str" cm="1">
        <f t="array" ref="P4">_xlfn.SWITCH(rounded[[#This Row],[depression_label]], 0, "Not Depressed", 1, "Depressed")</f>
        <v>Not Depressed</v>
      </c>
      <c r="Q4" s="45" t="str" cm="1">
        <f t="array" ref="Q4">_xlfn.SWITCH(rounded[[#This Row],[gender]], "male", "Male", "female", "Female")</f>
        <v>Female</v>
      </c>
    </row>
    <row r="5" spans="1:17" x14ac:dyDescent="0.35">
      <c r="A5">
        <v>15</v>
      </c>
      <c r="B5" t="s">
        <v>13</v>
      </c>
      <c r="C5" s="4">
        <v>7.4</v>
      </c>
      <c r="D5" t="s">
        <v>17</v>
      </c>
      <c r="E5" s="4">
        <v>6.9</v>
      </c>
      <c r="F5" s="4">
        <v>1.6</v>
      </c>
      <c r="G5">
        <v>3.48</v>
      </c>
      <c r="H5">
        <v>0.8</v>
      </c>
      <c r="I5" t="s">
        <v>19</v>
      </c>
      <c r="J5">
        <v>1</v>
      </c>
      <c r="K5">
        <v>7</v>
      </c>
      <c r="L5">
        <v>9</v>
      </c>
      <c r="M5">
        <v>0</v>
      </c>
      <c r="N5">
        <f>_xlfn.IFS(rounded[[#This Row],[social_interaction_level]] = "low", 1,rounded[[#This Row],[social_interaction_level]] = "medium", 2,rounded[[#This Row],[social_interaction_level]] = "high", 3)</f>
        <v>2</v>
      </c>
      <c r="O5">
        <f t="shared" si="0"/>
        <v>17</v>
      </c>
      <c r="P5" t="str" cm="1">
        <f t="array" ref="P5">_xlfn.SWITCH(rounded[[#This Row],[depression_label]], 0, "Not Depressed", 1, "Depressed")</f>
        <v>Not Depressed</v>
      </c>
      <c r="Q5" s="45" t="str" cm="1">
        <f t="array" ref="Q5">_xlfn.SWITCH(rounded[[#This Row],[gender]], "male", "Male", "female", "Female")</f>
        <v>Male</v>
      </c>
    </row>
    <row r="6" spans="1:17" x14ac:dyDescent="0.35">
      <c r="A6">
        <v>15</v>
      </c>
      <c r="B6" t="s">
        <v>16</v>
      </c>
      <c r="C6" s="4">
        <v>4.7</v>
      </c>
      <c r="D6" t="s">
        <v>20</v>
      </c>
      <c r="E6" s="4">
        <v>4.9000000000000004</v>
      </c>
      <c r="F6" s="4">
        <v>3</v>
      </c>
      <c r="G6">
        <v>2.37</v>
      </c>
      <c r="H6">
        <v>1.4</v>
      </c>
      <c r="I6" t="s">
        <v>19</v>
      </c>
      <c r="J6">
        <v>3</v>
      </c>
      <c r="K6">
        <v>5</v>
      </c>
      <c r="L6">
        <v>2</v>
      </c>
      <c r="M6">
        <v>0</v>
      </c>
      <c r="N6">
        <f>_xlfn.IFS(rounded[[#This Row],[social_interaction_level]] = "low", 1,rounded[[#This Row],[social_interaction_level]] = "medium", 2,rounded[[#This Row],[social_interaction_level]] = "high", 3)</f>
        <v>2</v>
      </c>
      <c r="O6">
        <f t="shared" si="0"/>
        <v>10</v>
      </c>
      <c r="P6" t="str" cm="1">
        <f t="array" ref="P6">_xlfn.SWITCH(rounded[[#This Row],[depression_label]], 0, "Not Depressed", 1, "Depressed")</f>
        <v>Not Depressed</v>
      </c>
      <c r="Q6" s="45" t="str" cm="1">
        <f t="array" ref="Q6">_xlfn.SWITCH(rounded[[#This Row],[gender]], "male", "Male", "female", "Female")</f>
        <v>Female</v>
      </c>
    </row>
    <row r="7" spans="1:17" x14ac:dyDescent="0.35">
      <c r="A7">
        <v>19</v>
      </c>
      <c r="B7" t="s">
        <v>16</v>
      </c>
      <c r="C7" s="4">
        <v>7.4</v>
      </c>
      <c r="D7" t="s">
        <v>20</v>
      </c>
      <c r="E7" s="4">
        <v>4.4000000000000004</v>
      </c>
      <c r="F7" s="4">
        <v>2.4</v>
      </c>
      <c r="G7">
        <v>2.63</v>
      </c>
      <c r="H7">
        <v>0.6</v>
      </c>
      <c r="I7" t="s">
        <v>18</v>
      </c>
      <c r="J7">
        <v>3</v>
      </c>
      <c r="K7">
        <v>5</v>
      </c>
      <c r="L7">
        <v>7</v>
      </c>
      <c r="M7">
        <v>0</v>
      </c>
      <c r="N7">
        <f>_xlfn.IFS(rounded[[#This Row],[social_interaction_level]] = "low", 1,rounded[[#This Row],[social_interaction_level]] = "medium", 2,rounded[[#This Row],[social_interaction_level]] = "high", 3)</f>
        <v>3</v>
      </c>
      <c r="O7">
        <f t="shared" si="0"/>
        <v>15</v>
      </c>
      <c r="P7" t="str" cm="1">
        <f t="array" ref="P7">_xlfn.SWITCH(rounded[[#This Row],[depression_label]], 0, "Not Depressed", 1, "Depressed")</f>
        <v>Not Depressed</v>
      </c>
      <c r="Q7" s="45" t="str" cm="1">
        <f t="array" ref="Q7">_xlfn.SWITCH(rounded[[#This Row],[gender]], "male", "Male", "female", "Female")</f>
        <v>Female</v>
      </c>
    </row>
    <row r="8" spans="1:17" x14ac:dyDescent="0.35">
      <c r="A8">
        <v>18</v>
      </c>
      <c r="B8" t="s">
        <v>16</v>
      </c>
      <c r="C8" s="4">
        <v>2.5</v>
      </c>
      <c r="D8" t="s">
        <v>14</v>
      </c>
      <c r="E8" s="4">
        <v>6.4</v>
      </c>
      <c r="F8" s="4">
        <v>2.4</v>
      </c>
      <c r="G8">
        <v>2.63</v>
      </c>
      <c r="H8">
        <v>0.7</v>
      </c>
      <c r="I8" t="s">
        <v>15</v>
      </c>
      <c r="J8">
        <v>2</v>
      </c>
      <c r="K8">
        <v>2</v>
      </c>
      <c r="L8">
        <v>5</v>
      </c>
      <c r="M8">
        <v>0</v>
      </c>
      <c r="N8">
        <f>_xlfn.IFS(rounded[[#This Row],[social_interaction_level]] = "low", 1,rounded[[#This Row],[social_interaction_level]] = "medium", 2,rounded[[#This Row],[social_interaction_level]] = "high", 3)</f>
        <v>1</v>
      </c>
      <c r="O8">
        <f t="shared" si="0"/>
        <v>9</v>
      </c>
      <c r="P8" t="str" cm="1">
        <f t="array" ref="P8">_xlfn.SWITCH(rounded[[#This Row],[depression_label]], 0, "Not Depressed", 1, "Depressed")</f>
        <v>Not Depressed</v>
      </c>
      <c r="Q8" s="45" t="str" cm="1">
        <f t="array" ref="Q8">_xlfn.SWITCH(rounded[[#This Row],[gender]], "male", "Male", "female", "Female")</f>
        <v>Female</v>
      </c>
    </row>
    <row r="9" spans="1:17" x14ac:dyDescent="0.35">
      <c r="A9">
        <v>16</v>
      </c>
      <c r="B9" t="s">
        <v>13</v>
      </c>
      <c r="C9" s="4">
        <v>4</v>
      </c>
      <c r="D9" t="s">
        <v>20</v>
      </c>
      <c r="E9" s="4">
        <v>4.2</v>
      </c>
      <c r="F9" s="4">
        <v>0.5</v>
      </c>
      <c r="G9">
        <v>2.4</v>
      </c>
      <c r="H9">
        <v>1.3</v>
      </c>
      <c r="I9" t="s">
        <v>15</v>
      </c>
      <c r="J9">
        <v>6</v>
      </c>
      <c r="K9">
        <v>10</v>
      </c>
      <c r="L9">
        <v>5</v>
      </c>
      <c r="M9">
        <v>0</v>
      </c>
      <c r="N9">
        <f>_xlfn.IFS(rounded[[#This Row],[social_interaction_level]] = "low", 1,rounded[[#This Row],[social_interaction_level]] = "medium", 2,rounded[[#This Row],[social_interaction_level]] = "high", 3)</f>
        <v>1</v>
      </c>
      <c r="O9">
        <f t="shared" si="0"/>
        <v>21</v>
      </c>
      <c r="P9" t="str" cm="1">
        <f t="array" ref="P9">_xlfn.SWITCH(rounded[[#This Row],[depression_label]], 0, "Not Depressed", 1, "Depressed")</f>
        <v>Not Depressed</v>
      </c>
      <c r="Q9" s="45" t="str" cm="1">
        <f t="array" ref="Q9">_xlfn.SWITCH(rounded[[#This Row],[gender]], "male", "Male", "female", "Female")</f>
        <v>Male</v>
      </c>
    </row>
    <row r="10" spans="1:17" x14ac:dyDescent="0.35">
      <c r="A10">
        <v>19</v>
      </c>
      <c r="B10" t="s">
        <v>16</v>
      </c>
      <c r="C10" s="4">
        <v>3.3</v>
      </c>
      <c r="D10" t="s">
        <v>17</v>
      </c>
      <c r="E10" s="4">
        <v>5</v>
      </c>
      <c r="F10" s="4">
        <v>2.1</v>
      </c>
      <c r="G10">
        <v>2.04</v>
      </c>
      <c r="H10">
        <v>0.9</v>
      </c>
      <c r="I10" t="s">
        <v>18</v>
      </c>
      <c r="J10">
        <v>1</v>
      </c>
      <c r="K10">
        <v>10</v>
      </c>
      <c r="L10">
        <v>9</v>
      </c>
      <c r="M10">
        <v>0</v>
      </c>
      <c r="N10">
        <f>_xlfn.IFS(rounded[[#This Row],[social_interaction_level]] = "low", 1,rounded[[#This Row],[social_interaction_level]] = "medium", 2,rounded[[#This Row],[social_interaction_level]] = "high", 3)</f>
        <v>3</v>
      </c>
      <c r="O10">
        <f t="shared" si="0"/>
        <v>20</v>
      </c>
      <c r="P10" t="str" cm="1">
        <f t="array" ref="P10">_xlfn.SWITCH(rounded[[#This Row],[depression_label]], 0, "Not Depressed", 1, "Depressed")</f>
        <v>Not Depressed</v>
      </c>
      <c r="Q10" s="45" t="str" cm="1">
        <f t="array" ref="Q10">_xlfn.SWITCH(rounded[[#This Row],[gender]], "male", "Male", "female", "Female")</f>
        <v>Female</v>
      </c>
    </row>
    <row r="11" spans="1:17" x14ac:dyDescent="0.35">
      <c r="A11">
        <v>15</v>
      </c>
      <c r="B11" t="s">
        <v>13</v>
      </c>
      <c r="C11" s="4">
        <v>1.9</v>
      </c>
      <c r="D11" t="s">
        <v>17</v>
      </c>
      <c r="E11" s="4">
        <v>4.9000000000000004</v>
      </c>
      <c r="F11" s="4">
        <v>1.5</v>
      </c>
      <c r="G11">
        <v>3.77</v>
      </c>
      <c r="H11">
        <v>1.1000000000000001</v>
      </c>
      <c r="I11" t="s">
        <v>18</v>
      </c>
      <c r="J11">
        <v>1</v>
      </c>
      <c r="K11">
        <v>1</v>
      </c>
      <c r="L11">
        <v>4</v>
      </c>
      <c r="M11">
        <v>0</v>
      </c>
      <c r="N11">
        <f>_xlfn.IFS(rounded[[#This Row],[social_interaction_level]] = "low", 1,rounded[[#This Row],[social_interaction_level]] = "medium", 2,rounded[[#This Row],[social_interaction_level]] = "high", 3)</f>
        <v>3</v>
      </c>
      <c r="O11">
        <f t="shared" si="0"/>
        <v>6</v>
      </c>
      <c r="P11" t="str" cm="1">
        <f t="array" ref="P11">_xlfn.SWITCH(rounded[[#This Row],[depression_label]], 0, "Not Depressed", 1, "Depressed")</f>
        <v>Not Depressed</v>
      </c>
      <c r="Q11" s="45" t="str" cm="1">
        <f t="array" ref="Q11">_xlfn.SWITCH(rounded[[#This Row],[gender]], "male", "Male", "female", "Female")</f>
        <v>Male</v>
      </c>
    </row>
    <row r="12" spans="1:17" x14ac:dyDescent="0.35">
      <c r="A12">
        <v>16</v>
      </c>
      <c r="B12" t="s">
        <v>13</v>
      </c>
      <c r="C12" s="4">
        <v>7.2</v>
      </c>
      <c r="D12" t="s">
        <v>20</v>
      </c>
      <c r="E12" s="4">
        <v>5.8</v>
      </c>
      <c r="F12" s="4">
        <v>2.9</v>
      </c>
      <c r="G12">
        <v>3.16</v>
      </c>
      <c r="H12">
        <v>1.2</v>
      </c>
      <c r="I12" t="s">
        <v>19</v>
      </c>
      <c r="J12">
        <v>5</v>
      </c>
      <c r="K12">
        <v>8</v>
      </c>
      <c r="L12">
        <v>9</v>
      </c>
      <c r="M12">
        <v>0</v>
      </c>
      <c r="N12">
        <f>_xlfn.IFS(rounded[[#This Row],[social_interaction_level]] = "low", 1,rounded[[#This Row],[social_interaction_level]] = "medium", 2,rounded[[#This Row],[social_interaction_level]] = "high", 3)</f>
        <v>2</v>
      </c>
      <c r="O12">
        <f t="shared" si="0"/>
        <v>22</v>
      </c>
      <c r="P12" t="str" cm="1">
        <f t="array" ref="P12">_xlfn.SWITCH(rounded[[#This Row],[depression_label]], 0, "Not Depressed", 1, "Depressed")</f>
        <v>Not Depressed</v>
      </c>
      <c r="Q12" s="45" t="str" cm="1">
        <f t="array" ref="Q12">_xlfn.SWITCH(rounded[[#This Row],[gender]], "male", "Male", "female", "Female")</f>
        <v>Male</v>
      </c>
    </row>
    <row r="13" spans="1:17" x14ac:dyDescent="0.35">
      <c r="A13">
        <v>13</v>
      </c>
      <c r="B13" t="s">
        <v>13</v>
      </c>
      <c r="C13" s="4">
        <v>4.9000000000000004</v>
      </c>
      <c r="D13" t="s">
        <v>14</v>
      </c>
      <c r="E13" s="4">
        <v>4.7</v>
      </c>
      <c r="F13" s="4">
        <v>2.5</v>
      </c>
      <c r="G13">
        <v>3.92</v>
      </c>
      <c r="H13">
        <v>1.2</v>
      </c>
      <c r="I13" t="s">
        <v>15</v>
      </c>
      <c r="J13">
        <v>1</v>
      </c>
      <c r="K13">
        <v>10</v>
      </c>
      <c r="L13">
        <v>8</v>
      </c>
      <c r="M13">
        <v>0</v>
      </c>
      <c r="N13">
        <f>_xlfn.IFS(rounded[[#This Row],[social_interaction_level]] = "low", 1,rounded[[#This Row],[social_interaction_level]] = "medium", 2,rounded[[#This Row],[social_interaction_level]] = "high", 3)</f>
        <v>1</v>
      </c>
      <c r="O13">
        <f t="shared" si="0"/>
        <v>19</v>
      </c>
      <c r="P13" t="str" cm="1">
        <f t="array" ref="P13">_xlfn.SWITCH(rounded[[#This Row],[depression_label]], 0, "Not Depressed", 1, "Depressed")</f>
        <v>Not Depressed</v>
      </c>
      <c r="Q13" s="45" t="str" cm="1">
        <f t="array" ref="Q13">_xlfn.SWITCH(rounded[[#This Row],[gender]], "male", "Male", "female", "Female")</f>
        <v>Male</v>
      </c>
    </row>
    <row r="14" spans="1:17" x14ac:dyDescent="0.35">
      <c r="A14">
        <v>16</v>
      </c>
      <c r="B14" t="s">
        <v>13</v>
      </c>
      <c r="C14" s="4">
        <v>6.2</v>
      </c>
      <c r="D14" t="s">
        <v>20</v>
      </c>
      <c r="E14" s="4">
        <v>7.2</v>
      </c>
      <c r="F14" s="4">
        <v>2.6</v>
      </c>
      <c r="G14">
        <v>2.02</v>
      </c>
      <c r="H14">
        <v>1.7</v>
      </c>
      <c r="I14" t="s">
        <v>19</v>
      </c>
      <c r="J14">
        <v>5</v>
      </c>
      <c r="K14">
        <v>7</v>
      </c>
      <c r="L14">
        <v>6</v>
      </c>
      <c r="M14">
        <v>0</v>
      </c>
      <c r="N14">
        <f>_xlfn.IFS(rounded[[#This Row],[social_interaction_level]] = "low", 1,rounded[[#This Row],[social_interaction_level]] = "medium", 2,rounded[[#This Row],[social_interaction_level]] = "high", 3)</f>
        <v>2</v>
      </c>
      <c r="O14">
        <f t="shared" si="0"/>
        <v>18</v>
      </c>
      <c r="P14" t="str" cm="1">
        <f t="array" ref="P14">_xlfn.SWITCH(rounded[[#This Row],[depression_label]], 0, "Not Depressed", 1, "Depressed")</f>
        <v>Not Depressed</v>
      </c>
      <c r="Q14" s="45" t="str" cm="1">
        <f t="array" ref="Q14">_xlfn.SWITCH(rounded[[#This Row],[gender]], "male", "Male", "female", "Female")</f>
        <v>Male</v>
      </c>
    </row>
    <row r="15" spans="1:17" x14ac:dyDescent="0.35">
      <c r="A15">
        <v>17</v>
      </c>
      <c r="B15" t="s">
        <v>16</v>
      </c>
      <c r="C15" s="4">
        <v>6.8</v>
      </c>
      <c r="D15" t="s">
        <v>17</v>
      </c>
      <c r="E15" s="4">
        <v>5.7</v>
      </c>
      <c r="F15" s="4">
        <v>1.1000000000000001</v>
      </c>
      <c r="G15">
        <v>3.29</v>
      </c>
      <c r="H15">
        <v>1.3</v>
      </c>
      <c r="I15" t="s">
        <v>19</v>
      </c>
      <c r="J15">
        <v>1</v>
      </c>
      <c r="K15">
        <v>10</v>
      </c>
      <c r="L15">
        <v>10</v>
      </c>
      <c r="M15">
        <v>0</v>
      </c>
      <c r="N15">
        <f>_xlfn.IFS(rounded[[#This Row],[social_interaction_level]] = "low", 1,rounded[[#This Row],[social_interaction_level]] = "medium", 2,rounded[[#This Row],[social_interaction_level]] = "high", 3)</f>
        <v>2</v>
      </c>
      <c r="O15">
        <f t="shared" si="0"/>
        <v>21</v>
      </c>
      <c r="P15" t="str" cm="1">
        <f t="array" ref="P15">_xlfn.SWITCH(rounded[[#This Row],[depression_label]], 0, "Not Depressed", 1, "Depressed")</f>
        <v>Not Depressed</v>
      </c>
      <c r="Q15" s="45" t="str" cm="1">
        <f t="array" ref="Q15">_xlfn.SWITCH(rounded[[#This Row],[gender]], "male", "Male", "female", "Female")</f>
        <v>Female</v>
      </c>
    </row>
    <row r="16" spans="1:17" x14ac:dyDescent="0.35">
      <c r="A16">
        <v>15</v>
      </c>
      <c r="B16" t="s">
        <v>13</v>
      </c>
      <c r="C16" s="4">
        <v>5.7</v>
      </c>
      <c r="D16" t="s">
        <v>17</v>
      </c>
      <c r="E16" s="4">
        <v>5.9</v>
      </c>
      <c r="F16" s="4">
        <v>0.8</v>
      </c>
      <c r="G16">
        <v>3.5</v>
      </c>
      <c r="H16">
        <v>0.7</v>
      </c>
      <c r="I16" t="s">
        <v>15</v>
      </c>
      <c r="J16">
        <v>1</v>
      </c>
      <c r="K16">
        <v>9</v>
      </c>
      <c r="L16">
        <v>1</v>
      </c>
      <c r="M16">
        <v>0</v>
      </c>
      <c r="N16">
        <f>_xlfn.IFS(rounded[[#This Row],[social_interaction_level]] = "low", 1,rounded[[#This Row],[social_interaction_level]] = "medium", 2,rounded[[#This Row],[social_interaction_level]] = "high", 3)</f>
        <v>1</v>
      </c>
      <c r="O16">
        <f t="shared" si="0"/>
        <v>11</v>
      </c>
      <c r="P16" t="str" cm="1">
        <f t="array" ref="P16">_xlfn.SWITCH(rounded[[#This Row],[depression_label]], 0, "Not Depressed", 1, "Depressed")</f>
        <v>Not Depressed</v>
      </c>
      <c r="Q16" s="45" t="str" cm="1">
        <f t="array" ref="Q16">_xlfn.SWITCH(rounded[[#This Row],[gender]], "male", "Male", "female", "Female")</f>
        <v>Male</v>
      </c>
    </row>
    <row r="17" spans="1:17" x14ac:dyDescent="0.35">
      <c r="A17">
        <v>14</v>
      </c>
      <c r="B17" t="s">
        <v>16</v>
      </c>
      <c r="C17" s="4">
        <v>3.6</v>
      </c>
      <c r="D17" t="s">
        <v>20</v>
      </c>
      <c r="E17" s="4">
        <v>5.3</v>
      </c>
      <c r="F17" s="4">
        <v>0.6</v>
      </c>
      <c r="G17">
        <v>2.99</v>
      </c>
      <c r="H17">
        <v>0.3</v>
      </c>
      <c r="I17" t="s">
        <v>18</v>
      </c>
      <c r="J17">
        <v>4</v>
      </c>
      <c r="K17">
        <v>10</v>
      </c>
      <c r="L17">
        <v>2</v>
      </c>
      <c r="M17">
        <v>0</v>
      </c>
      <c r="N17">
        <f>_xlfn.IFS(rounded[[#This Row],[social_interaction_level]] = "low", 1,rounded[[#This Row],[social_interaction_level]] = "medium", 2,rounded[[#This Row],[social_interaction_level]] = "high", 3)</f>
        <v>3</v>
      </c>
      <c r="O17">
        <f t="shared" si="0"/>
        <v>16</v>
      </c>
      <c r="P17" t="str" cm="1">
        <f t="array" ref="P17">_xlfn.SWITCH(rounded[[#This Row],[depression_label]], 0, "Not Depressed", 1, "Depressed")</f>
        <v>Not Depressed</v>
      </c>
      <c r="Q17" s="45" t="str" cm="1">
        <f t="array" ref="Q17">_xlfn.SWITCH(rounded[[#This Row],[gender]], "male", "Male", "female", "Female")</f>
        <v>Female</v>
      </c>
    </row>
    <row r="18" spans="1:17" x14ac:dyDescent="0.35">
      <c r="A18">
        <v>13</v>
      </c>
      <c r="B18" t="s">
        <v>13</v>
      </c>
      <c r="C18" s="4">
        <v>1.5</v>
      </c>
      <c r="D18" t="s">
        <v>20</v>
      </c>
      <c r="E18" s="4">
        <v>4.2</v>
      </c>
      <c r="F18" s="4">
        <v>1.4</v>
      </c>
      <c r="G18">
        <v>2.59</v>
      </c>
      <c r="H18">
        <v>0.5</v>
      </c>
      <c r="I18" t="s">
        <v>18</v>
      </c>
      <c r="J18">
        <v>4</v>
      </c>
      <c r="K18">
        <v>5</v>
      </c>
      <c r="L18">
        <v>8</v>
      </c>
      <c r="M18">
        <v>0</v>
      </c>
      <c r="N18">
        <f>_xlfn.IFS(rounded[[#This Row],[social_interaction_level]] = "low", 1,rounded[[#This Row],[social_interaction_level]] = "medium", 2,rounded[[#This Row],[social_interaction_level]] = "high", 3)</f>
        <v>3</v>
      </c>
      <c r="O18">
        <f t="shared" si="0"/>
        <v>17</v>
      </c>
      <c r="P18" t="str" cm="1">
        <f t="array" ref="P18">_xlfn.SWITCH(rounded[[#This Row],[depression_label]], 0, "Not Depressed", 1, "Depressed")</f>
        <v>Not Depressed</v>
      </c>
      <c r="Q18" s="45" t="str" cm="1">
        <f t="array" ref="Q18">_xlfn.SWITCH(rounded[[#This Row],[gender]], "male", "Male", "female", "Female")</f>
        <v>Male</v>
      </c>
    </row>
    <row r="19" spans="1:17" x14ac:dyDescent="0.35">
      <c r="A19">
        <v>16</v>
      </c>
      <c r="B19" t="s">
        <v>13</v>
      </c>
      <c r="C19" s="4">
        <v>3.1</v>
      </c>
      <c r="D19" t="s">
        <v>20</v>
      </c>
      <c r="E19" s="4">
        <v>6.1</v>
      </c>
      <c r="F19" s="4">
        <v>0.8</v>
      </c>
      <c r="G19">
        <v>2.11</v>
      </c>
      <c r="H19">
        <v>1.9</v>
      </c>
      <c r="I19" t="s">
        <v>18</v>
      </c>
      <c r="J19">
        <v>10</v>
      </c>
      <c r="K19">
        <v>7</v>
      </c>
      <c r="L19">
        <v>10</v>
      </c>
      <c r="M19">
        <v>0</v>
      </c>
      <c r="N19">
        <f>_xlfn.IFS(rounded[[#This Row],[social_interaction_level]] = "low", 1,rounded[[#This Row],[social_interaction_level]] = "medium", 2,rounded[[#This Row],[social_interaction_level]] = "high", 3)</f>
        <v>3</v>
      </c>
      <c r="O19">
        <f t="shared" si="0"/>
        <v>27</v>
      </c>
      <c r="P19" t="str" cm="1">
        <f t="array" ref="P19">_xlfn.SWITCH(rounded[[#This Row],[depression_label]], 0, "Not Depressed", 1, "Depressed")</f>
        <v>Not Depressed</v>
      </c>
      <c r="Q19" s="45" t="str" cm="1">
        <f t="array" ref="Q19">_xlfn.SWITCH(rounded[[#This Row],[gender]], "male", "Male", "female", "Female")</f>
        <v>Male</v>
      </c>
    </row>
    <row r="20" spans="1:17" x14ac:dyDescent="0.35">
      <c r="A20">
        <v>16</v>
      </c>
      <c r="B20" t="s">
        <v>16</v>
      </c>
      <c r="C20" s="4">
        <v>6.7</v>
      </c>
      <c r="D20" t="s">
        <v>20</v>
      </c>
      <c r="E20" s="4">
        <v>6.8</v>
      </c>
      <c r="F20" s="4">
        <v>1.9</v>
      </c>
      <c r="G20">
        <v>3.08</v>
      </c>
      <c r="H20">
        <v>1.4</v>
      </c>
      <c r="I20" t="s">
        <v>18</v>
      </c>
      <c r="J20">
        <v>10</v>
      </c>
      <c r="K20">
        <v>9</v>
      </c>
      <c r="L20">
        <v>1</v>
      </c>
      <c r="M20">
        <v>0</v>
      </c>
      <c r="N20">
        <f>_xlfn.IFS(rounded[[#This Row],[social_interaction_level]] = "low", 1,rounded[[#This Row],[social_interaction_level]] = "medium", 2,rounded[[#This Row],[social_interaction_level]] = "high", 3)</f>
        <v>3</v>
      </c>
      <c r="O20">
        <f t="shared" si="0"/>
        <v>20</v>
      </c>
      <c r="P20" t="str" cm="1">
        <f t="array" ref="P20">_xlfn.SWITCH(rounded[[#This Row],[depression_label]], 0, "Not Depressed", 1, "Depressed")</f>
        <v>Not Depressed</v>
      </c>
      <c r="Q20" s="45" t="str" cm="1">
        <f t="array" ref="Q20">_xlfn.SWITCH(rounded[[#This Row],[gender]], "male", "Male", "female", "Female")</f>
        <v>Female</v>
      </c>
    </row>
    <row r="21" spans="1:17" x14ac:dyDescent="0.35">
      <c r="A21">
        <v>14</v>
      </c>
      <c r="B21" t="s">
        <v>16</v>
      </c>
      <c r="C21" s="4">
        <v>1.2</v>
      </c>
      <c r="D21" t="s">
        <v>14</v>
      </c>
      <c r="E21" s="4">
        <v>7.6</v>
      </c>
      <c r="F21" s="4">
        <v>1</v>
      </c>
      <c r="G21">
        <v>3.85</v>
      </c>
      <c r="H21">
        <v>0.8</v>
      </c>
      <c r="I21" t="s">
        <v>18</v>
      </c>
      <c r="J21">
        <v>8</v>
      </c>
      <c r="K21">
        <v>4</v>
      </c>
      <c r="L21">
        <v>6</v>
      </c>
      <c r="M21">
        <v>0</v>
      </c>
      <c r="N21">
        <f>_xlfn.IFS(rounded[[#This Row],[social_interaction_level]] = "low", 1,rounded[[#This Row],[social_interaction_level]] = "medium", 2,rounded[[#This Row],[social_interaction_level]] = "high", 3)</f>
        <v>3</v>
      </c>
      <c r="O21">
        <f t="shared" si="0"/>
        <v>18</v>
      </c>
      <c r="P21" t="str" cm="1">
        <f t="array" ref="P21">_xlfn.SWITCH(rounded[[#This Row],[depression_label]], 0, "Not Depressed", 1, "Depressed")</f>
        <v>Not Depressed</v>
      </c>
      <c r="Q21" s="45" t="str" cm="1">
        <f t="array" ref="Q21">_xlfn.SWITCH(rounded[[#This Row],[gender]], "male", "Male", "female", "Female")</f>
        <v>Female</v>
      </c>
    </row>
    <row r="22" spans="1:17" x14ac:dyDescent="0.35">
      <c r="A22">
        <v>16</v>
      </c>
      <c r="B22" t="s">
        <v>13</v>
      </c>
      <c r="C22" s="4">
        <v>3.4</v>
      </c>
      <c r="D22" t="s">
        <v>17</v>
      </c>
      <c r="E22" s="4">
        <v>4.5999999999999996</v>
      </c>
      <c r="F22" s="4">
        <v>2.1</v>
      </c>
      <c r="G22">
        <v>2.2400000000000002</v>
      </c>
      <c r="H22">
        <v>0.4</v>
      </c>
      <c r="I22" t="s">
        <v>18</v>
      </c>
      <c r="J22">
        <v>4</v>
      </c>
      <c r="K22">
        <v>1</v>
      </c>
      <c r="L22">
        <v>3</v>
      </c>
      <c r="M22">
        <v>0</v>
      </c>
      <c r="N22">
        <f>_xlfn.IFS(rounded[[#This Row],[social_interaction_level]] = "low", 1,rounded[[#This Row],[social_interaction_level]] = "medium", 2,rounded[[#This Row],[social_interaction_level]] = "high", 3)</f>
        <v>3</v>
      </c>
      <c r="O22">
        <f t="shared" si="0"/>
        <v>8</v>
      </c>
      <c r="P22" t="str" cm="1">
        <f t="array" ref="P22">_xlfn.SWITCH(rounded[[#This Row],[depression_label]], 0, "Not Depressed", 1, "Depressed")</f>
        <v>Not Depressed</v>
      </c>
      <c r="Q22" s="45" t="str" cm="1">
        <f t="array" ref="Q22">_xlfn.SWITCH(rounded[[#This Row],[gender]], "male", "Male", "female", "Female")</f>
        <v>Male</v>
      </c>
    </row>
    <row r="23" spans="1:17" x14ac:dyDescent="0.35">
      <c r="A23">
        <v>18</v>
      </c>
      <c r="B23" t="s">
        <v>13</v>
      </c>
      <c r="C23" s="4">
        <v>4.0999999999999996</v>
      </c>
      <c r="D23" t="s">
        <v>20</v>
      </c>
      <c r="E23" s="4">
        <v>7.4</v>
      </c>
      <c r="F23" s="4">
        <v>2.4</v>
      </c>
      <c r="G23">
        <v>2.38</v>
      </c>
      <c r="H23">
        <v>1.5</v>
      </c>
      <c r="I23" t="s">
        <v>19</v>
      </c>
      <c r="J23">
        <v>8</v>
      </c>
      <c r="K23">
        <v>4</v>
      </c>
      <c r="L23">
        <v>9</v>
      </c>
      <c r="M23">
        <v>0</v>
      </c>
      <c r="N23">
        <f>_xlfn.IFS(rounded[[#This Row],[social_interaction_level]] = "low", 1,rounded[[#This Row],[social_interaction_level]] = "medium", 2,rounded[[#This Row],[social_interaction_level]] = "high", 3)</f>
        <v>2</v>
      </c>
      <c r="O23">
        <f t="shared" si="0"/>
        <v>21</v>
      </c>
      <c r="P23" t="str" cm="1">
        <f t="array" ref="P23">_xlfn.SWITCH(rounded[[#This Row],[depression_label]], 0, "Not Depressed", 1, "Depressed")</f>
        <v>Not Depressed</v>
      </c>
      <c r="Q23" s="45" t="str" cm="1">
        <f t="array" ref="Q23">_xlfn.SWITCH(rounded[[#This Row],[gender]], "male", "Male", "female", "Female")</f>
        <v>Male</v>
      </c>
    </row>
    <row r="24" spans="1:17" x14ac:dyDescent="0.35">
      <c r="A24">
        <v>18</v>
      </c>
      <c r="B24" t="s">
        <v>13</v>
      </c>
      <c r="C24" s="4">
        <v>5.3</v>
      </c>
      <c r="D24" t="s">
        <v>14</v>
      </c>
      <c r="E24" s="4">
        <v>4.9000000000000004</v>
      </c>
      <c r="F24" s="4">
        <v>1.2</v>
      </c>
      <c r="G24">
        <v>3.69</v>
      </c>
      <c r="H24">
        <v>1.2</v>
      </c>
      <c r="I24" t="s">
        <v>15</v>
      </c>
      <c r="J24">
        <v>5</v>
      </c>
      <c r="K24">
        <v>4</v>
      </c>
      <c r="L24">
        <v>5</v>
      </c>
      <c r="M24">
        <v>0</v>
      </c>
      <c r="N24">
        <f>_xlfn.IFS(rounded[[#This Row],[social_interaction_level]] = "low", 1,rounded[[#This Row],[social_interaction_level]] = "medium", 2,rounded[[#This Row],[social_interaction_level]] = "high", 3)</f>
        <v>1</v>
      </c>
      <c r="O24">
        <f t="shared" si="0"/>
        <v>14</v>
      </c>
      <c r="P24" t="str" cm="1">
        <f t="array" ref="P24">_xlfn.SWITCH(rounded[[#This Row],[depression_label]], 0, "Not Depressed", 1, "Depressed")</f>
        <v>Not Depressed</v>
      </c>
      <c r="Q24" s="45" t="str" cm="1">
        <f t="array" ref="Q24">_xlfn.SWITCH(rounded[[#This Row],[gender]], "male", "Male", "female", "Female")</f>
        <v>Male</v>
      </c>
    </row>
    <row r="25" spans="1:17" x14ac:dyDescent="0.35">
      <c r="A25">
        <v>18</v>
      </c>
      <c r="B25" t="s">
        <v>16</v>
      </c>
      <c r="C25" s="4">
        <v>2.2999999999999998</v>
      </c>
      <c r="D25" t="s">
        <v>17</v>
      </c>
      <c r="E25" s="4">
        <v>7.6</v>
      </c>
      <c r="F25" s="4">
        <v>0.5</v>
      </c>
      <c r="G25">
        <v>2.96</v>
      </c>
      <c r="H25">
        <v>1.7</v>
      </c>
      <c r="I25" t="s">
        <v>19</v>
      </c>
      <c r="J25">
        <v>9</v>
      </c>
      <c r="K25">
        <v>8</v>
      </c>
      <c r="L25">
        <v>7</v>
      </c>
      <c r="M25">
        <v>0</v>
      </c>
      <c r="N25">
        <f>_xlfn.IFS(rounded[[#This Row],[social_interaction_level]] = "low", 1,rounded[[#This Row],[social_interaction_level]] = "medium", 2,rounded[[#This Row],[social_interaction_level]] = "high", 3)</f>
        <v>2</v>
      </c>
      <c r="O25">
        <f t="shared" si="0"/>
        <v>24</v>
      </c>
      <c r="P25" t="str" cm="1">
        <f t="array" ref="P25">_xlfn.SWITCH(rounded[[#This Row],[depression_label]], 0, "Not Depressed", 1, "Depressed")</f>
        <v>Not Depressed</v>
      </c>
      <c r="Q25" s="45" t="str" cm="1">
        <f t="array" ref="Q25">_xlfn.SWITCH(rounded[[#This Row],[gender]], "male", "Male", "female", "Female")</f>
        <v>Female</v>
      </c>
    </row>
    <row r="26" spans="1:17" x14ac:dyDescent="0.35">
      <c r="A26">
        <v>18</v>
      </c>
      <c r="B26" t="s">
        <v>16</v>
      </c>
      <c r="C26" s="4">
        <v>2.4</v>
      </c>
      <c r="D26" t="s">
        <v>20</v>
      </c>
      <c r="E26" s="4">
        <v>6.7</v>
      </c>
      <c r="F26" s="4">
        <v>1.9</v>
      </c>
      <c r="G26">
        <v>2.5299999999999998</v>
      </c>
      <c r="H26">
        <v>0.4</v>
      </c>
      <c r="I26" t="s">
        <v>18</v>
      </c>
      <c r="J26">
        <v>8</v>
      </c>
      <c r="K26">
        <v>8</v>
      </c>
      <c r="L26">
        <v>2</v>
      </c>
      <c r="M26">
        <v>0</v>
      </c>
      <c r="N26">
        <f>_xlfn.IFS(rounded[[#This Row],[social_interaction_level]] = "low", 1,rounded[[#This Row],[social_interaction_level]] = "medium", 2,rounded[[#This Row],[social_interaction_level]] = "high", 3)</f>
        <v>3</v>
      </c>
      <c r="O26">
        <f t="shared" si="0"/>
        <v>18</v>
      </c>
      <c r="P26" t="str" cm="1">
        <f t="array" ref="P26">_xlfn.SWITCH(rounded[[#This Row],[depression_label]], 0, "Not Depressed", 1, "Depressed")</f>
        <v>Not Depressed</v>
      </c>
      <c r="Q26" s="45" t="str" cm="1">
        <f t="array" ref="Q26">_xlfn.SWITCH(rounded[[#This Row],[gender]], "male", "Male", "female", "Female")</f>
        <v>Female</v>
      </c>
    </row>
    <row r="27" spans="1:17" x14ac:dyDescent="0.35">
      <c r="A27">
        <v>13</v>
      </c>
      <c r="B27" t="s">
        <v>16</v>
      </c>
      <c r="C27" s="4">
        <v>1.5</v>
      </c>
      <c r="D27" t="s">
        <v>20</v>
      </c>
      <c r="E27" s="4">
        <v>7.2</v>
      </c>
      <c r="F27" s="4">
        <v>2.5</v>
      </c>
      <c r="G27">
        <v>2.15</v>
      </c>
      <c r="H27">
        <v>1.3</v>
      </c>
      <c r="I27" t="s">
        <v>19</v>
      </c>
      <c r="J27">
        <v>4</v>
      </c>
      <c r="K27">
        <v>6</v>
      </c>
      <c r="L27">
        <v>2</v>
      </c>
      <c r="M27">
        <v>0</v>
      </c>
      <c r="N27">
        <f>_xlfn.IFS(rounded[[#This Row],[social_interaction_level]] = "low", 1,rounded[[#This Row],[social_interaction_level]] = "medium", 2,rounded[[#This Row],[social_interaction_level]] = "high", 3)</f>
        <v>2</v>
      </c>
      <c r="O27">
        <f t="shared" si="0"/>
        <v>12</v>
      </c>
      <c r="P27" t="str" cm="1">
        <f t="array" ref="P27">_xlfn.SWITCH(rounded[[#This Row],[depression_label]], 0, "Not Depressed", 1, "Depressed")</f>
        <v>Not Depressed</v>
      </c>
      <c r="Q27" s="45" t="str" cm="1">
        <f t="array" ref="Q27">_xlfn.SWITCH(rounded[[#This Row],[gender]], "male", "Male", "female", "Female")</f>
        <v>Female</v>
      </c>
    </row>
    <row r="28" spans="1:17" x14ac:dyDescent="0.35">
      <c r="A28">
        <v>14</v>
      </c>
      <c r="B28" t="s">
        <v>16</v>
      </c>
      <c r="C28" s="4">
        <v>5.7</v>
      </c>
      <c r="D28" t="s">
        <v>20</v>
      </c>
      <c r="E28" s="4">
        <v>8.6999999999999993</v>
      </c>
      <c r="F28" s="4">
        <v>0.6</v>
      </c>
      <c r="G28">
        <v>2.64</v>
      </c>
      <c r="H28">
        <v>0.1</v>
      </c>
      <c r="I28" t="s">
        <v>15</v>
      </c>
      <c r="J28">
        <v>8</v>
      </c>
      <c r="K28">
        <v>9</v>
      </c>
      <c r="L28">
        <v>4</v>
      </c>
      <c r="M28">
        <v>0</v>
      </c>
      <c r="N28">
        <f>_xlfn.IFS(rounded[[#This Row],[social_interaction_level]] = "low", 1,rounded[[#This Row],[social_interaction_level]] = "medium", 2,rounded[[#This Row],[social_interaction_level]] = "high", 3)</f>
        <v>1</v>
      </c>
      <c r="O28">
        <f t="shared" si="0"/>
        <v>21</v>
      </c>
      <c r="P28" t="str" cm="1">
        <f t="array" ref="P28">_xlfn.SWITCH(rounded[[#This Row],[depression_label]], 0, "Not Depressed", 1, "Depressed")</f>
        <v>Not Depressed</v>
      </c>
      <c r="Q28" s="45" t="str" cm="1">
        <f t="array" ref="Q28">_xlfn.SWITCH(rounded[[#This Row],[gender]], "male", "Male", "female", "Female")</f>
        <v>Female</v>
      </c>
    </row>
    <row r="29" spans="1:17" x14ac:dyDescent="0.35">
      <c r="A29">
        <v>19</v>
      </c>
      <c r="B29" t="s">
        <v>13</v>
      </c>
      <c r="C29" s="4">
        <v>2</v>
      </c>
      <c r="D29" t="s">
        <v>17</v>
      </c>
      <c r="E29" s="4">
        <v>7.1</v>
      </c>
      <c r="F29" s="4">
        <v>0.9</v>
      </c>
      <c r="G29">
        <v>3.26</v>
      </c>
      <c r="H29">
        <v>1.6</v>
      </c>
      <c r="I29" t="s">
        <v>18</v>
      </c>
      <c r="J29">
        <v>7</v>
      </c>
      <c r="K29">
        <v>5</v>
      </c>
      <c r="L29">
        <v>9</v>
      </c>
      <c r="M29">
        <v>0</v>
      </c>
      <c r="N29">
        <f>_xlfn.IFS(rounded[[#This Row],[social_interaction_level]] = "low", 1,rounded[[#This Row],[social_interaction_level]] = "medium", 2,rounded[[#This Row],[social_interaction_level]] = "high", 3)</f>
        <v>3</v>
      </c>
      <c r="O29">
        <f t="shared" si="0"/>
        <v>21</v>
      </c>
      <c r="P29" t="str" cm="1">
        <f t="array" ref="P29">_xlfn.SWITCH(rounded[[#This Row],[depression_label]], 0, "Not Depressed", 1, "Depressed")</f>
        <v>Not Depressed</v>
      </c>
      <c r="Q29" s="45" t="str" cm="1">
        <f t="array" ref="Q29">_xlfn.SWITCH(rounded[[#This Row],[gender]], "male", "Male", "female", "Female")</f>
        <v>Male</v>
      </c>
    </row>
    <row r="30" spans="1:17" x14ac:dyDescent="0.35">
      <c r="A30">
        <v>14</v>
      </c>
      <c r="B30" t="s">
        <v>13</v>
      </c>
      <c r="C30" s="4">
        <v>2.5</v>
      </c>
      <c r="D30" t="s">
        <v>17</v>
      </c>
      <c r="E30" s="4">
        <v>5.6</v>
      </c>
      <c r="F30" s="4">
        <v>2.9</v>
      </c>
      <c r="G30">
        <v>2.2400000000000002</v>
      </c>
      <c r="H30">
        <v>0.5</v>
      </c>
      <c r="I30" t="s">
        <v>15</v>
      </c>
      <c r="J30">
        <v>3</v>
      </c>
      <c r="K30">
        <v>9</v>
      </c>
      <c r="L30">
        <v>5</v>
      </c>
      <c r="M30">
        <v>0</v>
      </c>
      <c r="N30">
        <f>_xlfn.IFS(rounded[[#This Row],[social_interaction_level]] = "low", 1,rounded[[#This Row],[social_interaction_level]] = "medium", 2,rounded[[#This Row],[social_interaction_level]] = "high", 3)</f>
        <v>1</v>
      </c>
      <c r="O30">
        <f t="shared" si="0"/>
        <v>17</v>
      </c>
      <c r="P30" t="str" cm="1">
        <f t="array" ref="P30">_xlfn.SWITCH(rounded[[#This Row],[depression_label]], 0, "Not Depressed", 1, "Depressed")</f>
        <v>Not Depressed</v>
      </c>
      <c r="Q30" s="45" t="str" cm="1">
        <f t="array" ref="Q30">_xlfn.SWITCH(rounded[[#This Row],[gender]], "male", "Male", "female", "Female")</f>
        <v>Male</v>
      </c>
    </row>
    <row r="31" spans="1:17" x14ac:dyDescent="0.35">
      <c r="A31">
        <v>16</v>
      </c>
      <c r="B31" t="s">
        <v>16</v>
      </c>
      <c r="C31" s="4">
        <v>3.4</v>
      </c>
      <c r="D31" t="s">
        <v>17</v>
      </c>
      <c r="E31" s="4">
        <v>7.8</v>
      </c>
      <c r="F31" s="4">
        <v>2.8</v>
      </c>
      <c r="G31">
        <v>3.83</v>
      </c>
      <c r="H31">
        <v>1.8</v>
      </c>
      <c r="I31" t="s">
        <v>19</v>
      </c>
      <c r="J31">
        <v>6</v>
      </c>
      <c r="K31">
        <v>6</v>
      </c>
      <c r="L31">
        <v>4</v>
      </c>
      <c r="M31">
        <v>0</v>
      </c>
      <c r="N31">
        <f>_xlfn.IFS(rounded[[#This Row],[social_interaction_level]] = "low", 1,rounded[[#This Row],[social_interaction_level]] = "medium", 2,rounded[[#This Row],[social_interaction_level]] = "high", 3)</f>
        <v>2</v>
      </c>
      <c r="O31">
        <f t="shared" si="0"/>
        <v>16</v>
      </c>
      <c r="P31" t="str" cm="1">
        <f t="array" ref="P31">_xlfn.SWITCH(rounded[[#This Row],[depression_label]], 0, "Not Depressed", 1, "Depressed")</f>
        <v>Not Depressed</v>
      </c>
      <c r="Q31" s="45" t="str" cm="1">
        <f t="array" ref="Q31">_xlfn.SWITCH(rounded[[#This Row],[gender]], "male", "Male", "female", "Female")</f>
        <v>Female</v>
      </c>
    </row>
    <row r="32" spans="1:17" x14ac:dyDescent="0.35">
      <c r="A32">
        <v>13</v>
      </c>
      <c r="B32" t="s">
        <v>13</v>
      </c>
      <c r="C32" s="4">
        <v>6.6</v>
      </c>
      <c r="D32" t="s">
        <v>17</v>
      </c>
      <c r="E32" s="4">
        <v>5.7</v>
      </c>
      <c r="F32" s="4">
        <v>2.5</v>
      </c>
      <c r="G32">
        <v>2.67</v>
      </c>
      <c r="H32">
        <v>1.1000000000000001</v>
      </c>
      <c r="I32" t="s">
        <v>15</v>
      </c>
      <c r="J32">
        <v>2</v>
      </c>
      <c r="K32">
        <v>1</v>
      </c>
      <c r="L32">
        <v>10</v>
      </c>
      <c r="M32">
        <v>0</v>
      </c>
      <c r="N32">
        <f>_xlfn.IFS(rounded[[#This Row],[social_interaction_level]] = "low", 1,rounded[[#This Row],[social_interaction_level]] = "medium", 2,rounded[[#This Row],[social_interaction_level]] = "high", 3)</f>
        <v>1</v>
      </c>
      <c r="O32">
        <f t="shared" si="0"/>
        <v>13</v>
      </c>
      <c r="P32" t="str" cm="1">
        <f t="array" ref="P32">_xlfn.SWITCH(rounded[[#This Row],[depression_label]], 0, "Not Depressed", 1, "Depressed")</f>
        <v>Not Depressed</v>
      </c>
      <c r="Q32" s="45" t="str" cm="1">
        <f t="array" ref="Q32">_xlfn.SWITCH(rounded[[#This Row],[gender]], "male", "Male", "female", "Female")</f>
        <v>Male</v>
      </c>
    </row>
    <row r="33" spans="1:17" x14ac:dyDescent="0.35">
      <c r="A33">
        <v>13</v>
      </c>
      <c r="B33" t="s">
        <v>16</v>
      </c>
      <c r="C33" s="4">
        <v>1.6</v>
      </c>
      <c r="D33" t="s">
        <v>14</v>
      </c>
      <c r="E33" s="4">
        <v>8.6999999999999993</v>
      </c>
      <c r="F33" s="4">
        <v>2.5</v>
      </c>
      <c r="G33">
        <v>3.69</v>
      </c>
      <c r="H33">
        <v>0.4</v>
      </c>
      <c r="I33" t="s">
        <v>18</v>
      </c>
      <c r="J33">
        <v>8</v>
      </c>
      <c r="K33">
        <v>2</v>
      </c>
      <c r="L33">
        <v>9</v>
      </c>
      <c r="M33">
        <v>0</v>
      </c>
      <c r="N33">
        <f>_xlfn.IFS(rounded[[#This Row],[social_interaction_level]] = "low", 1,rounded[[#This Row],[social_interaction_level]] = "medium", 2,rounded[[#This Row],[social_interaction_level]] = "high", 3)</f>
        <v>3</v>
      </c>
      <c r="O33">
        <f t="shared" si="0"/>
        <v>19</v>
      </c>
      <c r="P33" t="str" cm="1">
        <f t="array" ref="P33">_xlfn.SWITCH(rounded[[#This Row],[depression_label]], 0, "Not Depressed", 1, "Depressed")</f>
        <v>Not Depressed</v>
      </c>
      <c r="Q33" s="45" t="str" cm="1">
        <f t="array" ref="Q33">_xlfn.SWITCH(rounded[[#This Row],[gender]], "male", "Male", "female", "Female")</f>
        <v>Female</v>
      </c>
    </row>
    <row r="34" spans="1:17" x14ac:dyDescent="0.35">
      <c r="A34">
        <v>16</v>
      </c>
      <c r="B34" t="s">
        <v>13</v>
      </c>
      <c r="C34" s="4">
        <v>2.7</v>
      </c>
      <c r="D34" t="s">
        <v>14</v>
      </c>
      <c r="E34" s="4">
        <v>4.2</v>
      </c>
      <c r="F34" s="4">
        <v>2.4</v>
      </c>
      <c r="G34">
        <v>3.05</v>
      </c>
      <c r="H34">
        <v>0.2</v>
      </c>
      <c r="I34" t="s">
        <v>18</v>
      </c>
      <c r="J34">
        <v>1</v>
      </c>
      <c r="K34">
        <v>8</v>
      </c>
      <c r="L34">
        <v>4</v>
      </c>
      <c r="M34">
        <v>0</v>
      </c>
      <c r="N34">
        <f>_xlfn.IFS(rounded[[#This Row],[social_interaction_level]] = "low", 1,rounded[[#This Row],[social_interaction_level]] = "medium", 2,rounded[[#This Row],[social_interaction_level]] = "high", 3)</f>
        <v>3</v>
      </c>
      <c r="O34">
        <f t="shared" si="0"/>
        <v>13</v>
      </c>
      <c r="P34" t="str" cm="1">
        <f t="array" ref="P34">_xlfn.SWITCH(rounded[[#This Row],[depression_label]], 0, "Not Depressed", 1, "Depressed")</f>
        <v>Not Depressed</v>
      </c>
      <c r="Q34" s="45" t="str" cm="1">
        <f t="array" ref="Q34">_xlfn.SWITCH(rounded[[#This Row],[gender]], "male", "Male", "female", "Female")</f>
        <v>Male</v>
      </c>
    </row>
    <row r="35" spans="1:17" x14ac:dyDescent="0.35">
      <c r="A35">
        <v>14</v>
      </c>
      <c r="B35" t="s">
        <v>13</v>
      </c>
      <c r="C35" s="4">
        <v>4.0999999999999996</v>
      </c>
      <c r="D35" t="s">
        <v>17</v>
      </c>
      <c r="E35" s="4">
        <v>8</v>
      </c>
      <c r="F35" s="4">
        <v>3</v>
      </c>
      <c r="G35">
        <v>2.31</v>
      </c>
      <c r="H35">
        <v>0.8</v>
      </c>
      <c r="I35" t="s">
        <v>15</v>
      </c>
      <c r="J35">
        <v>8</v>
      </c>
      <c r="K35">
        <v>4</v>
      </c>
      <c r="L35">
        <v>1</v>
      </c>
      <c r="M35">
        <v>0</v>
      </c>
      <c r="N35">
        <f>_xlfn.IFS(rounded[[#This Row],[social_interaction_level]] = "low", 1,rounded[[#This Row],[social_interaction_level]] = "medium", 2,rounded[[#This Row],[social_interaction_level]] = "high", 3)</f>
        <v>1</v>
      </c>
      <c r="O35">
        <f t="shared" si="0"/>
        <v>13</v>
      </c>
      <c r="P35" t="str" cm="1">
        <f t="array" ref="P35">_xlfn.SWITCH(rounded[[#This Row],[depression_label]], 0, "Not Depressed", 1, "Depressed")</f>
        <v>Not Depressed</v>
      </c>
      <c r="Q35" s="45" t="str" cm="1">
        <f t="array" ref="Q35">_xlfn.SWITCH(rounded[[#This Row],[gender]], "male", "Male", "female", "Female")</f>
        <v>Male</v>
      </c>
    </row>
    <row r="36" spans="1:17" x14ac:dyDescent="0.35">
      <c r="A36">
        <v>13</v>
      </c>
      <c r="B36" t="s">
        <v>16</v>
      </c>
      <c r="C36" s="4">
        <v>6.6</v>
      </c>
      <c r="D36" t="s">
        <v>17</v>
      </c>
      <c r="E36" s="4">
        <v>7.3</v>
      </c>
      <c r="F36" s="4">
        <v>1.6</v>
      </c>
      <c r="G36">
        <v>3.27</v>
      </c>
      <c r="H36">
        <v>0.1</v>
      </c>
      <c r="I36" t="s">
        <v>19</v>
      </c>
      <c r="J36">
        <v>10</v>
      </c>
      <c r="K36">
        <v>2</v>
      </c>
      <c r="L36">
        <v>1</v>
      </c>
      <c r="M36">
        <v>0</v>
      </c>
      <c r="N36">
        <f>_xlfn.IFS(rounded[[#This Row],[social_interaction_level]] = "low", 1,rounded[[#This Row],[social_interaction_level]] = "medium", 2,rounded[[#This Row],[social_interaction_level]] = "high", 3)</f>
        <v>2</v>
      </c>
      <c r="O36">
        <f t="shared" si="0"/>
        <v>13</v>
      </c>
      <c r="P36" t="str" cm="1">
        <f t="array" ref="P36">_xlfn.SWITCH(rounded[[#This Row],[depression_label]], 0, "Not Depressed", 1, "Depressed")</f>
        <v>Not Depressed</v>
      </c>
      <c r="Q36" s="45" t="str" cm="1">
        <f t="array" ref="Q36">_xlfn.SWITCH(rounded[[#This Row],[gender]], "male", "Male", "female", "Female")</f>
        <v>Female</v>
      </c>
    </row>
    <row r="37" spans="1:17" x14ac:dyDescent="0.35">
      <c r="A37">
        <v>17</v>
      </c>
      <c r="B37" t="s">
        <v>16</v>
      </c>
      <c r="C37" s="4">
        <v>5</v>
      </c>
      <c r="D37" t="s">
        <v>20</v>
      </c>
      <c r="E37" s="4">
        <v>4.9000000000000004</v>
      </c>
      <c r="F37" s="4">
        <v>2.1</v>
      </c>
      <c r="G37">
        <v>2.0099999999999998</v>
      </c>
      <c r="H37">
        <v>1</v>
      </c>
      <c r="I37" t="s">
        <v>15</v>
      </c>
      <c r="J37">
        <v>9</v>
      </c>
      <c r="K37">
        <v>4</v>
      </c>
      <c r="L37">
        <v>9</v>
      </c>
      <c r="M37">
        <v>0</v>
      </c>
      <c r="N37">
        <f>_xlfn.IFS(rounded[[#This Row],[social_interaction_level]] = "low", 1,rounded[[#This Row],[social_interaction_level]] = "medium", 2,rounded[[#This Row],[social_interaction_level]] = "high", 3)</f>
        <v>1</v>
      </c>
      <c r="O37">
        <f t="shared" si="0"/>
        <v>22</v>
      </c>
      <c r="P37" t="str" cm="1">
        <f t="array" ref="P37">_xlfn.SWITCH(rounded[[#This Row],[depression_label]], 0, "Not Depressed", 1, "Depressed")</f>
        <v>Not Depressed</v>
      </c>
      <c r="Q37" s="45" t="str" cm="1">
        <f t="array" ref="Q37">_xlfn.SWITCH(rounded[[#This Row],[gender]], "male", "Male", "female", "Female")</f>
        <v>Female</v>
      </c>
    </row>
    <row r="38" spans="1:17" x14ac:dyDescent="0.35">
      <c r="A38">
        <v>19</v>
      </c>
      <c r="B38" t="s">
        <v>16</v>
      </c>
      <c r="C38" s="4">
        <v>4.5999999999999996</v>
      </c>
      <c r="D38" t="s">
        <v>14</v>
      </c>
      <c r="E38" s="4">
        <v>5.5</v>
      </c>
      <c r="F38" s="4">
        <v>2.5</v>
      </c>
      <c r="G38">
        <v>3.96</v>
      </c>
      <c r="H38">
        <v>0.8</v>
      </c>
      <c r="I38" t="s">
        <v>18</v>
      </c>
      <c r="J38">
        <v>3</v>
      </c>
      <c r="K38">
        <v>10</v>
      </c>
      <c r="L38">
        <v>7</v>
      </c>
      <c r="M38">
        <v>0</v>
      </c>
      <c r="N38">
        <f>_xlfn.IFS(rounded[[#This Row],[social_interaction_level]] = "low", 1,rounded[[#This Row],[social_interaction_level]] = "medium", 2,rounded[[#This Row],[social_interaction_level]] = "high", 3)</f>
        <v>3</v>
      </c>
      <c r="O38">
        <f t="shared" si="0"/>
        <v>20</v>
      </c>
      <c r="P38" t="str" cm="1">
        <f t="array" ref="P38">_xlfn.SWITCH(rounded[[#This Row],[depression_label]], 0, "Not Depressed", 1, "Depressed")</f>
        <v>Not Depressed</v>
      </c>
      <c r="Q38" s="45" t="str" cm="1">
        <f t="array" ref="Q38">_xlfn.SWITCH(rounded[[#This Row],[gender]], "male", "Male", "female", "Female")</f>
        <v>Female</v>
      </c>
    </row>
    <row r="39" spans="1:17" x14ac:dyDescent="0.35">
      <c r="A39">
        <v>17</v>
      </c>
      <c r="B39" t="s">
        <v>16</v>
      </c>
      <c r="C39" s="4">
        <v>4.8</v>
      </c>
      <c r="D39" t="s">
        <v>14</v>
      </c>
      <c r="E39" s="4">
        <v>4.4000000000000004</v>
      </c>
      <c r="F39" s="4">
        <v>1.3</v>
      </c>
      <c r="G39">
        <v>2.02</v>
      </c>
      <c r="H39">
        <v>0.5</v>
      </c>
      <c r="I39" t="s">
        <v>15</v>
      </c>
      <c r="J39">
        <v>5</v>
      </c>
      <c r="K39">
        <v>10</v>
      </c>
      <c r="L39">
        <v>6</v>
      </c>
      <c r="M39">
        <v>0</v>
      </c>
      <c r="N39">
        <f>_xlfn.IFS(rounded[[#This Row],[social_interaction_level]] = "low", 1,rounded[[#This Row],[social_interaction_level]] = "medium", 2,rounded[[#This Row],[social_interaction_level]] = "high", 3)</f>
        <v>1</v>
      </c>
      <c r="O39">
        <f t="shared" si="0"/>
        <v>21</v>
      </c>
      <c r="P39" t="str" cm="1">
        <f t="array" ref="P39">_xlfn.SWITCH(rounded[[#This Row],[depression_label]], 0, "Not Depressed", 1, "Depressed")</f>
        <v>Not Depressed</v>
      </c>
      <c r="Q39" s="45" t="str" cm="1">
        <f t="array" ref="Q39">_xlfn.SWITCH(rounded[[#This Row],[gender]], "male", "Male", "female", "Female")</f>
        <v>Female</v>
      </c>
    </row>
    <row r="40" spans="1:17" x14ac:dyDescent="0.35">
      <c r="A40">
        <v>17</v>
      </c>
      <c r="B40" t="s">
        <v>16</v>
      </c>
      <c r="C40" s="4">
        <v>1.3</v>
      </c>
      <c r="D40" t="s">
        <v>17</v>
      </c>
      <c r="E40" s="4">
        <v>8</v>
      </c>
      <c r="F40" s="4">
        <v>2</v>
      </c>
      <c r="G40">
        <v>2.84</v>
      </c>
      <c r="H40">
        <v>1.8</v>
      </c>
      <c r="I40" t="s">
        <v>18</v>
      </c>
      <c r="J40">
        <v>1</v>
      </c>
      <c r="K40">
        <v>7</v>
      </c>
      <c r="L40">
        <v>8</v>
      </c>
      <c r="M40">
        <v>0</v>
      </c>
      <c r="N40">
        <f>_xlfn.IFS(rounded[[#This Row],[social_interaction_level]] = "low", 1,rounded[[#This Row],[social_interaction_level]] = "medium", 2,rounded[[#This Row],[social_interaction_level]] = "high", 3)</f>
        <v>3</v>
      </c>
      <c r="O40">
        <f t="shared" si="0"/>
        <v>16</v>
      </c>
      <c r="P40" t="str" cm="1">
        <f t="array" ref="P40">_xlfn.SWITCH(rounded[[#This Row],[depression_label]], 0, "Not Depressed", 1, "Depressed")</f>
        <v>Not Depressed</v>
      </c>
      <c r="Q40" s="45" t="str" cm="1">
        <f t="array" ref="Q40">_xlfn.SWITCH(rounded[[#This Row],[gender]], "male", "Male", "female", "Female")</f>
        <v>Female</v>
      </c>
    </row>
    <row r="41" spans="1:17" x14ac:dyDescent="0.35">
      <c r="A41">
        <v>17</v>
      </c>
      <c r="B41" t="s">
        <v>16</v>
      </c>
      <c r="C41" s="4">
        <v>6.3</v>
      </c>
      <c r="D41" t="s">
        <v>14</v>
      </c>
      <c r="E41" s="4">
        <v>4</v>
      </c>
      <c r="F41" s="4">
        <v>1</v>
      </c>
      <c r="G41">
        <v>2.4300000000000002</v>
      </c>
      <c r="H41">
        <v>1.2</v>
      </c>
      <c r="I41" t="s">
        <v>18</v>
      </c>
      <c r="J41">
        <v>1</v>
      </c>
      <c r="K41">
        <v>10</v>
      </c>
      <c r="L41">
        <v>9</v>
      </c>
      <c r="M41">
        <v>0</v>
      </c>
      <c r="N41">
        <f>_xlfn.IFS(rounded[[#This Row],[social_interaction_level]] = "low", 1,rounded[[#This Row],[social_interaction_level]] = "medium", 2,rounded[[#This Row],[social_interaction_level]] = "high", 3)</f>
        <v>3</v>
      </c>
      <c r="O41">
        <f t="shared" si="0"/>
        <v>20</v>
      </c>
      <c r="P41" t="str" cm="1">
        <f t="array" ref="P41">_xlfn.SWITCH(rounded[[#This Row],[depression_label]], 0, "Not Depressed", 1, "Depressed")</f>
        <v>Not Depressed</v>
      </c>
      <c r="Q41" s="45" t="str" cm="1">
        <f t="array" ref="Q41">_xlfn.SWITCH(rounded[[#This Row],[gender]], "male", "Male", "female", "Female")</f>
        <v>Female</v>
      </c>
    </row>
    <row r="42" spans="1:17" x14ac:dyDescent="0.35">
      <c r="A42">
        <v>14</v>
      </c>
      <c r="B42" t="s">
        <v>13</v>
      </c>
      <c r="C42" s="4">
        <v>6.4</v>
      </c>
      <c r="D42" t="s">
        <v>14</v>
      </c>
      <c r="E42" s="4">
        <v>5.7</v>
      </c>
      <c r="F42" s="4">
        <v>0.9</v>
      </c>
      <c r="G42">
        <v>2.06</v>
      </c>
      <c r="H42">
        <v>1.8</v>
      </c>
      <c r="I42" t="s">
        <v>18</v>
      </c>
      <c r="J42">
        <v>10</v>
      </c>
      <c r="K42">
        <v>4</v>
      </c>
      <c r="L42">
        <v>2</v>
      </c>
      <c r="M42">
        <v>0</v>
      </c>
      <c r="N42">
        <f>_xlfn.IFS(rounded[[#This Row],[social_interaction_level]] = "low", 1,rounded[[#This Row],[social_interaction_level]] = "medium", 2,rounded[[#This Row],[social_interaction_level]] = "high", 3)</f>
        <v>3</v>
      </c>
      <c r="O42">
        <f t="shared" si="0"/>
        <v>16</v>
      </c>
      <c r="P42" t="str" cm="1">
        <f t="array" ref="P42">_xlfn.SWITCH(rounded[[#This Row],[depression_label]], 0, "Not Depressed", 1, "Depressed")</f>
        <v>Not Depressed</v>
      </c>
      <c r="Q42" s="45" t="str" cm="1">
        <f t="array" ref="Q42">_xlfn.SWITCH(rounded[[#This Row],[gender]], "male", "Male", "female", "Female")</f>
        <v>Male</v>
      </c>
    </row>
    <row r="43" spans="1:17" x14ac:dyDescent="0.35">
      <c r="A43">
        <v>19</v>
      </c>
      <c r="B43" t="s">
        <v>13</v>
      </c>
      <c r="C43" s="4">
        <v>1.6</v>
      </c>
      <c r="D43" t="s">
        <v>14</v>
      </c>
      <c r="E43" s="4">
        <v>8.6</v>
      </c>
      <c r="F43" s="4">
        <v>2.4</v>
      </c>
      <c r="G43">
        <v>3.81</v>
      </c>
      <c r="H43">
        <v>0.4</v>
      </c>
      <c r="I43" t="s">
        <v>15</v>
      </c>
      <c r="J43">
        <v>10</v>
      </c>
      <c r="K43">
        <v>4</v>
      </c>
      <c r="L43">
        <v>1</v>
      </c>
      <c r="M43">
        <v>0</v>
      </c>
      <c r="N43">
        <f>_xlfn.IFS(rounded[[#This Row],[social_interaction_level]] = "low", 1,rounded[[#This Row],[social_interaction_level]] = "medium", 2,rounded[[#This Row],[social_interaction_level]] = "high", 3)</f>
        <v>1</v>
      </c>
      <c r="O43">
        <f t="shared" si="0"/>
        <v>15</v>
      </c>
      <c r="P43" t="str" cm="1">
        <f t="array" ref="P43">_xlfn.SWITCH(rounded[[#This Row],[depression_label]], 0, "Not Depressed", 1, "Depressed")</f>
        <v>Not Depressed</v>
      </c>
      <c r="Q43" s="45" t="str" cm="1">
        <f t="array" ref="Q43">_xlfn.SWITCH(rounded[[#This Row],[gender]], "male", "Male", "female", "Female")</f>
        <v>Male</v>
      </c>
    </row>
    <row r="44" spans="1:17" x14ac:dyDescent="0.35">
      <c r="A44">
        <v>14</v>
      </c>
      <c r="B44" t="s">
        <v>16</v>
      </c>
      <c r="C44" s="4">
        <v>7.3</v>
      </c>
      <c r="D44" t="s">
        <v>14</v>
      </c>
      <c r="E44" s="4">
        <v>7.7</v>
      </c>
      <c r="F44" s="4">
        <v>1.4</v>
      </c>
      <c r="G44">
        <v>3.42</v>
      </c>
      <c r="H44">
        <v>0.3</v>
      </c>
      <c r="I44" t="s">
        <v>19</v>
      </c>
      <c r="J44">
        <v>6</v>
      </c>
      <c r="K44">
        <v>1</v>
      </c>
      <c r="L44">
        <v>8</v>
      </c>
      <c r="M44">
        <v>0</v>
      </c>
      <c r="N44">
        <f>_xlfn.IFS(rounded[[#This Row],[social_interaction_level]] = "low", 1,rounded[[#This Row],[social_interaction_level]] = "medium", 2,rounded[[#This Row],[social_interaction_level]] = "high", 3)</f>
        <v>2</v>
      </c>
      <c r="O44">
        <f t="shared" si="0"/>
        <v>15</v>
      </c>
      <c r="P44" t="str" cm="1">
        <f t="array" ref="P44">_xlfn.SWITCH(rounded[[#This Row],[depression_label]], 0, "Not Depressed", 1, "Depressed")</f>
        <v>Not Depressed</v>
      </c>
      <c r="Q44" s="45" t="str" cm="1">
        <f t="array" ref="Q44">_xlfn.SWITCH(rounded[[#This Row],[gender]], "male", "Male", "female", "Female")</f>
        <v>Female</v>
      </c>
    </row>
    <row r="45" spans="1:17" x14ac:dyDescent="0.35">
      <c r="A45">
        <v>15</v>
      </c>
      <c r="B45" t="s">
        <v>13</v>
      </c>
      <c r="C45" s="4">
        <v>4</v>
      </c>
      <c r="D45" t="s">
        <v>20</v>
      </c>
      <c r="E45" s="4">
        <v>8.8000000000000007</v>
      </c>
      <c r="F45" s="4">
        <v>1.3</v>
      </c>
      <c r="G45">
        <v>3.59</v>
      </c>
      <c r="H45">
        <v>1.9</v>
      </c>
      <c r="I45" t="s">
        <v>19</v>
      </c>
      <c r="J45">
        <v>10</v>
      </c>
      <c r="K45">
        <v>6</v>
      </c>
      <c r="L45">
        <v>10</v>
      </c>
      <c r="M45">
        <v>0</v>
      </c>
      <c r="N45">
        <f>_xlfn.IFS(rounded[[#This Row],[social_interaction_level]] = "low", 1,rounded[[#This Row],[social_interaction_level]] = "medium", 2,rounded[[#This Row],[social_interaction_level]] = "high", 3)</f>
        <v>2</v>
      </c>
      <c r="O45">
        <f t="shared" si="0"/>
        <v>26</v>
      </c>
      <c r="P45" t="str" cm="1">
        <f t="array" ref="P45">_xlfn.SWITCH(rounded[[#This Row],[depression_label]], 0, "Not Depressed", 1, "Depressed")</f>
        <v>Not Depressed</v>
      </c>
      <c r="Q45" s="45" t="str" cm="1">
        <f t="array" ref="Q45">_xlfn.SWITCH(rounded[[#This Row],[gender]], "male", "Male", "female", "Female")</f>
        <v>Male</v>
      </c>
    </row>
    <row r="46" spans="1:17" x14ac:dyDescent="0.35">
      <c r="A46">
        <v>14</v>
      </c>
      <c r="B46" t="s">
        <v>13</v>
      </c>
      <c r="C46" s="4">
        <v>5.2</v>
      </c>
      <c r="D46" t="s">
        <v>20</v>
      </c>
      <c r="E46" s="4">
        <v>4.0999999999999996</v>
      </c>
      <c r="F46" s="4">
        <v>2.1</v>
      </c>
      <c r="G46">
        <v>3.07</v>
      </c>
      <c r="H46">
        <v>0.2</v>
      </c>
      <c r="I46" t="s">
        <v>19</v>
      </c>
      <c r="J46">
        <v>9</v>
      </c>
      <c r="K46">
        <v>3</v>
      </c>
      <c r="L46">
        <v>8</v>
      </c>
      <c r="M46">
        <v>0</v>
      </c>
      <c r="N46">
        <f>_xlfn.IFS(rounded[[#This Row],[social_interaction_level]] = "low", 1,rounded[[#This Row],[social_interaction_level]] = "medium", 2,rounded[[#This Row],[social_interaction_level]] = "high", 3)</f>
        <v>2</v>
      </c>
      <c r="O46">
        <f t="shared" si="0"/>
        <v>20</v>
      </c>
      <c r="P46" t="str" cm="1">
        <f t="array" ref="P46">_xlfn.SWITCH(rounded[[#This Row],[depression_label]], 0, "Not Depressed", 1, "Depressed")</f>
        <v>Not Depressed</v>
      </c>
      <c r="Q46" s="45" t="str" cm="1">
        <f t="array" ref="Q46">_xlfn.SWITCH(rounded[[#This Row],[gender]], "male", "Male", "female", "Female")</f>
        <v>Male</v>
      </c>
    </row>
    <row r="47" spans="1:17" x14ac:dyDescent="0.35">
      <c r="A47">
        <v>14</v>
      </c>
      <c r="B47" t="s">
        <v>16</v>
      </c>
      <c r="C47" s="4">
        <v>4.5</v>
      </c>
      <c r="D47" t="s">
        <v>17</v>
      </c>
      <c r="E47" s="4">
        <v>4.8</v>
      </c>
      <c r="F47" s="4">
        <v>0.9</v>
      </c>
      <c r="G47">
        <v>2.2200000000000002</v>
      </c>
      <c r="H47">
        <v>0.8</v>
      </c>
      <c r="I47" t="s">
        <v>15</v>
      </c>
      <c r="J47">
        <v>1</v>
      </c>
      <c r="K47">
        <v>4</v>
      </c>
      <c r="L47">
        <v>10</v>
      </c>
      <c r="M47">
        <v>0</v>
      </c>
      <c r="N47">
        <f>_xlfn.IFS(rounded[[#This Row],[social_interaction_level]] = "low", 1,rounded[[#This Row],[social_interaction_level]] = "medium", 2,rounded[[#This Row],[social_interaction_level]] = "high", 3)</f>
        <v>1</v>
      </c>
      <c r="O47">
        <f t="shared" si="0"/>
        <v>15</v>
      </c>
      <c r="P47" t="str" cm="1">
        <f t="array" ref="P47">_xlfn.SWITCH(rounded[[#This Row],[depression_label]], 0, "Not Depressed", 1, "Depressed")</f>
        <v>Not Depressed</v>
      </c>
      <c r="Q47" s="45" t="str" cm="1">
        <f t="array" ref="Q47">_xlfn.SWITCH(rounded[[#This Row],[gender]], "male", "Male", "female", "Female")</f>
        <v>Female</v>
      </c>
    </row>
    <row r="48" spans="1:17" x14ac:dyDescent="0.35">
      <c r="A48">
        <v>18</v>
      </c>
      <c r="B48" t="s">
        <v>13</v>
      </c>
      <c r="C48" s="4">
        <v>6.8</v>
      </c>
      <c r="D48" t="s">
        <v>17</v>
      </c>
      <c r="E48" s="4">
        <v>8.6</v>
      </c>
      <c r="F48" s="4">
        <v>1.1000000000000001</v>
      </c>
      <c r="G48">
        <v>2.36</v>
      </c>
      <c r="H48">
        <v>1.6</v>
      </c>
      <c r="I48" t="s">
        <v>18</v>
      </c>
      <c r="J48">
        <v>1</v>
      </c>
      <c r="K48">
        <v>10</v>
      </c>
      <c r="L48">
        <v>10</v>
      </c>
      <c r="M48">
        <v>0</v>
      </c>
      <c r="N48">
        <f>_xlfn.IFS(rounded[[#This Row],[social_interaction_level]] = "low", 1,rounded[[#This Row],[social_interaction_level]] = "medium", 2,rounded[[#This Row],[social_interaction_level]] = "high", 3)</f>
        <v>3</v>
      </c>
      <c r="O48">
        <f t="shared" si="0"/>
        <v>21</v>
      </c>
      <c r="P48" t="str" cm="1">
        <f t="array" ref="P48">_xlfn.SWITCH(rounded[[#This Row],[depression_label]], 0, "Not Depressed", 1, "Depressed")</f>
        <v>Not Depressed</v>
      </c>
      <c r="Q48" s="45" t="str" cm="1">
        <f t="array" ref="Q48">_xlfn.SWITCH(rounded[[#This Row],[gender]], "male", "Male", "female", "Female")</f>
        <v>Male</v>
      </c>
    </row>
    <row r="49" spans="1:17" x14ac:dyDescent="0.35">
      <c r="A49">
        <v>13</v>
      </c>
      <c r="B49" t="s">
        <v>16</v>
      </c>
      <c r="C49" s="4">
        <v>3.5</v>
      </c>
      <c r="D49" t="s">
        <v>14</v>
      </c>
      <c r="E49" s="4">
        <v>5.0999999999999996</v>
      </c>
      <c r="F49" s="4">
        <v>1.1000000000000001</v>
      </c>
      <c r="G49">
        <v>2.27</v>
      </c>
      <c r="H49">
        <v>1.8</v>
      </c>
      <c r="I49" t="s">
        <v>19</v>
      </c>
      <c r="J49">
        <v>2</v>
      </c>
      <c r="K49">
        <v>5</v>
      </c>
      <c r="L49">
        <v>6</v>
      </c>
      <c r="M49">
        <v>0</v>
      </c>
      <c r="N49">
        <f>_xlfn.IFS(rounded[[#This Row],[social_interaction_level]] = "low", 1,rounded[[#This Row],[social_interaction_level]] = "medium", 2,rounded[[#This Row],[social_interaction_level]] = "high", 3)</f>
        <v>2</v>
      </c>
      <c r="O49">
        <f t="shared" si="0"/>
        <v>13</v>
      </c>
      <c r="P49" t="str" cm="1">
        <f t="array" ref="P49">_xlfn.SWITCH(rounded[[#This Row],[depression_label]], 0, "Not Depressed", 1, "Depressed")</f>
        <v>Not Depressed</v>
      </c>
      <c r="Q49" s="45" t="str" cm="1">
        <f t="array" ref="Q49">_xlfn.SWITCH(rounded[[#This Row],[gender]], "male", "Male", "female", "Female")</f>
        <v>Female</v>
      </c>
    </row>
    <row r="50" spans="1:17" x14ac:dyDescent="0.35">
      <c r="A50">
        <v>16</v>
      </c>
      <c r="B50" t="s">
        <v>13</v>
      </c>
      <c r="C50" s="4">
        <v>2.2999999999999998</v>
      </c>
      <c r="D50" t="s">
        <v>17</v>
      </c>
      <c r="E50" s="4">
        <v>6.3</v>
      </c>
      <c r="F50" s="4">
        <v>3</v>
      </c>
      <c r="G50">
        <v>3.24</v>
      </c>
      <c r="H50">
        <v>1.9</v>
      </c>
      <c r="I50" t="s">
        <v>19</v>
      </c>
      <c r="J50">
        <v>4</v>
      </c>
      <c r="K50">
        <v>4</v>
      </c>
      <c r="L50">
        <v>9</v>
      </c>
      <c r="M50">
        <v>0</v>
      </c>
      <c r="N50">
        <f>_xlfn.IFS(rounded[[#This Row],[social_interaction_level]] = "low", 1,rounded[[#This Row],[social_interaction_level]] = "medium", 2,rounded[[#This Row],[social_interaction_level]] = "high", 3)</f>
        <v>2</v>
      </c>
      <c r="O50">
        <f t="shared" si="0"/>
        <v>17</v>
      </c>
      <c r="P50" t="str" cm="1">
        <f t="array" ref="P50">_xlfn.SWITCH(rounded[[#This Row],[depression_label]], 0, "Not Depressed", 1, "Depressed")</f>
        <v>Not Depressed</v>
      </c>
      <c r="Q50" s="45" t="str" cm="1">
        <f t="array" ref="Q50">_xlfn.SWITCH(rounded[[#This Row],[gender]], "male", "Male", "female", "Female")</f>
        <v>Male</v>
      </c>
    </row>
    <row r="51" spans="1:17" x14ac:dyDescent="0.35">
      <c r="A51">
        <v>14</v>
      </c>
      <c r="B51" t="s">
        <v>13</v>
      </c>
      <c r="C51" s="4">
        <v>1.2</v>
      </c>
      <c r="D51" t="s">
        <v>14</v>
      </c>
      <c r="E51" s="4">
        <v>8.5</v>
      </c>
      <c r="F51" s="4">
        <v>1.8</v>
      </c>
      <c r="G51">
        <v>3.65</v>
      </c>
      <c r="H51">
        <v>1.8</v>
      </c>
      <c r="I51" t="s">
        <v>18</v>
      </c>
      <c r="J51">
        <v>5</v>
      </c>
      <c r="K51">
        <v>10</v>
      </c>
      <c r="L51">
        <v>10</v>
      </c>
      <c r="M51">
        <v>0</v>
      </c>
      <c r="N51">
        <f>_xlfn.IFS(rounded[[#This Row],[social_interaction_level]] = "low", 1,rounded[[#This Row],[social_interaction_level]] = "medium", 2,rounded[[#This Row],[social_interaction_level]] = "high", 3)</f>
        <v>3</v>
      </c>
      <c r="O51">
        <f t="shared" si="0"/>
        <v>25</v>
      </c>
      <c r="P51" t="str" cm="1">
        <f t="array" ref="P51">_xlfn.SWITCH(rounded[[#This Row],[depression_label]], 0, "Not Depressed", 1, "Depressed")</f>
        <v>Not Depressed</v>
      </c>
      <c r="Q51" s="45" t="str" cm="1">
        <f t="array" ref="Q51">_xlfn.SWITCH(rounded[[#This Row],[gender]], "male", "Male", "female", "Female")</f>
        <v>Male</v>
      </c>
    </row>
    <row r="52" spans="1:17" x14ac:dyDescent="0.35">
      <c r="A52">
        <v>13</v>
      </c>
      <c r="B52" t="s">
        <v>13</v>
      </c>
      <c r="C52" s="4">
        <v>6.2</v>
      </c>
      <c r="D52" t="s">
        <v>20</v>
      </c>
      <c r="E52" s="4">
        <v>7.1</v>
      </c>
      <c r="F52" s="4">
        <v>2.2000000000000002</v>
      </c>
      <c r="G52">
        <v>3.43</v>
      </c>
      <c r="H52">
        <v>0.2</v>
      </c>
      <c r="I52" t="s">
        <v>19</v>
      </c>
      <c r="J52">
        <v>5</v>
      </c>
      <c r="K52">
        <v>2</v>
      </c>
      <c r="L52">
        <v>2</v>
      </c>
      <c r="M52">
        <v>0</v>
      </c>
      <c r="N52">
        <f>_xlfn.IFS(rounded[[#This Row],[social_interaction_level]] = "low", 1,rounded[[#This Row],[social_interaction_level]] = "medium", 2,rounded[[#This Row],[social_interaction_level]] = "high", 3)</f>
        <v>2</v>
      </c>
      <c r="O52">
        <f t="shared" si="0"/>
        <v>9</v>
      </c>
      <c r="P52" t="str" cm="1">
        <f t="array" ref="P52">_xlfn.SWITCH(rounded[[#This Row],[depression_label]], 0, "Not Depressed", 1, "Depressed")</f>
        <v>Not Depressed</v>
      </c>
      <c r="Q52" s="45" t="str" cm="1">
        <f t="array" ref="Q52">_xlfn.SWITCH(rounded[[#This Row],[gender]], "male", "Male", "female", "Female")</f>
        <v>Male</v>
      </c>
    </row>
    <row r="53" spans="1:17" x14ac:dyDescent="0.35">
      <c r="A53">
        <v>18</v>
      </c>
      <c r="B53" t="s">
        <v>13</v>
      </c>
      <c r="C53" s="4">
        <v>4.5</v>
      </c>
      <c r="D53" t="s">
        <v>17</v>
      </c>
      <c r="E53" s="4">
        <v>4.0999999999999996</v>
      </c>
      <c r="F53" s="4">
        <v>1.9</v>
      </c>
      <c r="G53">
        <v>3.42</v>
      </c>
      <c r="H53">
        <v>0.1</v>
      </c>
      <c r="I53" t="s">
        <v>19</v>
      </c>
      <c r="J53">
        <v>6</v>
      </c>
      <c r="K53">
        <v>7</v>
      </c>
      <c r="L53">
        <v>8</v>
      </c>
      <c r="M53">
        <v>0</v>
      </c>
      <c r="N53">
        <f>_xlfn.IFS(rounded[[#This Row],[social_interaction_level]] = "low", 1,rounded[[#This Row],[social_interaction_level]] = "medium", 2,rounded[[#This Row],[social_interaction_level]] = "high", 3)</f>
        <v>2</v>
      </c>
      <c r="O53">
        <f t="shared" si="0"/>
        <v>21</v>
      </c>
      <c r="P53" t="str" cm="1">
        <f t="array" ref="P53">_xlfn.SWITCH(rounded[[#This Row],[depression_label]], 0, "Not Depressed", 1, "Depressed")</f>
        <v>Not Depressed</v>
      </c>
      <c r="Q53" s="45" t="str" cm="1">
        <f t="array" ref="Q53">_xlfn.SWITCH(rounded[[#This Row],[gender]], "male", "Male", "female", "Female")</f>
        <v>Male</v>
      </c>
    </row>
    <row r="54" spans="1:17" x14ac:dyDescent="0.35">
      <c r="A54">
        <v>18</v>
      </c>
      <c r="B54" t="s">
        <v>13</v>
      </c>
      <c r="C54" s="4">
        <v>2.9</v>
      </c>
      <c r="D54" t="s">
        <v>14</v>
      </c>
      <c r="E54" s="4">
        <v>4.5</v>
      </c>
      <c r="F54" s="4">
        <v>2.5</v>
      </c>
      <c r="G54">
        <v>3.16</v>
      </c>
      <c r="H54">
        <v>1.3</v>
      </c>
      <c r="I54" t="s">
        <v>15</v>
      </c>
      <c r="J54">
        <v>3</v>
      </c>
      <c r="K54">
        <v>7</v>
      </c>
      <c r="L54">
        <v>8</v>
      </c>
      <c r="M54">
        <v>0</v>
      </c>
      <c r="N54">
        <f>_xlfn.IFS(rounded[[#This Row],[social_interaction_level]] = "low", 1,rounded[[#This Row],[social_interaction_level]] = "medium", 2,rounded[[#This Row],[social_interaction_level]] = "high", 3)</f>
        <v>1</v>
      </c>
      <c r="O54">
        <f t="shared" si="0"/>
        <v>18</v>
      </c>
      <c r="P54" t="str" cm="1">
        <f t="array" ref="P54">_xlfn.SWITCH(rounded[[#This Row],[depression_label]], 0, "Not Depressed", 1, "Depressed")</f>
        <v>Not Depressed</v>
      </c>
      <c r="Q54" s="45" t="str" cm="1">
        <f t="array" ref="Q54">_xlfn.SWITCH(rounded[[#This Row],[gender]], "male", "Male", "female", "Female")</f>
        <v>Male</v>
      </c>
    </row>
    <row r="55" spans="1:17" x14ac:dyDescent="0.35">
      <c r="A55">
        <v>13</v>
      </c>
      <c r="B55" t="s">
        <v>16</v>
      </c>
      <c r="C55" s="4">
        <v>5.8</v>
      </c>
      <c r="D55" t="s">
        <v>17</v>
      </c>
      <c r="E55" s="4">
        <v>8.5</v>
      </c>
      <c r="F55" s="4">
        <v>2.2999999999999998</v>
      </c>
      <c r="G55">
        <v>3.3</v>
      </c>
      <c r="H55">
        <v>1.9</v>
      </c>
      <c r="I55" t="s">
        <v>18</v>
      </c>
      <c r="J55">
        <v>1</v>
      </c>
      <c r="K55">
        <v>1</v>
      </c>
      <c r="L55">
        <v>5</v>
      </c>
      <c r="M55">
        <v>0</v>
      </c>
      <c r="N55">
        <f>_xlfn.IFS(rounded[[#This Row],[social_interaction_level]] = "low", 1,rounded[[#This Row],[social_interaction_level]] = "medium", 2,rounded[[#This Row],[social_interaction_level]] = "high", 3)</f>
        <v>3</v>
      </c>
      <c r="O55">
        <f t="shared" si="0"/>
        <v>7</v>
      </c>
      <c r="P55" t="str" cm="1">
        <f t="array" ref="P55">_xlfn.SWITCH(rounded[[#This Row],[depression_label]], 0, "Not Depressed", 1, "Depressed")</f>
        <v>Not Depressed</v>
      </c>
      <c r="Q55" s="45" t="str" cm="1">
        <f t="array" ref="Q55">_xlfn.SWITCH(rounded[[#This Row],[gender]], "male", "Male", "female", "Female")</f>
        <v>Female</v>
      </c>
    </row>
    <row r="56" spans="1:17" x14ac:dyDescent="0.35">
      <c r="A56">
        <v>18</v>
      </c>
      <c r="B56" t="s">
        <v>13</v>
      </c>
      <c r="C56" s="4">
        <v>6.8</v>
      </c>
      <c r="D56" t="s">
        <v>14</v>
      </c>
      <c r="E56" s="4">
        <v>6.5</v>
      </c>
      <c r="F56" s="4">
        <v>2.7</v>
      </c>
      <c r="G56">
        <v>2.97</v>
      </c>
      <c r="H56">
        <v>1.9</v>
      </c>
      <c r="I56" t="s">
        <v>15</v>
      </c>
      <c r="J56">
        <v>4</v>
      </c>
      <c r="K56">
        <v>4</v>
      </c>
      <c r="L56">
        <v>5</v>
      </c>
      <c r="M56">
        <v>0</v>
      </c>
      <c r="N56">
        <f>_xlfn.IFS(rounded[[#This Row],[social_interaction_level]] = "low", 1,rounded[[#This Row],[social_interaction_level]] = "medium", 2,rounded[[#This Row],[social_interaction_level]] = "high", 3)</f>
        <v>1</v>
      </c>
      <c r="O56">
        <f t="shared" si="0"/>
        <v>13</v>
      </c>
      <c r="P56" t="str" cm="1">
        <f t="array" ref="P56">_xlfn.SWITCH(rounded[[#This Row],[depression_label]], 0, "Not Depressed", 1, "Depressed")</f>
        <v>Not Depressed</v>
      </c>
      <c r="Q56" s="45" t="str" cm="1">
        <f t="array" ref="Q56">_xlfn.SWITCH(rounded[[#This Row],[gender]], "male", "Male", "female", "Female")</f>
        <v>Male</v>
      </c>
    </row>
    <row r="57" spans="1:17" x14ac:dyDescent="0.35">
      <c r="A57">
        <v>15</v>
      </c>
      <c r="B57" t="s">
        <v>16</v>
      </c>
      <c r="C57" s="4">
        <v>7.4</v>
      </c>
      <c r="D57" t="s">
        <v>14</v>
      </c>
      <c r="E57" s="4">
        <v>8.6</v>
      </c>
      <c r="F57" s="4">
        <v>0.9</v>
      </c>
      <c r="G57">
        <v>2.2999999999999998</v>
      </c>
      <c r="H57">
        <v>0</v>
      </c>
      <c r="I57" t="s">
        <v>15</v>
      </c>
      <c r="J57">
        <v>1</v>
      </c>
      <c r="K57">
        <v>5</v>
      </c>
      <c r="L57">
        <v>3</v>
      </c>
      <c r="M57">
        <v>0</v>
      </c>
      <c r="N57">
        <f>_xlfn.IFS(rounded[[#This Row],[social_interaction_level]] = "low", 1,rounded[[#This Row],[social_interaction_level]] = "medium", 2,rounded[[#This Row],[social_interaction_level]] = "high", 3)</f>
        <v>1</v>
      </c>
      <c r="O57">
        <f t="shared" si="0"/>
        <v>9</v>
      </c>
      <c r="P57" t="str" cm="1">
        <f t="array" ref="P57">_xlfn.SWITCH(rounded[[#This Row],[depression_label]], 0, "Not Depressed", 1, "Depressed")</f>
        <v>Not Depressed</v>
      </c>
      <c r="Q57" s="45" t="str" cm="1">
        <f t="array" ref="Q57">_xlfn.SWITCH(rounded[[#This Row],[gender]], "male", "Male", "female", "Female")</f>
        <v>Female</v>
      </c>
    </row>
    <row r="58" spans="1:17" x14ac:dyDescent="0.35">
      <c r="A58">
        <v>18</v>
      </c>
      <c r="B58" t="s">
        <v>13</v>
      </c>
      <c r="C58" s="4">
        <v>4.5</v>
      </c>
      <c r="D58" t="s">
        <v>17</v>
      </c>
      <c r="E58" s="4">
        <v>5</v>
      </c>
      <c r="F58" s="4">
        <v>2.5</v>
      </c>
      <c r="G58">
        <v>2.65</v>
      </c>
      <c r="H58">
        <v>0.7</v>
      </c>
      <c r="I58" t="s">
        <v>19</v>
      </c>
      <c r="J58">
        <v>8</v>
      </c>
      <c r="K58">
        <v>9</v>
      </c>
      <c r="L58">
        <v>1</v>
      </c>
      <c r="M58">
        <v>0</v>
      </c>
      <c r="N58">
        <f>_xlfn.IFS(rounded[[#This Row],[social_interaction_level]] = "low", 1,rounded[[#This Row],[social_interaction_level]] = "medium", 2,rounded[[#This Row],[social_interaction_level]] = "high", 3)</f>
        <v>2</v>
      </c>
      <c r="O58">
        <f t="shared" si="0"/>
        <v>18</v>
      </c>
      <c r="P58" t="str" cm="1">
        <f t="array" ref="P58">_xlfn.SWITCH(rounded[[#This Row],[depression_label]], 0, "Not Depressed", 1, "Depressed")</f>
        <v>Not Depressed</v>
      </c>
      <c r="Q58" s="45" t="str" cm="1">
        <f t="array" ref="Q58">_xlfn.SWITCH(rounded[[#This Row],[gender]], "male", "Male", "female", "Female")</f>
        <v>Male</v>
      </c>
    </row>
    <row r="59" spans="1:17" x14ac:dyDescent="0.35">
      <c r="A59">
        <v>16</v>
      </c>
      <c r="B59" t="s">
        <v>13</v>
      </c>
      <c r="C59" s="4">
        <v>6.4</v>
      </c>
      <c r="D59" t="s">
        <v>17</v>
      </c>
      <c r="E59" s="4">
        <v>5.3</v>
      </c>
      <c r="F59" s="4">
        <v>2.4</v>
      </c>
      <c r="G59">
        <v>2.0299999999999998</v>
      </c>
      <c r="H59">
        <v>1.7</v>
      </c>
      <c r="I59" t="s">
        <v>19</v>
      </c>
      <c r="J59">
        <v>7</v>
      </c>
      <c r="K59">
        <v>5</v>
      </c>
      <c r="L59">
        <v>10</v>
      </c>
      <c r="M59">
        <v>0</v>
      </c>
      <c r="N59">
        <f>_xlfn.IFS(rounded[[#This Row],[social_interaction_level]] = "low", 1,rounded[[#This Row],[social_interaction_level]] = "medium", 2,rounded[[#This Row],[social_interaction_level]] = "high", 3)</f>
        <v>2</v>
      </c>
      <c r="O59">
        <f t="shared" si="0"/>
        <v>22</v>
      </c>
      <c r="P59" t="str" cm="1">
        <f t="array" ref="P59">_xlfn.SWITCH(rounded[[#This Row],[depression_label]], 0, "Not Depressed", 1, "Depressed")</f>
        <v>Not Depressed</v>
      </c>
      <c r="Q59" s="45" t="str" cm="1">
        <f t="array" ref="Q59">_xlfn.SWITCH(rounded[[#This Row],[gender]], "male", "Male", "female", "Female")</f>
        <v>Male</v>
      </c>
    </row>
    <row r="60" spans="1:17" x14ac:dyDescent="0.35">
      <c r="A60">
        <v>13</v>
      </c>
      <c r="B60" t="s">
        <v>13</v>
      </c>
      <c r="C60" s="4">
        <v>7.3</v>
      </c>
      <c r="D60" t="s">
        <v>20</v>
      </c>
      <c r="E60" s="4">
        <v>4.2</v>
      </c>
      <c r="F60" s="4">
        <v>1.3</v>
      </c>
      <c r="G60">
        <v>2.16</v>
      </c>
      <c r="H60">
        <v>1</v>
      </c>
      <c r="I60" t="s">
        <v>18</v>
      </c>
      <c r="J60">
        <v>4</v>
      </c>
      <c r="K60">
        <v>5</v>
      </c>
      <c r="L60">
        <v>2</v>
      </c>
      <c r="M60">
        <v>0</v>
      </c>
      <c r="N60">
        <f>_xlfn.IFS(rounded[[#This Row],[social_interaction_level]] = "low", 1,rounded[[#This Row],[social_interaction_level]] = "medium", 2,rounded[[#This Row],[social_interaction_level]] = "high", 3)</f>
        <v>3</v>
      </c>
      <c r="O60">
        <f t="shared" si="0"/>
        <v>11</v>
      </c>
      <c r="P60" t="str" cm="1">
        <f t="array" ref="P60">_xlfn.SWITCH(rounded[[#This Row],[depression_label]], 0, "Not Depressed", 1, "Depressed")</f>
        <v>Not Depressed</v>
      </c>
      <c r="Q60" s="45" t="str" cm="1">
        <f t="array" ref="Q60">_xlfn.SWITCH(rounded[[#This Row],[gender]], "male", "Male", "female", "Female")</f>
        <v>Male</v>
      </c>
    </row>
    <row r="61" spans="1:17" x14ac:dyDescent="0.35">
      <c r="A61">
        <v>17</v>
      </c>
      <c r="B61" t="s">
        <v>16</v>
      </c>
      <c r="C61" s="4">
        <v>7.1</v>
      </c>
      <c r="D61" t="s">
        <v>14</v>
      </c>
      <c r="E61" s="4">
        <v>5.6</v>
      </c>
      <c r="F61" s="4">
        <v>0.6</v>
      </c>
      <c r="G61">
        <v>3.07</v>
      </c>
      <c r="H61">
        <v>1</v>
      </c>
      <c r="I61" t="s">
        <v>19</v>
      </c>
      <c r="J61">
        <v>1</v>
      </c>
      <c r="K61">
        <v>3</v>
      </c>
      <c r="L61">
        <v>7</v>
      </c>
      <c r="M61">
        <v>0</v>
      </c>
      <c r="N61">
        <f>_xlfn.IFS(rounded[[#This Row],[social_interaction_level]] = "low", 1,rounded[[#This Row],[social_interaction_level]] = "medium", 2,rounded[[#This Row],[social_interaction_level]] = "high", 3)</f>
        <v>2</v>
      </c>
      <c r="O61">
        <f t="shared" si="0"/>
        <v>11</v>
      </c>
      <c r="P61" t="str" cm="1">
        <f t="array" ref="P61">_xlfn.SWITCH(rounded[[#This Row],[depression_label]], 0, "Not Depressed", 1, "Depressed")</f>
        <v>Not Depressed</v>
      </c>
      <c r="Q61" s="45" t="str" cm="1">
        <f t="array" ref="Q61">_xlfn.SWITCH(rounded[[#This Row],[gender]], "male", "Male", "female", "Female")</f>
        <v>Female</v>
      </c>
    </row>
    <row r="62" spans="1:17" x14ac:dyDescent="0.35">
      <c r="A62">
        <v>18</v>
      </c>
      <c r="B62" t="s">
        <v>13</v>
      </c>
      <c r="C62" s="4">
        <v>1.6</v>
      </c>
      <c r="D62" t="s">
        <v>17</v>
      </c>
      <c r="E62" s="4">
        <v>5.0999999999999996</v>
      </c>
      <c r="F62" s="4">
        <v>2.7</v>
      </c>
      <c r="G62">
        <v>3.57</v>
      </c>
      <c r="H62">
        <v>0.8</v>
      </c>
      <c r="I62" t="s">
        <v>18</v>
      </c>
      <c r="J62">
        <v>3</v>
      </c>
      <c r="K62">
        <v>9</v>
      </c>
      <c r="L62">
        <v>7</v>
      </c>
      <c r="M62">
        <v>0</v>
      </c>
      <c r="N62">
        <f>_xlfn.IFS(rounded[[#This Row],[social_interaction_level]] = "low", 1,rounded[[#This Row],[social_interaction_level]] = "medium", 2,rounded[[#This Row],[social_interaction_level]] = "high", 3)</f>
        <v>3</v>
      </c>
      <c r="O62">
        <f t="shared" si="0"/>
        <v>19</v>
      </c>
      <c r="P62" t="str" cm="1">
        <f t="array" ref="P62">_xlfn.SWITCH(rounded[[#This Row],[depression_label]], 0, "Not Depressed", 1, "Depressed")</f>
        <v>Not Depressed</v>
      </c>
      <c r="Q62" s="45" t="str" cm="1">
        <f t="array" ref="Q62">_xlfn.SWITCH(rounded[[#This Row],[gender]], "male", "Male", "female", "Female")</f>
        <v>Male</v>
      </c>
    </row>
    <row r="63" spans="1:17" x14ac:dyDescent="0.35">
      <c r="A63">
        <v>15</v>
      </c>
      <c r="B63" t="s">
        <v>16</v>
      </c>
      <c r="C63" s="4">
        <v>1.5</v>
      </c>
      <c r="D63" t="s">
        <v>14</v>
      </c>
      <c r="E63" s="4">
        <v>4.7</v>
      </c>
      <c r="F63" s="4">
        <v>1</v>
      </c>
      <c r="G63">
        <v>3.82</v>
      </c>
      <c r="H63">
        <v>0.6</v>
      </c>
      <c r="I63" t="s">
        <v>19</v>
      </c>
      <c r="J63">
        <v>6</v>
      </c>
      <c r="K63">
        <v>1</v>
      </c>
      <c r="L63">
        <v>4</v>
      </c>
      <c r="M63">
        <v>0</v>
      </c>
      <c r="N63">
        <f>_xlfn.IFS(rounded[[#This Row],[social_interaction_level]] = "low", 1,rounded[[#This Row],[social_interaction_level]] = "medium", 2,rounded[[#This Row],[social_interaction_level]] = "high", 3)</f>
        <v>2</v>
      </c>
      <c r="O63">
        <f t="shared" si="0"/>
        <v>11</v>
      </c>
      <c r="P63" t="str" cm="1">
        <f t="array" ref="P63">_xlfn.SWITCH(rounded[[#This Row],[depression_label]], 0, "Not Depressed", 1, "Depressed")</f>
        <v>Not Depressed</v>
      </c>
      <c r="Q63" s="45" t="str" cm="1">
        <f t="array" ref="Q63">_xlfn.SWITCH(rounded[[#This Row],[gender]], "male", "Male", "female", "Female")</f>
        <v>Female</v>
      </c>
    </row>
    <row r="64" spans="1:17" x14ac:dyDescent="0.35">
      <c r="A64">
        <v>13</v>
      </c>
      <c r="B64" t="s">
        <v>13</v>
      </c>
      <c r="C64" s="4">
        <v>4.3</v>
      </c>
      <c r="D64" t="s">
        <v>20</v>
      </c>
      <c r="E64" s="4">
        <v>5.8</v>
      </c>
      <c r="F64" s="4">
        <v>0.7</v>
      </c>
      <c r="G64">
        <v>3.15</v>
      </c>
      <c r="H64">
        <v>0.1</v>
      </c>
      <c r="I64" t="s">
        <v>19</v>
      </c>
      <c r="J64">
        <v>7</v>
      </c>
      <c r="K64">
        <v>2</v>
      </c>
      <c r="L64">
        <v>1</v>
      </c>
      <c r="M64">
        <v>0</v>
      </c>
      <c r="N64">
        <f>_xlfn.IFS(rounded[[#This Row],[social_interaction_level]] = "low", 1,rounded[[#This Row],[social_interaction_level]] = "medium", 2,rounded[[#This Row],[social_interaction_level]] = "high", 3)</f>
        <v>2</v>
      </c>
      <c r="O64">
        <f t="shared" si="0"/>
        <v>10</v>
      </c>
      <c r="P64" t="str" cm="1">
        <f t="array" ref="P64">_xlfn.SWITCH(rounded[[#This Row],[depression_label]], 0, "Not Depressed", 1, "Depressed")</f>
        <v>Not Depressed</v>
      </c>
      <c r="Q64" s="45" t="str" cm="1">
        <f t="array" ref="Q64">_xlfn.SWITCH(rounded[[#This Row],[gender]], "male", "Male", "female", "Female")</f>
        <v>Male</v>
      </c>
    </row>
    <row r="65" spans="1:17" x14ac:dyDescent="0.35">
      <c r="A65">
        <v>17</v>
      </c>
      <c r="B65" t="s">
        <v>13</v>
      </c>
      <c r="C65" s="4">
        <v>2.5</v>
      </c>
      <c r="D65" t="s">
        <v>20</v>
      </c>
      <c r="E65" s="4">
        <v>6.7</v>
      </c>
      <c r="F65" s="4">
        <v>2</v>
      </c>
      <c r="G65">
        <v>2.56</v>
      </c>
      <c r="H65">
        <v>1.7</v>
      </c>
      <c r="I65" t="s">
        <v>18</v>
      </c>
      <c r="J65">
        <v>5</v>
      </c>
      <c r="K65">
        <v>7</v>
      </c>
      <c r="L65">
        <v>5</v>
      </c>
      <c r="M65">
        <v>0</v>
      </c>
      <c r="N65">
        <f>_xlfn.IFS(rounded[[#This Row],[social_interaction_level]] = "low", 1,rounded[[#This Row],[social_interaction_level]] = "medium", 2,rounded[[#This Row],[social_interaction_level]] = "high", 3)</f>
        <v>3</v>
      </c>
      <c r="O65">
        <f t="shared" si="0"/>
        <v>17</v>
      </c>
      <c r="P65" t="str" cm="1">
        <f t="array" ref="P65">_xlfn.SWITCH(rounded[[#This Row],[depression_label]], 0, "Not Depressed", 1, "Depressed")</f>
        <v>Not Depressed</v>
      </c>
      <c r="Q65" s="45" t="str" cm="1">
        <f t="array" ref="Q65">_xlfn.SWITCH(rounded[[#This Row],[gender]], "male", "Male", "female", "Female")</f>
        <v>Male</v>
      </c>
    </row>
    <row r="66" spans="1:17" x14ac:dyDescent="0.35">
      <c r="A66">
        <v>19</v>
      </c>
      <c r="B66" t="s">
        <v>16</v>
      </c>
      <c r="C66" s="4">
        <v>7.9</v>
      </c>
      <c r="D66" t="s">
        <v>17</v>
      </c>
      <c r="E66" s="4">
        <v>5.0999999999999996</v>
      </c>
      <c r="F66" s="4">
        <v>1.7</v>
      </c>
      <c r="G66">
        <v>2.8</v>
      </c>
      <c r="H66">
        <v>0.8</v>
      </c>
      <c r="I66" t="s">
        <v>15</v>
      </c>
      <c r="J66">
        <v>6</v>
      </c>
      <c r="K66">
        <v>1</v>
      </c>
      <c r="L66">
        <v>8</v>
      </c>
      <c r="M66">
        <v>0</v>
      </c>
      <c r="N66">
        <f>_xlfn.IFS(rounded[[#This Row],[social_interaction_level]] = "low", 1,rounded[[#This Row],[social_interaction_level]] = "medium", 2,rounded[[#This Row],[social_interaction_level]] = "high", 3)</f>
        <v>1</v>
      </c>
      <c r="O66">
        <f t="shared" ref="O66:O129" si="1">SUM(J66+K66+L66)</f>
        <v>15</v>
      </c>
      <c r="P66" t="str" cm="1">
        <f t="array" ref="P66">_xlfn.SWITCH(rounded[[#This Row],[depression_label]], 0, "Not Depressed", 1, "Depressed")</f>
        <v>Not Depressed</v>
      </c>
      <c r="Q66" s="45" t="str" cm="1">
        <f t="array" ref="Q66">_xlfn.SWITCH(rounded[[#This Row],[gender]], "male", "Male", "female", "Female")</f>
        <v>Female</v>
      </c>
    </row>
    <row r="67" spans="1:17" x14ac:dyDescent="0.35">
      <c r="A67">
        <v>17</v>
      </c>
      <c r="B67" t="s">
        <v>13</v>
      </c>
      <c r="C67" s="4">
        <v>2.7</v>
      </c>
      <c r="D67" t="s">
        <v>14</v>
      </c>
      <c r="E67" s="4">
        <v>8</v>
      </c>
      <c r="F67" s="4">
        <v>2.6</v>
      </c>
      <c r="G67">
        <v>3.53</v>
      </c>
      <c r="H67">
        <v>1.9</v>
      </c>
      <c r="I67" t="s">
        <v>18</v>
      </c>
      <c r="J67">
        <v>1</v>
      </c>
      <c r="K67">
        <v>8</v>
      </c>
      <c r="L67">
        <v>7</v>
      </c>
      <c r="M67">
        <v>0</v>
      </c>
      <c r="N67">
        <f>_xlfn.IFS(rounded[[#This Row],[social_interaction_level]] = "low", 1,rounded[[#This Row],[social_interaction_level]] = "medium", 2,rounded[[#This Row],[social_interaction_level]] = "high", 3)</f>
        <v>3</v>
      </c>
      <c r="O67">
        <f t="shared" si="1"/>
        <v>16</v>
      </c>
      <c r="P67" t="str" cm="1">
        <f t="array" ref="P67">_xlfn.SWITCH(rounded[[#This Row],[depression_label]], 0, "Not Depressed", 1, "Depressed")</f>
        <v>Not Depressed</v>
      </c>
      <c r="Q67" s="45" t="str" cm="1">
        <f t="array" ref="Q67">_xlfn.SWITCH(rounded[[#This Row],[gender]], "male", "Male", "female", "Female")</f>
        <v>Male</v>
      </c>
    </row>
    <row r="68" spans="1:17" x14ac:dyDescent="0.35">
      <c r="A68">
        <v>13</v>
      </c>
      <c r="B68" t="s">
        <v>13</v>
      </c>
      <c r="C68" s="4">
        <v>3.1</v>
      </c>
      <c r="D68" t="s">
        <v>17</v>
      </c>
      <c r="E68" s="4">
        <v>8.1999999999999993</v>
      </c>
      <c r="F68" s="4">
        <v>1.5</v>
      </c>
      <c r="G68">
        <v>2.4500000000000002</v>
      </c>
      <c r="H68">
        <v>0.3</v>
      </c>
      <c r="I68" t="s">
        <v>15</v>
      </c>
      <c r="J68">
        <v>5</v>
      </c>
      <c r="K68">
        <v>8</v>
      </c>
      <c r="L68">
        <v>6</v>
      </c>
      <c r="M68">
        <v>0</v>
      </c>
      <c r="N68">
        <f>_xlfn.IFS(rounded[[#This Row],[social_interaction_level]] = "low", 1,rounded[[#This Row],[social_interaction_level]] = "medium", 2,rounded[[#This Row],[social_interaction_level]] = "high", 3)</f>
        <v>1</v>
      </c>
      <c r="O68">
        <f t="shared" si="1"/>
        <v>19</v>
      </c>
      <c r="P68" t="str" cm="1">
        <f t="array" ref="P68">_xlfn.SWITCH(rounded[[#This Row],[depression_label]], 0, "Not Depressed", 1, "Depressed")</f>
        <v>Not Depressed</v>
      </c>
      <c r="Q68" s="45" t="str" cm="1">
        <f t="array" ref="Q68">_xlfn.SWITCH(rounded[[#This Row],[gender]], "male", "Male", "female", "Female")</f>
        <v>Male</v>
      </c>
    </row>
    <row r="69" spans="1:17" x14ac:dyDescent="0.35">
      <c r="A69">
        <v>17</v>
      </c>
      <c r="B69" t="s">
        <v>13</v>
      </c>
      <c r="C69" s="4">
        <v>5.8</v>
      </c>
      <c r="D69" t="s">
        <v>20</v>
      </c>
      <c r="E69" s="4">
        <v>7.6</v>
      </c>
      <c r="F69" s="4">
        <v>0.7</v>
      </c>
      <c r="G69">
        <v>2.83</v>
      </c>
      <c r="H69">
        <v>1</v>
      </c>
      <c r="I69" t="s">
        <v>19</v>
      </c>
      <c r="J69">
        <v>7</v>
      </c>
      <c r="K69">
        <v>6</v>
      </c>
      <c r="L69">
        <v>8</v>
      </c>
      <c r="M69">
        <v>0</v>
      </c>
      <c r="N69">
        <f>_xlfn.IFS(rounded[[#This Row],[social_interaction_level]] = "low", 1,rounded[[#This Row],[social_interaction_level]] = "medium", 2,rounded[[#This Row],[social_interaction_level]] = "high", 3)</f>
        <v>2</v>
      </c>
      <c r="O69">
        <f t="shared" si="1"/>
        <v>21</v>
      </c>
      <c r="P69" t="str" cm="1">
        <f t="array" ref="P69">_xlfn.SWITCH(rounded[[#This Row],[depression_label]], 0, "Not Depressed", 1, "Depressed")</f>
        <v>Not Depressed</v>
      </c>
      <c r="Q69" s="45" t="str" cm="1">
        <f t="array" ref="Q69">_xlfn.SWITCH(rounded[[#This Row],[gender]], "male", "Male", "female", "Female")</f>
        <v>Male</v>
      </c>
    </row>
    <row r="70" spans="1:17" x14ac:dyDescent="0.35">
      <c r="A70">
        <v>14</v>
      </c>
      <c r="B70" t="s">
        <v>16</v>
      </c>
      <c r="C70" s="4">
        <v>3.9</v>
      </c>
      <c r="D70" t="s">
        <v>20</v>
      </c>
      <c r="E70" s="4">
        <v>7</v>
      </c>
      <c r="F70" s="4">
        <v>2.8</v>
      </c>
      <c r="G70">
        <v>2.8</v>
      </c>
      <c r="H70">
        <v>0.1</v>
      </c>
      <c r="I70" t="s">
        <v>15</v>
      </c>
      <c r="J70">
        <v>8</v>
      </c>
      <c r="K70">
        <v>2</v>
      </c>
      <c r="L70">
        <v>8</v>
      </c>
      <c r="M70">
        <v>0</v>
      </c>
      <c r="N70">
        <f>_xlfn.IFS(rounded[[#This Row],[social_interaction_level]] = "low", 1,rounded[[#This Row],[social_interaction_level]] = "medium", 2,rounded[[#This Row],[social_interaction_level]] = "high", 3)</f>
        <v>1</v>
      </c>
      <c r="O70">
        <f t="shared" si="1"/>
        <v>18</v>
      </c>
      <c r="P70" t="str" cm="1">
        <f t="array" ref="P70">_xlfn.SWITCH(rounded[[#This Row],[depression_label]], 0, "Not Depressed", 1, "Depressed")</f>
        <v>Not Depressed</v>
      </c>
      <c r="Q70" s="45" t="str" cm="1">
        <f t="array" ref="Q70">_xlfn.SWITCH(rounded[[#This Row],[gender]], "male", "Male", "female", "Female")</f>
        <v>Female</v>
      </c>
    </row>
    <row r="71" spans="1:17" x14ac:dyDescent="0.35">
      <c r="A71">
        <v>15</v>
      </c>
      <c r="B71" t="s">
        <v>13</v>
      </c>
      <c r="C71" s="4">
        <v>7.5</v>
      </c>
      <c r="D71" t="s">
        <v>20</v>
      </c>
      <c r="E71" s="4">
        <v>7</v>
      </c>
      <c r="F71" s="4">
        <v>0.9</v>
      </c>
      <c r="G71">
        <v>3.48</v>
      </c>
      <c r="H71">
        <v>1.1000000000000001</v>
      </c>
      <c r="I71" t="s">
        <v>18</v>
      </c>
      <c r="J71">
        <v>2</v>
      </c>
      <c r="K71">
        <v>2</v>
      </c>
      <c r="L71">
        <v>6</v>
      </c>
      <c r="M71">
        <v>0</v>
      </c>
      <c r="N71">
        <f>_xlfn.IFS(rounded[[#This Row],[social_interaction_level]] = "low", 1,rounded[[#This Row],[social_interaction_level]] = "medium", 2,rounded[[#This Row],[social_interaction_level]] = "high", 3)</f>
        <v>3</v>
      </c>
      <c r="O71">
        <f t="shared" si="1"/>
        <v>10</v>
      </c>
      <c r="P71" t="str" cm="1">
        <f t="array" ref="P71">_xlfn.SWITCH(rounded[[#This Row],[depression_label]], 0, "Not Depressed", 1, "Depressed")</f>
        <v>Not Depressed</v>
      </c>
      <c r="Q71" s="45" t="str" cm="1">
        <f t="array" ref="Q71">_xlfn.SWITCH(rounded[[#This Row],[gender]], "male", "Male", "female", "Female")</f>
        <v>Male</v>
      </c>
    </row>
    <row r="72" spans="1:17" x14ac:dyDescent="0.35">
      <c r="A72">
        <v>14</v>
      </c>
      <c r="B72" t="s">
        <v>13</v>
      </c>
      <c r="C72" s="4">
        <v>5.2</v>
      </c>
      <c r="D72" t="s">
        <v>20</v>
      </c>
      <c r="E72" s="4">
        <v>6.7</v>
      </c>
      <c r="F72" s="4">
        <v>2</v>
      </c>
      <c r="G72">
        <v>3.48</v>
      </c>
      <c r="H72">
        <v>1</v>
      </c>
      <c r="I72" t="s">
        <v>19</v>
      </c>
      <c r="J72">
        <v>2</v>
      </c>
      <c r="K72">
        <v>1</v>
      </c>
      <c r="L72">
        <v>5</v>
      </c>
      <c r="M72">
        <v>0</v>
      </c>
      <c r="N72">
        <f>_xlfn.IFS(rounded[[#This Row],[social_interaction_level]] = "low", 1,rounded[[#This Row],[social_interaction_level]] = "medium", 2,rounded[[#This Row],[social_interaction_level]] = "high", 3)</f>
        <v>2</v>
      </c>
      <c r="O72">
        <f t="shared" si="1"/>
        <v>8</v>
      </c>
      <c r="P72" t="str" cm="1">
        <f t="array" ref="P72">_xlfn.SWITCH(rounded[[#This Row],[depression_label]], 0, "Not Depressed", 1, "Depressed")</f>
        <v>Not Depressed</v>
      </c>
      <c r="Q72" s="45" t="str" cm="1">
        <f t="array" ref="Q72">_xlfn.SWITCH(rounded[[#This Row],[gender]], "male", "Male", "female", "Female")</f>
        <v>Male</v>
      </c>
    </row>
    <row r="73" spans="1:17" x14ac:dyDescent="0.35">
      <c r="A73">
        <v>16</v>
      </c>
      <c r="B73" t="s">
        <v>16</v>
      </c>
      <c r="C73" s="4">
        <v>3.1</v>
      </c>
      <c r="D73" t="s">
        <v>17</v>
      </c>
      <c r="E73" s="4">
        <v>5</v>
      </c>
      <c r="F73" s="4">
        <v>1.1000000000000001</v>
      </c>
      <c r="G73">
        <v>2.73</v>
      </c>
      <c r="H73">
        <v>1.6</v>
      </c>
      <c r="I73" t="s">
        <v>15</v>
      </c>
      <c r="J73">
        <v>2</v>
      </c>
      <c r="K73">
        <v>8</v>
      </c>
      <c r="L73">
        <v>1</v>
      </c>
      <c r="M73">
        <v>0</v>
      </c>
      <c r="N73">
        <f>_xlfn.IFS(rounded[[#This Row],[social_interaction_level]] = "low", 1,rounded[[#This Row],[social_interaction_level]] = "medium", 2,rounded[[#This Row],[social_interaction_level]] = "high", 3)</f>
        <v>1</v>
      </c>
      <c r="O73">
        <f t="shared" si="1"/>
        <v>11</v>
      </c>
      <c r="P73" t="str" cm="1">
        <f t="array" ref="P73">_xlfn.SWITCH(rounded[[#This Row],[depression_label]], 0, "Not Depressed", 1, "Depressed")</f>
        <v>Not Depressed</v>
      </c>
      <c r="Q73" s="45" t="str" cm="1">
        <f t="array" ref="Q73">_xlfn.SWITCH(rounded[[#This Row],[gender]], "male", "Male", "female", "Female")</f>
        <v>Female</v>
      </c>
    </row>
    <row r="74" spans="1:17" x14ac:dyDescent="0.35">
      <c r="A74">
        <v>16</v>
      </c>
      <c r="B74" t="s">
        <v>16</v>
      </c>
      <c r="C74" s="4">
        <v>2</v>
      </c>
      <c r="D74" t="s">
        <v>14</v>
      </c>
      <c r="E74" s="4">
        <v>8.6999999999999993</v>
      </c>
      <c r="F74" s="4">
        <v>1.2</v>
      </c>
      <c r="G74">
        <v>3</v>
      </c>
      <c r="H74">
        <v>0</v>
      </c>
      <c r="I74" t="s">
        <v>15</v>
      </c>
      <c r="J74">
        <v>8</v>
      </c>
      <c r="K74">
        <v>8</v>
      </c>
      <c r="L74">
        <v>4</v>
      </c>
      <c r="M74">
        <v>0</v>
      </c>
      <c r="N74">
        <f>_xlfn.IFS(rounded[[#This Row],[social_interaction_level]] = "low", 1,rounded[[#This Row],[social_interaction_level]] = "medium", 2,rounded[[#This Row],[social_interaction_level]] = "high", 3)</f>
        <v>1</v>
      </c>
      <c r="O74">
        <f t="shared" si="1"/>
        <v>20</v>
      </c>
      <c r="P74" t="str" cm="1">
        <f t="array" ref="P74">_xlfn.SWITCH(rounded[[#This Row],[depression_label]], 0, "Not Depressed", 1, "Depressed")</f>
        <v>Not Depressed</v>
      </c>
      <c r="Q74" s="45" t="str" cm="1">
        <f t="array" ref="Q74">_xlfn.SWITCH(rounded[[#This Row],[gender]], "male", "Male", "female", "Female")</f>
        <v>Female</v>
      </c>
    </row>
    <row r="75" spans="1:17" x14ac:dyDescent="0.35">
      <c r="A75">
        <v>14</v>
      </c>
      <c r="B75" t="s">
        <v>13</v>
      </c>
      <c r="C75" s="4">
        <v>2.7</v>
      </c>
      <c r="D75" t="s">
        <v>14</v>
      </c>
      <c r="E75" s="4">
        <v>8.4</v>
      </c>
      <c r="F75" s="4">
        <v>1.3</v>
      </c>
      <c r="G75">
        <v>2.0099999999999998</v>
      </c>
      <c r="H75">
        <v>0.6</v>
      </c>
      <c r="I75" t="s">
        <v>15</v>
      </c>
      <c r="J75">
        <v>6</v>
      </c>
      <c r="K75">
        <v>3</v>
      </c>
      <c r="L75">
        <v>8</v>
      </c>
      <c r="M75">
        <v>0</v>
      </c>
      <c r="N75">
        <f>_xlfn.IFS(rounded[[#This Row],[social_interaction_level]] = "low", 1,rounded[[#This Row],[social_interaction_level]] = "medium", 2,rounded[[#This Row],[social_interaction_level]] = "high", 3)</f>
        <v>1</v>
      </c>
      <c r="O75">
        <f t="shared" si="1"/>
        <v>17</v>
      </c>
      <c r="P75" t="str" cm="1">
        <f t="array" ref="P75">_xlfn.SWITCH(rounded[[#This Row],[depression_label]], 0, "Not Depressed", 1, "Depressed")</f>
        <v>Not Depressed</v>
      </c>
      <c r="Q75" s="45" t="str" cm="1">
        <f t="array" ref="Q75">_xlfn.SWITCH(rounded[[#This Row],[gender]], "male", "Male", "female", "Female")</f>
        <v>Male</v>
      </c>
    </row>
    <row r="76" spans="1:17" x14ac:dyDescent="0.35">
      <c r="A76">
        <v>14</v>
      </c>
      <c r="B76" t="s">
        <v>13</v>
      </c>
      <c r="C76" s="4">
        <v>1.5</v>
      </c>
      <c r="D76" t="s">
        <v>20</v>
      </c>
      <c r="E76" s="4">
        <v>4.3</v>
      </c>
      <c r="F76" s="4">
        <v>2.1</v>
      </c>
      <c r="G76">
        <v>3.9</v>
      </c>
      <c r="H76">
        <v>1.5</v>
      </c>
      <c r="I76" t="s">
        <v>15</v>
      </c>
      <c r="J76">
        <v>10</v>
      </c>
      <c r="K76">
        <v>2</v>
      </c>
      <c r="L76">
        <v>4</v>
      </c>
      <c r="M76">
        <v>0</v>
      </c>
      <c r="N76">
        <f>_xlfn.IFS(rounded[[#This Row],[social_interaction_level]] = "low", 1,rounded[[#This Row],[social_interaction_level]] = "medium", 2,rounded[[#This Row],[social_interaction_level]] = "high", 3)</f>
        <v>1</v>
      </c>
      <c r="O76">
        <f t="shared" si="1"/>
        <v>16</v>
      </c>
      <c r="P76" t="str" cm="1">
        <f t="array" ref="P76">_xlfn.SWITCH(rounded[[#This Row],[depression_label]], 0, "Not Depressed", 1, "Depressed")</f>
        <v>Not Depressed</v>
      </c>
      <c r="Q76" s="45" t="str" cm="1">
        <f t="array" ref="Q76">_xlfn.SWITCH(rounded[[#This Row],[gender]], "male", "Male", "female", "Female")</f>
        <v>Male</v>
      </c>
    </row>
    <row r="77" spans="1:17" x14ac:dyDescent="0.35">
      <c r="A77">
        <v>17</v>
      </c>
      <c r="B77" t="s">
        <v>16</v>
      </c>
      <c r="C77" s="4">
        <v>6.9</v>
      </c>
      <c r="D77" t="s">
        <v>14</v>
      </c>
      <c r="E77" s="4">
        <v>8.1999999999999993</v>
      </c>
      <c r="F77" s="4">
        <v>0.8</v>
      </c>
      <c r="G77">
        <v>2.36</v>
      </c>
      <c r="H77">
        <v>0</v>
      </c>
      <c r="I77" t="s">
        <v>19</v>
      </c>
      <c r="J77">
        <v>10</v>
      </c>
      <c r="K77">
        <v>10</v>
      </c>
      <c r="L77">
        <v>7</v>
      </c>
      <c r="M77">
        <v>0</v>
      </c>
      <c r="N77">
        <f>_xlfn.IFS(rounded[[#This Row],[social_interaction_level]] = "low", 1,rounded[[#This Row],[social_interaction_level]] = "medium", 2,rounded[[#This Row],[social_interaction_level]] = "high", 3)</f>
        <v>2</v>
      </c>
      <c r="O77">
        <f t="shared" si="1"/>
        <v>27</v>
      </c>
      <c r="P77" t="str" cm="1">
        <f t="array" ref="P77">_xlfn.SWITCH(rounded[[#This Row],[depression_label]], 0, "Not Depressed", 1, "Depressed")</f>
        <v>Not Depressed</v>
      </c>
      <c r="Q77" s="45" t="str" cm="1">
        <f t="array" ref="Q77">_xlfn.SWITCH(rounded[[#This Row],[gender]], "male", "Male", "female", "Female")</f>
        <v>Female</v>
      </c>
    </row>
    <row r="78" spans="1:17" x14ac:dyDescent="0.35">
      <c r="A78">
        <v>13</v>
      </c>
      <c r="B78" t="s">
        <v>13</v>
      </c>
      <c r="C78" s="4">
        <v>1.1000000000000001</v>
      </c>
      <c r="D78" t="s">
        <v>17</v>
      </c>
      <c r="E78" s="4">
        <v>7.1</v>
      </c>
      <c r="F78" s="4">
        <v>1.8</v>
      </c>
      <c r="G78">
        <v>2.5499999999999998</v>
      </c>
      <c r="H78">
        <v>0.8</v>
      </c>
      <c r="I78" t="s">
        <v>18</v>
      </c>
      <c r="J78">
        <v>5</v>
      </c>
      <c r="K78">
        <v>5</v>
      </c>
      <c r="L78">
        <v>10</v>
      </c>
      <c r="M78">
        <v>0</v>
      </c>
      <c r="N78">
        <f>_xlfn.IFS(rounded[[#This Row],[social_interaction_level]] = "low", 1,rounded[[#This Row],[social_interaction_level]] = "medium", 2,rounded[[#This Row],[social_interaction_level]] = "high", 3)</f>
        <v>3</v>
      </c>
      <c r="O78">
        <f t="shared" si="1"/>
        <v>20</v>
      </c>
      <c r="P78" t="str" cm="1">
        <f t="array" ref="P78">_xlfn.SWITCH(rounded[[#This Row],[depression_label]], 0, "Not Depressed", 1, "Depressed")</f>
        <v>Not Depressed</v>
      </c>
      <c r="Q78" s="45" t="str" cm="1">
        <f t="array" ref="Q78">_xlfn.SWITCH(rounded[[#This Row],[gender]], "male", "Male", "female", "Female")</f>
        <v>Male</v>
      </c>
    </row>
    <row r="79" spans="1:17" x14ac:dyDescent="0.35">
      <c r="A79">
        <v>13</v>
      </c>
      <c r="B79" t="s">
        <v>13</v>
      </c>
      <c r="C79" s="4">
        <v>3.4</v>
      </c>
      <c r="D79" t="s">
        <v>17</v>
      </c>
      <c r="E79" s="4">
        <v>4.4000000000000004</v>
      </c>
      <c r="F79" s="4">
        <v>0.6</v>
      </c>
      <c r="G79">
        <v>3.41</v>
      </c>
      <c r="H79">
        <v>0.2</v>
      </c>
      <c r="I79" t="s">
        <v>15</v>
      </c>
      <c r="J79">
        <v>8</v>
      </c>
      <c r="K79">
        <v>6</v>
      </c>
      <c r="L79">
        <v>3</v>
      </c>
      <c r="M79">
        <v>0</v>
      </c>
      <c r="N79">
        <f>_xlfn.IFS(rounded[[#This Row],[social_interaction_level]] = "low", 1,rounded[[#This Row],[social_interaction_level]] = "medium", 2,rounded[[#This Row],[social_interaction_level]] = "high", 3)</f>
        <v>1</v>
      </c>
      <c r="O79">
        <f t="shared" si="1"/>
        <v>17</v>
      </c>
      <c r="P79" t="str" cm="1">
        <f t="array" ref="P79">_xlfn.SWITCH(rounded[[#This Row],[depression_label]], 0, "Not Depressed", 1, "Depressed")</f>
        <v>Not Depressed</v>
      </c>
      <c r="Q79" s="45" t="str" cm="1">
        <f t="array" ref="Q79">_xlfn.SWITCH(rounded[[#This Row],[gender]], "male", "Male", "female", "Female")</f>
        <v>Male</v>
      </c>
    </row>
    <row r="80" spans="1:17" x14ac:dyDescent="0.35">
      <c r="A80">
        <v>15</v>
      </c>
      <c r="B80" t="s">
        <v>13</v>
      </c>
      <c r="C80" s="4">
        <v>6.7</v>
      </c>
      <c r="D80" t="s">
        <v>20</v>
      </c>
      <c r="E80" s="4">
        <v>4.5</v>
      </c>
      <c r="F80" s="4">
        <v>2.1</v>
      </c>
      <c r="G80">
        <v>3.71</v>
      </c>
      <c r="H80">
        <v>1.3</v>
      </c>
      <c r="I80" t="s">
        <v>18</v>
      </c>
      <c r="J80">
        <v>3</v>
      </c>
      <c r="K80">
        <v>3</v>
      </c>
      <c r="L80">
        <v>3</v>
      </c>
      <c r="M80">
        <v>0</v>
      </c>
      <c r="N80">
        <f>_xlfn.IFS(rounded[[#This Row],[social_interaction_level]] = "low", 1,rounded[[#This Row],[social_interaction_level]] = "medium", 2,rounded[[#This Row],[social_interaction_level]] = "high", 3)</f>
        <v>3</v>
      </c>
      <c r="O80">
        <f t="shared" si="1"/>
        <v>9</v>
      </c>
      <c r="P80" t="str" cm="1">
        <f t="array" ref="P80">_xlfn.SWITCH(rounded[[#This Row],[depression_label]], 0, "Not Depressed", 1, "Depressed")</f>
        <v>Not Depressed</v>
      </c>
      <c r="Q80" s="45" t="str" cm="1">
        <f t="array" ref="Q80">_xlfn.SWITCH(rounded[[#This Row],[gender]], "male", "Male", "female", "Female")</f>
        <v>Male</v>
      </c>
    </row>
    <row r="81" spans="1:17" x14ac:dyDescent="0.35">
      <c r="A81">
        <v>18</v>
      </c>
      <c r="B81" t="s">
        <v>13</v>
      </c>
      <c r="C81" s="4">
        <v>1.1000000000000001</v>
      </c>
      <c r="D81" t="s">
        <v>20</v>
      </c>
      <c r="E81" s="4">
        <v>7.2</v>
      </c>
      <c r="F81" s="4">
        <v>1</v>
      </c>
      <c r="G81">
        <v>3.13</v>
      </c>
      <c r="H81">
        <v>0.6</v>
      </c>
      <c r="I81" t="s">
        <v>19</v>
      </c>
      <c r="J81">
        <v>2</v>
      </c>
      <c r="K81">
        <v>1</v>
      </c>
      <c r="L81">
        <v>4</v>
      </c>
      <c r="M81">
        <v>0</v>
      </c>
      <c r="N81">
        <f>_xlfn.IFS(rounded[[#This Row],[social_interaction_level]] = "low", 1,rounded[[#This Row],[social_interaction_level]] = "medium", 2,rounded[[#This Row],[social_interaction_level]] = "high", 3)</f>
        <v>2</v>
      </c>
      <c r="O81">
        <f t="shared" si="1"/>
        <v>7</v>
      </c>
      <c r="P81" t="str" cm="1">
        <f t="array" ref="P81">_xlfn.SWITCH(rounded[[#This Row],[depression_label]], 0, "Not Depressed", 1, "Depressed")</f>
        <v>Not Depressed</v>
      </c>
      <c r="Q81" s="45" t="str" cm="1">
        <f t="array" ref="Q81">_xlfn.SWITCH(rounded[[#This Row],[gender]], "male", "Male", "female", "Female")</f>
        <v>Male</v>
      </c>
    </row>
    <row r="82" spans="1:17" x14ac:dyDescent="0.35">
      <c r="A82">
        <v>18</v>
      </c>
      <c r="B82" t="s">
        <v>16</v>
      </c>
      <c r="C82" s="4">
        <v>7.4</v>
      </c>
      <c r="D82" t="s">
        <v>14</v>
      </c>
      <c r="E82" s="4">
        <v>7.5</v>
      </c>
      <c r="F82" s="4">
        <v>2.2999999999999998</v>
      </c>
      <c r="G82">
        <v>2.39</v>
      </c>
      <c r="H82">
        <v>0.9</v>
      </c>
      <c r="I82" t="s">
        <v>18</v>
      </c>
      <c r="J82">
        <v>4</v>
      </c>
      <c r="K82">
        <v>1</v>
      </c>
      <c r="L82">
        <v>4</v>
      </c>
      <c r="M82">
        <v>0</v>
      </c>
      <c r="N82">
        <f>_xlfn.IFS(rounded[[#This Row],[social_interaction_level]] = "low", 1,rounded[[#This Row],[social_interaction_level]] = "medium", 2,rounded[[#This Row],[social_interaction_level]] = "high", 3)</f>
        <v>3</v>
      </c>
      <c r="O82">
        <f t="shared" si="1"/>
        <v>9</v>
      </c>
      <c r="P82" t="str" cm="1">
        <f t="array" ref="P82">_xlfn.SWITCH(rounded[[#This Row],[depression_label]], 0, "Not Depressed", 1, "Depressed")</f>
        <v>Not Depressed</v>
      </c>
      <c r="Q82" s="45" t="str" cm="1">
        <f t="array" ref="Q82">_xlfn.SWITCH(rounded[[#This Row],[gender]], "male", "Male", "female", "Female")</f>
        <v>Female</v>
      </c>
    </row>
    <row r="83" spans="1:17" x14ac:dyDescent="0.35">
      <c r="A83">
        <v>19</v>
      </c>
      <c r="B83" t="s">
        <v>16</v>
      </c>
      <c r="C83" s="4">
        <v>4.8</v>
      </c>
      <c r="D83" t="s">
        <v>17</v>
      </c>
      <c r="E83" s="4">
        <v>6</v>
      </c>
      <c r="F83" s="4">
        <v>1.5</v>
      </c>
      <c r="G83">
        <v>2.61</v>
      </c>
      <c r="H83">
        <v>1.2</v>
      </c>
      <c r="I83" t="s">
        <v>18</v>
      </c>
      <c r="J83">
        <v>2</v>
      </c>
      <c r="K83">
        <v>2</v>
      </c>
      <c r="L83">
        <v>6</v>
      </c>
      <c r="M83">
        <v>0</v>
      </c>
      <c r="N83">
        <f>_xlfn.IFS(rounded[[#This Row],[social_interaction_level]] = "low", 1,rounded[[#This Row],[social_interaction_level]] = "medium", 2,rounded[[#This Row],[social_interaction_level]] = "high", 3)</f>
        <v>3</v>
      </c>
      <c r="O83">
        <f t="shared" si="1"/>
        <v>10</v>
      </c>
      <c r="P83" t="str" cm="1">
        <f t="array" ref="P83">_xlfn.SWITCH(rounded[[#This Row],[depression_label]], 0, "Not Depressed", 1, "Depressed")</f>
        <v>Not Depressed</v>
      </c>
      <c r="Q83" s="45" t="str" cm="1">
        <f t="array" ref="Q83">_xlfn.SWITCH(rounded[[#This Row],[gender]], "male", "Male", "female", "Female")</f>
        <v>Female</v>
      </c>
    </row>
    <row r="84" spans="1:17" x14ac:dyDescent="0.35">
      <c r="A84">
        <v>14</v>
      </c>
      <c r="B84" t="s">
        <v>13</v>
      </c>
      <c r="C84" s="4">
        <v>1.2</v>
      </c>
      <c r="D84" t="s">
        <v>20</v>
      </c>
      <c r="E84" s="4">
        <v>5.2</v>
      </c>
      <c r="F84" s="4">
        <v>2.2000000000000002</v>
      </c>
      <c r="G84">
        <v>2.19</v>
      </c>
      <c r="H84">
        <v>1.9</v>
      </c>
      <c r="I84" t="s">
        <v>19</v>
      </c>
      <c r="J84">
        <v>9</v>
      </c>
      <c r="K84">
        <v>9</v>
      </c>
      <c r="L84">
        <v>4</v>
      </c>
      <c r="M84">
        <v>0</v>
      </c>
      <c r="N84">
        <f>_xlfn.IFS(rounded[[#This Row],[social_interaction_level]] = "low", 1,rounded[[#This Row],[social_interaction_level]] = "medium", 2,rounded[[#This Row],[social_interaction_level]] = "high", 3)</f>
        <v>2</v>
      </c>
      <c r="O84">
        <f t="shared" si="1"/>
        <v>22</v>
      </c>
      <c r="P84" t="str" cm="1">
        <f t="array" ref="P84">_xlfn.SWITCH(rounded[[#This Row],[depression_label]], 0, "Not Depressed", 1, "Depressed")</f>
        <v>Not Depressed</v>
      </c>
      <c r="Q84" s="45" t="str" cm="1">
        <f t="array" ref="Q84">_xlfn.SWITCH(rounded[[#This Row],[gender]], "male", "Male", "female", "Female")</f>
        <v>Male</v>
      </c>
    </row>
    <row r="85" spans="1:17" x14ac:dyDescent="0.35">
      <c r="A85">
        <v>13</v>
      </c>
      <c r="B85" t="s">
        <v>13</v>
      </c>
      <c r="C85" s="4">
        <v>7.4</v>
      </c>
      <c r="D85" t="s">
        <v>14</v>
      </c>
      <c r="E85" s="4">
        <v>5.6</v>
      </c>
      <c r="F85" s="4">
        <v>1.4</v>
      </c>
      <c r="G85">
        <v>2.95</v>
      </c>
      <c r="H85">
        <v>1.7</v>
      </c>
      <c r="I85" t="s">
        <v>18</v>
      </c>
      <c r="J85">
        <v>8</v>
      </c>
      <c r="K85">
        <v>5</v>
      </c>
      <c r="L85">
        <v>5</v>
      </c>
      <c r="M85">
        <v>0</v>
      </c>
      <c r="N85">
        <f>_xlfn.IFS(rounded[[#This Row],[social_interaction_level]] = "low", 1,rounded[[#This Row],[social_interaction_level]] = "medium", 2,rounded[[#This Row],[social_interaction_level]] = "high", 3)</f>
        <v>3</v>
      </c>
      <c r="O85">
        <f t="shared" si="1"/>
        <v>18</v>
      </c>
      <c r="P85" t="str" cm="1">
        <f t="array" ref="P85">_xlfn.SWITCH(rounded[[#This Row],[depression_label]], 0, "Not Depressed", 1, "Depressed")</f>
        <v>Not Depressed</v>
      </c>
      <c r="Q85" s="45" t="str" cm="1">
        <f t="array" ref="Q85">_xlfn.SWITCH(rounded[[#This Row],[gender]], "male", "Male", "female", "Female")</f>
        <v>Male</v>
      </c>
    </row>
    <row r="86" spans="1:17" x14ac:dyDescent="0.35">
      <c r="A86">
        <v>16</v>
      </c>
      <c r="B86" t="s">
        <v>16</v>
      </c>
      <c r="C86" s="4">
        <v>2.6</v>
      </c>
      <c r="D86" t="s">
        <v>20</v>
      </c>
      <c r="E86" s="4">
        <v>8.6</v>
      </c>
      <c r="F86" s="4">
        <v>1.3</v>
      </c>
      <c r="G86">
        <v>3.64</v>
      </c>
      <c r="H86">
        <v>1.6</v>
      </c>
      <c r="I86" t="s">
        <v>18</v>
      </c>
      <c r="J86">
        <v>5</v>
      </c>
      <c r="K86">
        <v>3</v>
      </c>
      <c r="L86">
        <v>1</v>
      </c>
      <c r="M86">
        <v>0</v>
      </c>
      <c r="N86">
        <f>_xlfn.IFS(rounded[[#This Row],[social_interaction_level]] = "low", 1,rounded[[#This Row],[social_interaction_level]] = "medium", 2,rounded[[#This Row],[social_interaction_level]] = "high", 3)</f>
        <v>3</v>
      </c>
      <c r="O86">
        <f t="shared" si="1"/>
        <v>9</v>
      </c>
      <c r="P86" t="str" cm="1">
        <f t="array" ref="P86">_xlfn.SWITCH(rounded[[#This Row],[depression_label]], 0, "Not Depressed", 1, "Depressed")</f>
        <v>Not Depressed</v>
      </c>
      <c r="Q86" s="45" t="str" cm="1">
        <f t="array" ref="Q86">_xlfn.SWITCH(rounded[[#This Row],[gender]], "male", "Male", "female", "Female")</f>
        <v>Female</v>
      </c>
    </row>
    <row r="87" spans="1:17" x14ac:dyDescent="0.35">
      <c r="A87">
        <v>17</v>
      </c>
      <c r="B87" t="s">
        <v>16</v>
      </c>
      <c r="C87" s="4">
        <v>5</v>
      </c>
      <c r="D87" t="s">
        <v>20</v>
      </c>
      <c r="E87" s="4">
        <v>9</v>
      </c>
      <c r="F87" s="4">
        <v>2.5</v>
      </c>
      <c r="G87">
        <v>3.4</v>
      </c>
      <c r="H87">
        <v>0.9</v>
      </c>
      <c r="I87" t="s">
        <v>18</v>
      </c>
      <c r="J87">
        <v>8</v>
      </c>
      <c r="K87">
        <v>10</v>
      </c>
      <c r="L87">
        <v>5</v>
      </c>
      <c r="M87">
        <v>0</v>
      </c>
      <c r="N87">
        <f>_xlfn.IFS(rounded[[#This Row],[social_interaction_level]] = "low", 1,rounded[[#This Row],[social_interaction_level]] = "medium", 2,rounded[[#This Row],[social_interaction_level]] = "high", 3)</f>
        <v>3</v>
      </c>
      <c r="O87">
        <f t="shared" si="1"/>
        <v>23</v>
      </c>
      <c r="P87" t="str" cm="1">
        <f t="array" ref="P87">_xlfn.SWITCH(rounded[[#This Row],[depression_label]], 0, "Not Depressed", 1, "Depressed")</f>
        <v>Not Depressed</v>
      </c>
      <c r="Q87" s="45" t="str" cm="1">
        <f t="array" ref="Q87">_xlfn.SWITCH(rounded[[#This Row],[gender]], "male", "Male", "female", "Female")</f>
        <v>Female</v>
      </c>
    </row>
    <row r="88" spans="1:17" x14ac:dyDescent="0.35">
      <c r="A88">
        <v>18</v>
      </c>
      <c r="B88" t="s">
        <v>13</v>
      </c>
      <c r="C88" s="4">
        <v>7.5</v>
      </c>
      <c r="D88" t="s">
        <v>14</v>
      </c>
      <c r="E88" s="4">
        <v>7.4</v>
      </c>
      <c r="F88" s="4">
        <v>1.8</v>
      </c>
      <c r="G88">
        <v>3.47</v>
      </c>
      <c r="H88">
        <v>0</v>
      </c>
      <c r="I88" t="s">
        <v>15</v>
      </c>
      <c r="J88">
        <v>9</v>
      </c>
      <c r="K88">
        <v>4</v>
      </c>
      <c r="L88">
        <v>2</v>
      </c>
      <c r="M88">
        <v>0</v>
      </c>
      <c r="N88">
        <f>_xlfn.IFS(rounded[[#This Row],[social_interaction_level]] = "low", 1,rounded[[#This Row],[social_interaction_level]] = "medium", 2,rounded[[#This Row],[social_interaction_level]] = "high", 3)</f>
        <v>1</v>
      </c>
      <c r="O88">
        <f t="shared" si="1"/>
        <v>15</v>
      </c>
      <c r="P88" t="str" cm="1">
        <f t="array" ref="P88">_xlfn.SWITCH(rounded[[#This Row],[depression_label]], 0, "Not Depressed", 1, "Depressed")</f>
        <v>Not Depressed</v>
      </c>
      <c r="Q88" s="45" t="str" cm="1">
        <f t="array" ref="Q88">_xlfn.SWITCH(rounded[[#This Row],[gender]], "male", "Male", "female", "Female")</f>
        <v>Male</v>
      </c>
    </row>
    <row r="89" spans="1:17" x14ac:dyDescent="0.35">
      <c r="A89">
        <v>17</v>
      </c>
      <c r="B89" t="s">
        <v>16</v>
      </c>
      <c r="C89" s="4">
        <v>5.4</v>
      </c>
      <c r="D89" t="s">
        <v>20</v>
      </c>
      <c r="E89" s="4">
        <v>5.7</v>
      </c>
      <c r="F89" s="4">
        <v>2.5</v>
      </c>
      <c r="G89">
        <v>3.13</v>
      </c>
      <c r="H89">
        <v>1.9</v>
      </c>
      <c r="I89" t="s">
        <v>19</v>
      </c>
      <c r="J89">
        <v>5</v>
      </c>
      <c r="K89">
        <v>10</v>
      </c>
      <c r="L89">
        <v>3</v>
      </c>
      <c r="M89">
        <v>0</v>
      </c>
      <c r="N89">
        <f>_xlfn.IFS(rounded[[#This Row],[social_interaction_level]] = "low", 1,rounded[[#This Row],[social_interaction_level]] = "medium", 2,rounded[[#This Row],[social_interaction_level]] = "high", 3)</f>
        <v>2</v>
      </c>
      <c r="O89">
        <f t="shared" si="1"/>
        <v>18</v>
      </c>
      <c r="P89" t="str" cm="1">
        <f t="array" ref="P89">_xlfn.SWITCH(rounded[[#This Row],[depression_label]], 0, "Not Depressed", 1, "Depressed")</f>
        <v>Not Depressed</v>
      </c>
      <c r="Q89" s="45" t="str" cm="1">
        <f t="array" ref="Q89">_xlfn.SWITCH(rounded[[#This Row],[gender]], "male", "Male", "female", "Female")</f>
        <v>Female</v>
      </c>
    </row>
    <row r="90" spans="1:17" x14ac:dyDescent="0.35">
      <c r="A90">
        <v>17</v>
      </c>
      <c r="B90" t="s">
        <v>16</v>
      </c>
      <c r="C90" s="4">
        <v>5.6</v>
      </c>
      <c r="D90" t="s">
        <v>14</v>
      </c>
      <c r="E90" s="4">
        <v>5.3</v>
      </c>
      <c r="F90" s="4">
        <v>1.7</v>
      </c>
      <c r="G90">
        <v>2.77</v>
      </c>
      <c r="H90">
        <v>0.9</v>
      </c>
      <c r="I90" t="s">
        <v>19</v>
      </c>
      <c r="J90">
        <v>8</v>
      </c>
      <c r="K90">
        <v>4</v>
      </c>
      <c r="L90">
        <v>8</v>
      </c>
      <c r="M90">
        <v>0</v>
      </c>
      <c r="N90">
        <f>_xlfn.IFS(rounded[[#This Row],[social_interaction_level]] = "low", 1,rounded[[#This Row],[social_interaction_level]] = "medium", 2,rounded[[#This Row],[social_interaction_level]] = "high", 3)</f>
        <v>2</v>
      </c>
      <c r="O90">
        <f t="shared" si="1"/>
        <v>20</v>
      </c>
      <c r="P90" t="str" cm="1">
        <f t="array" ref="P90">_xlfn.SWITCH(rounded[[#This Row],[depression_label]], 0, "Not Depressed", 1, "Depressed")</f>
        <v>Not Depressed</v>
      </c>
      <c r="Q90" s="45" t="str" cm="1">
        <f t="array" ref="Q90">_xlfn.SWITCH(rounded[[#This Row],[gender]], "male", "Male", "female", "Female")</f>
        <v>Female</v>
      </c>
    </row>
    <row r="91" spans="1:17" x14ac:dyDescent="0.35">
      <c r="A91">
        <v>18</v>
      </c>
      <c r="B91" t="s">
        <v>13</v>
      </c>
      <c r="C91" s="4">
        <v>6.2</v>
      </c>
      <c r="D91" t="s">
        <v>14</v>
      </c>
      <c r="E91" s="4">
        <v>4.0999999999999996</v>
      </c>
      <c r="F91" s="4">
        <v>2.8</v>
      </c>
      <c r="G91">
        <v>3.41</v>
      </c>
      <c r="H91">
        <v>1.1000000000000001</v>
      </c>
      <c r="I91" t="s">
        <v>19</v>
      </c>
      <c r="J91">
        <v>7</v>
      </c>
      <c r="K91">
        <v>8</v>
      </c>
      <c r="L91">
        <v>1</v>
      </c>
      <c r="M91">
        <v>1</v>
      </c>
      <c r="N91">
        <f>_xlfn.IFS(rounded[[#This Row],[social_interaction_level]] = "low", 1,rounded[[#This Row],[social_interaction_level]] = "medium", 2,rounded[[#This Row],[social_interaction_level]] = "high", 3)</f>
        <v>2</v>
      </c>
      <c r="O91">
        <f t="shared" si="1"/>
        <v>16</v>
      </c>
      <c r="P91" t="str" cm="1">
        <f t="array" ref="P91">_xlfn.SWITCH(rounded[[#This Row],[depression_label]], 0, "Not Depressed", 1, "Depressed")</f>
        <v>Depressed</v>
      </c>
      <c r="Q91" s="45" t="str" cm="1">
        <f t="array" ref="Q91">_xlfn.SWITCH(rounded[[#This Row],[gender]], "male", "Male", "female", "Female")</f>
        <v>Male</v>
      </c>
    </row>
    <row r="92" spans="1:17" x14ac:dyDescent="0.35">
      <c r="A92">
        <v>17</v>
      </c>
      <c r="B92" t="s">
        <v>16</v>
      </c>
      <c r="C92" s="4">
        <v>4.7</v>
      </c>
      <c r="D92" t="s">
        <v>14</v>
      </c>
      <c r="E92" s="4">
        <v>4.7</v>
      </c>
      <c r="F92" s="4">
        <v>2.4</v>
      </c>
      <c r="G92">
        <v>3.94</v>
      </c>
      <c r="H92">
        <v>0</v>
      </c>
      <c r="I92" t="s">
        <v>19</v>
      </c>
      <c r="J92">
        <v>10</v>
      </c>
      <c r="K92">
        <v>5</v>
      </c>
      <c r="L92">
        <v>8</v>
      </c>
      <c r="M92">
        <v>0</v>
      </c>
      <c r="N92">
        <f>_xlfn.IFS(rounded[[#This Row],[social_interaction_level]] = "low", 1,rounded[[#This Row],[social_interaction_level]] = "medium", 2,rounded[[#This Row],[social_interaction_level]] = "high", 3)</f>
        <v>2</v>
      </c>
      <c r="O92">
        <f t="shared" si="1"/>
        <v>23</v>
      </c>
      <c r="P92" t="str" cm="1">
        <f t="array" ref="P92">_xlfn.SWITCH(rounded[[#This Row],[depression_label]], 0, "Not Depressed", 1, "Depressed")</f>
        <v>Not Depressed</v>
      </c>
      <c r="Q92" s="45" t="str" cm="1">
        <f t="array" ref="Q92">_xlfn.SWITCH(rounded[[#This Row],[gender]], "male", "Male", "female", "Female")</f>
        <v>Female</v>
      </c>
    </row>
    <row r="93" spans="1:17" x14ac:dyDescent="0.35">
      <c r="A93">
        <v>18</v>
      </c>
      <c r="B93" t="s">
        <v>16</v>
      </c>
      <c r="C93" s="4">
        <v>4</v>
      </c>
      <c r="D93" t="s">
        <v>14</v>
      </c>
      <c r="E93" s="4">
        <v>4.5999999999999996</v>
      </c>
      <c r="F93" s="4">
        <v>2.2000000000000002</v>
      </c>
      <c r="G93">
        <v>3.7</v>
      </c>
      <c r="H93">
        <v>0.6</v>
      </c>
      <c r="I93" t="s">
        <v>19</v>
      </c>
      <c r="J93">
        <v>4</v>
      </c>
      <c r="K93">
        <v>1</v>
      </c>
      <c r="L93">
        <v>4</v>
      </c>
      <c r="M93">
        <v>0</v>
      </c>
      <c r="N93">
        <f>_xlfn.IFS(rounded[[#This Row],[social_interaction_level]] = "low", 1,rounded[[#This Row],[social_interaction_level]] = "medium", 2,rounded[[#This Row],[social_interaction_level]] = "high", 3)</f>
        <v>2</v>
      </c>
      <c r="O93">
        <f t="shared" si="1"/>
        <v>9</v>
      </c>
      <c r="P93" t="str" cm="1">
        <f t="array" ref="P93">_xlfn.SWITCH(rounded[[#This Row],[depression_label]], 0, "Not Depressed", 1, "Depressed")</f>
        <v>Not Depressed</v>
      </c>
      <c r="Q93" s="45" t="str" cm="1">
        <f t="array" ref="Q93">_xlfn.SWITCH(rounded[[#This Row],[gender]], "male", "Male", "female", "Female")</f>
        <v>Female</v>
      </c>
    </row>
    <row r="94" spans="1:17" x14ac:dyDescent="0.35">
      <c r="A94">
        <v>18</v>
      </c>
      <c r="B94" t="s">
        <v>13</v>
      </c>
      <c r="C94" s="4">
        <v>6.2</v>
      </c>
      <c r="D94" t="s">
        <v>17</v>
      </c>
      <c r="E94" s="4">
        <v>8.6</v>
      </c>
      <c r="F94" s="4">
        <v>1.5</v>
      </c>
      <c r="G94">
        <v>3.22</v>
      </c>
      <c r="H94">
        <v>1.6</v>
      </c>
      <c r="I94" t="s">
        <v>15</v>
      </c>
      <c r="J94">
        <v>4</v>
      </c>
      <c r="K94">
        <v>5</v>
      </c>
      <c r="L94">
        <v>7</v>
      </c>
      <c r="M94">
        <v>0</v>
      </c>
      <c r="N94">
        <f>_xlfn.IFS(rounded[[#This Row],[social_interaction_level]] = "low", 1,rounded[[#This Row],[social_interaction_level]] = "medium", 2,rounded[[#This Row],[social_interaction_level]] = "high", 3)</f>
        <v>1</v>
      </c>
      <c r="O94">
        <f t="shared" si="1"/>
        <v>16</v>
      </c>
      <c r="P94" t="str" cm="1">
        <f t="array" ref="P94">_xlfn.SWITCH(rounded[[#This Row],[depression_label]], 0, "Not Depressed", 1, "Depressed")</f>
        <v>Not Depressed</v>
      </c>
      <c r="Q94" s="45" t="str" cm="1">
        <f t="array" ref="Q94">_xlfn.SWITCH(rounded[[#This Row],[gender]], "male", "Male", "female", "Female")</f>
        <v>Male</v>
      </c>
    </row>
    <row r="95" spans="1:17" x14ac:dyDescent="0.35">
      <c r="A95">
        <v>17</v>
      </c>
      <c r="B95" t="s">
        <v>16</v>
      </c>
      <c r="C95" s="4">
        <v>5.6</v>
      </c>
      <c r="D95" t="s">
        <v>17</v>
      </c>
      <c r="E95" s="4">
        <v>6.8</v>
      </c>
      <c r="F95" s="4">
        <v>2</v>
      </c>
      <c r="G95">
        <v>2.2200000000000002</v>
      </c>
      <c r="H95">
        <v>1</v>
      </c>
      <c r="I95" t="s">
        <v>19</v>
      </c>
      <c r="J95">
        <v>6</v>
      </c>
      <c r="K95">
        <v>9</v>
      </c>
      <c r="L95">
        <v>8</v>
      </c>
      <c r="M95">
        <v>0</v>
      </c>
      <c r="N95">
        <f>_xlfn.IFS(rounded[[#This Row],[social_interaction_level]] = "low", 1,rounded[[#This Row],[social_interaction_level]] = "medium", 2,rounded[[#This Row],[social_interaction_level]] = "high", 3)</f>
        <v>2</v>
      </c>
      <c r="O95">
        <f t="shared" si="1"/>
        <v>23</v>
      </c>
      <c r="P95" t="str" cm="1">
        <f t="array" ref="P95">_xlfn.SWITCH(rounded[[#This Row],[depression_label]], 0, "Not Depressed", 1, "Depressed")</f>
        <v>Not Depressed</v>
      </c>
      <c r="Q95" s="45" t="str" cm="1">
        <f t="array" ref="Q95">_xlfn.SWITCH(rounded[[#This Row],[gender]], "male", "Male", "female", "Female")</f>
        <v>Female</v>
      </c>
    </row>
    <row r="96" spans="1:17" x14ac:dyDescent="0.35">
      <c r="A96">
        <v>13</v>
      </c>
      <c r="B96" t="s">
        <v>16</v>
      </c>
      <c r="C96" s="4">
        <v>4</v>
      </c>
      <c r="D96" t="s">
        <v>14</v>
      </c>
      <c r="E96" s="4">
        <v>4.4000000000000004</v>
      </c>
      <c r="F96" s="4">
        <v>2.5</v>
      </c>
      <c r="G96">
        <v>3.6</v>
      </c>
      <c r="H96">
        <v>1.4</v>
      </c>
      <c r="I96" t="s">
        <v>19</v>
      </c>
      <c r="J96">
        <v>7</v>
      </c>
      <c r="K96">
        <v>2</v>
      </c>
      <c r="L96">
        <v>10</v>
      </c>
      <c r="M96">
        <v>0</v>
      </c>
      <c r="N96">
        <f>_xlfn.IFS(rounded[[#This Row],[social_interaction_level]] = "low", 1,rounded[[#This Row],[social_interaction_level]] = "medium", 2,rounded[[#This Row],[social_interaction_level]] = "high", 3)</f>
        <v>2</v>
      </c>
      <c r="O96">
        <f t="shared" si="1"/>
        <v>19</v>
      </c>
      <c r="P96" t="str" cm="1">
        <f t="array" ref="P96">_xlfn.SWITCH(rounded[[#This Row],[depression_label]], 0, "Not Depressed", 1, "Depressed")</f>
        <v>Not Depressed</v>
      </c>
      <c r="Q96" s="45" t="str" cm="1">
        <f t="array" ref="Q96">_xlfn.SWITCH(rounded[[#This Row],[gender]], "male", "Male", "female", "Female")</f>
        <v>Female</v>
      </c>
    </row>
    <row r="97" spans="1:17" x14ac:dyDescent="0.35">
      <c r="A97">
        <v>15</v>
      </c>
      <c r="B97" t="s">
        <v>16</v>
      </c>
      <c r="C97" s="4">
        <v>1.8</v>
      </c>
      <c r="D97" t="s">
        <v>14</v>
      </c>
      <c r="E97" s="4">
        <v>6.4</v>
      </c>
      <c r="F97" s="4">
        <v>2.4</v>
      </c>
      <c r="G97">
        <v>2.16</v>
      </c>
      <c r="H97">
        <v>1.9</v>
      </c>
      <c r="I97" t="s">
        <v>19</v>
      </c>
      <c r="J97">
        <v>3</v>
      </c>
      <c r="K97">
        <v>6</v>
      </c>
      <c r="L97">
        <v>9</v>
      </c>
      <c r="M97">
        <v>0</v>
      </c>
      <c r="N97">
        <f>_xlfn.IFS(rounded[[#This Row],[social_interaction_level]] = "low", 1,rounded[[#This Row],[social_interaction_level]] = "medium", 2,rounded[[#This Row],[social_interaction_level]] = "high", 3)</f>
        <v>2</v>
      </c>
      <c r="O97">
        <f t="shared" si="1"/>
        <v>18</v>
      </c>
      <c r="P97" t="str" cm="1">
        <f t="array" ref="P97">_xlfn.SWITCH(rounded[[#This Row],[depression_label]], 0, "Not Depressed", 1, "Depressed")</f>
        <v>Not Depressed</v>
      </c>
      <c r="Q97" s="45" t="str" cm="1">
        <f t="array" ref="Q97">_xlfn.SWITCH(rounded[[#This Row],[gender]], "male", "Male", "female", "Female")</f>
        <v>Female</v>
      </c>
    </row>
    <row r="98" spans="1:17" x14ac:dyDescent="0.35">
      <c r="A98">
        <v>13</v>
      </c>
      <c r="B98" t="s">
        <v>13</v>
      </c>
      <c r="C98" s="4">
        <v>3.1</v>
      </c>
      <c r="D98" t="s">
        <v>17</v>
      </c>
      <c r="E98" s="4">
        <v>5.4</v>
      </c>
      <c r="F98" s="4">
        <v>1.9</v>
      </c>
      <c r="G98">
        <v>3.66</v>
      </c>
      <c r="H98">
        <v>0.4</v>
      </c>
      <c r="I98" t="s">
        <v>15</v>
      </c>
      <c r="J98">
        <v>7</v>
      </c>
      <c r="K98">
        <v>4</v>
      </c>
      <c r="L98">
        <v>2</v>
      </c>
      <c r="M98">
        <v>0</v>
      </c>
      <c r="N98">
        <f>_xlfn.IFS(rounded[[#This Row],[social_interaction_level]] = "low", 1,rounded[[#This Row],[social_interaction_level]] = "medium", 2,rounded[[#This Row],[social_interaction_level]] = "high", 3)</f>
        <v>1</v>
      </c>
      <c r="O98">
        <f t="shared" si="1"/>
        <v>13</v>
      </c>
      <c r="P98" t="str" cm="1">
        <f t="array" ref="P98">_xlfn.SWITCH(rounded[[#This Row],[depression_label]], 0, "Not Depressed", 1, "Depressed")</f>
        <v>Not Depressed</v>
      </c>
      <c r="Q98" s="45" t="str" cm="1">
        <f t="array" ref="Q98">_xlfn.SWITCH(rounded[[#This Row],[gender]], "male", "Male", "female", "Female")</f>
        <v>Male</v>
      </c>
    </row>
    <row r="99" spans="1:17" x14ac:dyDescent="0.35">
      <c r="A99">
        <v>13</v>
      </c>
      <c r="B99" t="s">
        <v>16</v>
      </c>
      <c r="C99" s="4">
        <v>3.5</v>
      </c>
      <c r="D99" t="s">
        <v>17</v>
      </c>
      <c r="E99" s="4">
        <v>5.2</v>
      </c>
      <c r="F99" s="4">
        <v>2.5</v>
      </c>
      <c r="G99">
        <v>2.57</v>
      </c>
      <c r="H99">
        <v>1.1000000000000001</v>
      </c>
      <c r="I99" t="s">
        <v>18</v>
      </c>
      <c r="J99">
        <v>1</v>
      </c>
      <c r="K99">
        <v>6</v>
      </c>
      <c r="L99">
        <v>3</v>
      </c>
      <c r="M99">
        <v>0</v>
      </c>
      <c r="N99">
        <f>_xlfn.IFS(rounded[[#This Row],[social_interaction_level]] = "low", 1,rounded[[#This Row],[social_interaction_level]] = "medium", 2,rounded[[#This Row],[social_interaction_level]] = "high", 3)</f>
        <v>3</v>
      </c>
      <c r="O99">
        <f t="shared" si="1"/>
        <v>10</v>
      </c>
      <c r="P99" t="str" cm="1">
        <f t="array" ref="P99">_xlfn.SWITCH(rounded[[#This Row],[depression_label]], 0, "Not Depressed", 1, "Depressed")</f>
        <v>Not Depressed</v>
      </c>
      <c r="Q99" s="45" t="str" cm="1">
        <f t="array" ref="Q99">_xlfn.SWITCH(rounded[[#This Row],[gender]], "male", "Male", "female", "Female")</f>
        <v>Female</v>
      </c>
    </row>
    <row r="100" spans="1:17" x14ac:dyDescent="0.35">
      <c r="A100">
        <v>18</v>
      </c>
      <c r="B100" t="s">
        <v>13</v>
      </c>
      <c r="C100" s="4">
        <v>7.4</v>
      </c>
      <c r="D100" t="s">
        <v>17</v>
      </c>
      <c r="E100" s="4">
        <v>6.4</v>
      </c>
      <c r="F100" s="4">
        <v>2.2000000000000002</v>
      </c>
      <c r="G100">
        <v>3.51</v>
      </c>
      <c r="H100">
        <v>1</v>
      </c>
      <c r="I100" t="s">
        <v>18</v>
      </c>
      <c r="J100">
        <v>4</v>
      </c>
      <c r="K100">
        <v>5</v>
      </c>
      <c r="L100">
        <v>4</v>
      </c>
      <c r="M100">
        <v>0</v>
      </c>
      <c r="N100">
        <f>_xlfn.IFS(rounded[[#This Row],[social_interaction_level]] = "low", 1,rounded[[#This Row],[social_interaction_level]] = "medium", 2,rounded[[#This Row],[social_interaction_level]] = "high", 3)</f>
        <v>3</v>
      </c>
      <c r="O100">
        <f t="shared" si="1"/>
        <v>13</v>
      </c>
      <c r="P100" t="str" cm="1">
        <f t="array" ref="P100">_xlfn.SWITCH(rounded[[#This Row],[depression_label]], 0, "Not Depressed", 1, "Depressed")</f>
        <v>Not Depressed</v>
      </c>
      <c r="Q100" s="45" t="str" cm="1">
        <f t="array" ref="Q100">_xlfn.SWITCH(rounded[[#This Row],[gender]], "male", "Male", "female", "Female")</f>
        <v>Male</v>
      </c>
    </row>
    <row r="101" spans="1:17" x14ac:dyDescent="0.35">
      <c r="A101">
        <v>16</v>
      </c>
      <c r="B101" t="s">
        <v>13</v>
      </c>
      <c r="C101" s="4">
        <v>8</v>
      </c>
      <c r="D101" t="s">
        <v>14</v>
      </c>
      <c r="E101" s="4">
        <v>5.5</v>
      </c>
      <c r="F101" s="4">
        <v>1.4</v>
      </c>
      <c r="G101">
        <v>2.95</v>
      </c>
      <c r="H101">
        <v>0.3</v>
      </c>
      <c r="I101" t="s">
        <v>19</v>
      </c>
      <c r="J101">
        <v>2</v>
      </c>
      <c r="K101">
        <v>5</v>
      </c>
      <c r="L101">
        <v>2</v>
      </c>
      <c r="M101">
        <v>0</v>
      </c>
      <c r="N101">
        <f>_xlfn.IFS(rounded[[#This Row],[social_interaction_level]] = "low", 1,rounded[[#This Row],[social_interaction_level]] = "medium", 2,rounded[[#This Row],[social_interaction_level]] = "high", 3)</f>
        <v>2</v>
      </c>
      <c r="O101">
        <f t="shared" si="1"/>
        <v>9</v>
      </c>
      <c r="P101" t="str" cm="1">
        <f t="array" ref="P101">_xlfn.SWITCH(rounded[[#This Row],[depression_label]], 0, "Not Depressed", 1, "Depressed")</f>
        <v>Not Depressed</v>
      </c>
      <c r="Q101" s="45" t="str" cm="1">
        <f t="array" ref="Q101">_xlfn.SWITCH(rounded[[#This Row],[gender]], "male", "Male", "female", "Female")</f>
        <v>Male</v>
      </c>
    </row>
    <row r="102" spans="1:17" x14ac:dyDescent="0.35">
      <c r="A102">
        <v>13</v>
      </c>
      <c r="B102" t="s">
        <v>13</v>
      </c>
      <c r="C102" s="4">
        <v>5.0999999999999996</v>
      </c>
      <c r="D102" t="s">
        <v>20</v>
      </c>
      <c r="E102" s="4">
        <v>4.0999999999999996</v>
      </c>
      <c r="F102" s="4">
        <v>1.6</v>
      </c>
      <c r="G102">
        <v>3.32</v>
      </c>
      <c r="H102">
        <v>0.8</v>
      </c>
      <c r="I102" t="s">
        <v>19</v>
      </c>
      <c r="J102">
        <v>1</v>
      </c>
      <c r="K102">
        <v>3</v>
      </c>
      <c r="L102">
        <v>8</v>
      </c>
      <c r="M102">
        <v>0</v>
      </c>
      <c r="N102">
        <f>_xlfn.IFS(rounded[[#This Row],[social_interaction_level]] = "low", 1,rounded[[#This Row],[social_interaction_level]] = "medium", 2,rounded[[#This Row],[social_interaction_level]] = "high", 3)</f>
        <v>2</v>
      </c>
      <c r="O102">
        <f t="shared" si="1"/>
        <v>12</v>
      </c>
      <c r="P102" t="str" cm="1">
        <f t="array" ref="P102">_xlfn.SWITCH(rounded[[#This Row],[depression_label]], 0, "Not Depressed", 1, "Depressed")</f>
        <v>Not Depressed</v>
      </c>
      <c r="Q102" s="45" t="str" cm="1">
        <f t="array" ref="Q102">_xlfn.SWITCH(rounded[[#This Row],[gender]], "male", "Male", "female", "Female")</f>
        <v>Male</v>
      </c>
    </row>
    <row r="103" spans="1:17" x14ac:dyDescent="0.35">
      <c r="A103">
        <v>18</v>
      </c>
      <c r="B103" t="s">
        <v>16</v>
      </c>
      <c r="C103" s="4">
        <v>2.4</v>
      </c>
      <c r="D103" t="s">
        <v>14</v>
      </c>
      <c r="E103" s="4">
        <v>6.3</v>
      </c>
      <c r="F103" s="4">
        <v>1.3</v>
      </c>
      <c r="G103">
        <v>3.05</v>
      </c>
      <c r="H103">
        <v>1.7</v>
      </c>
      <c r="I103" t="s">
        <v>15</v>
      </c>
      <c r="J103">
        <v>2</v>
      </c>
      <c r="K103">
        <v>9</v>
      </c>
      <c r="L103">
        <v>5</v>
      </c>
      <c r="M103">
        <v>0</v>
      </c>
      <c r="N103">
        <f>_xlfn.IFS(rounded[[#This Row],[social_interaction_level]] = "low", 1,rounded[[#This Row],[social_interaction_level]] = "medium", 2,rounded[[#This Row],[social_interaction_level]] = "high", 3)</f>
        <v>1</v>
      </c>
      <c r="O103">
        <f t="shared" si="1"/>
        <v>16</v>
      </c>
      <c r="P103" t="str" cm="1">
        <f t="array" ref="P103">_xlfn.SWITCH(rounded[[#This Row],[depression_label]], 0, "Not Depressed", 1, "Depressed")</f>
        <v>Not Depressed</v>
      </c>
      <c r="Q103" s="45" t="str" cm="1">
        <f t="array" ref="Q103">_xlfn.SWITCH(rounded[[#This Row],[gender]], "male", "Male", "female", "Female")</f>
        <v>Female</v>
      </c>
    </row>
    <row r="104" spans="1:17" x14ac:dyDescent="0.35">
      <c r="A104">
        <v>13</v>
      </c>
      <c r="B104" t="s">
        <v>13</v>
      </c>
      <c r="C104" s="4">
        <v>1.6</v>
      </c>
      <c r="D104" t="s">
        <v>14</v>
      </c>
      <c r="E104" s="4">
        <v>4.2</v>
      </c>
      <c r="F104" s="4">
        <v>1.5</v>
      </c>
      <c r="G104">
        <v>3.72</v>
      </c>
      <c r="H104">
        <v>1.7</v>
      </c>
      <c r="I104" t="s">
        <v>19</v>
      </c>
      <c r="J104">
        <v>10</v>
      </c>
      <c r="K104">
        <v>1</v>
      </c>
      <c r="L104">
        <v>10</v>
      </c>
      <c r="M104">
        <v>0</v>
      </c>
      <c r="N104">
        <f>_xlfn.IFS(rounded[[#This Row],[social_interaction_level]] = "low", 1,rounded[[#This Row],[social_interaction_level]] = "medium", 2,rounded[[#This Row],[social_interaction_level]] = "high", 3)</f>
        <v>2</v>
      </c>
      <c r="O104">
        <f t="shared" si="1"/>
        <v>21</v>
      </c>
      <c r="P104" t="str" cm="1">
        <f t="array" ref="P104">_xlfn.SWITCH(rounded[[#This Row],[depression_label]], 0, "Not Depressed", 1, "Depressed")</f>
        <v>Not Depressed</v>
      </c>
      <c r="Q104" s="45" t="str" cm="1">
        <f t="array" ref="Q104">_xlfn.SWITCH(rounded[[#This Row],[gender]], "male", "Male", "female", "Female")</f>
        <v>Male</v>
      </c>
    </row>
    <row r="105" spans="1:17" x14ac:dyDescent="0.35">
      <c r="A105">
        <v>18</v>
      </c>
      <c r="B105" t="s">
        <v>13</v>
      </c>
      <c r="C105" s="4">
        <v>5.8</v>
      </c>
      <c r="D105" t="s">
        <v>14</v>
      </c>
      <c r="E105" s="4">
        <v>6.7</v>
      </c>
      <c r="F105" s="4">
        <v>1.9</v>
      </c>
      <c r="G105">
        <v>3</v>
      </c>
      <c r="H105">
        <v>1.9</v>
      </c>
      <c r="I105" t="s">
        <v>15</v>
      </c>
      <c r="J105">
        <v>5</v>
      </c>
      <c r="K105">
        <v>8</v>
      </c>
      <c r="L105">
        <v>2</v>
      </c>
      <c r="M105">
        <v>0</v>
      </c>
      <c r="N105">
        <f>_xlfn.IFS(rounded[[#This Row],[social_interaction_level]] = "low", 1,rounded[[#This Row],[social_interaction_level]] = "medium", 2,rounded[[#This Row],[social_interaction_level]] = "high", 3)</f>
        <v>1</v>
      </c>
      <c r="O105">
        <f t="shared" si="1"/>
        <v>15</v>
      </c>
      <c r="P105" t="str" cm="1">
        <f t="array" ref="P105">_xlfn.SWITCH(rounded[[#This Row],[depression_label]], 0, "Not Depressed", 1, "Depressed")</f>
        <v>Not Depressed</v>
      </c>
      <c r="Q105" s="45" t="str" cm="1">
        <f t="array" ref="Q105">_xlfn.SWITCH(rounded[[#This Row],[gender]], "male", "Male", "female", "Female")</f>
        <v>Male</v>
      </c>
    </row>
    <row r="106" spans="1:17" x14ac:dyDescent="0.35">
      <c r="A106">
        <v>15</v>
      </c>
      <c r="B106" t="s">
        <v>13</v>
      </c>
      <c r="C106" s="4">
        <v>2.7</v>
      </c>
      <c r="D106" t="s">
        <v>17</v>
      </c>
      <c r="E106" s="4">
        <v>6.6</v>
      </c>
      <c r="F106" s="4">
        <v>1.9</v>
      </c>
      <c r="G106">
        <v>2.75</v>
      </c>
      <c r="H106">
        <v>1.9</v>
      </c>
      <c r="I106" t="s">
        <v>19</v>
      </c>
      <c r="J106">
        <v>3</v>
      </c>
      <c r="K106">
        <v>6</v>
      </c>
      <c r="L106">
        <v>6</v>
      </c>
      <c r="M106">
        <v>0</v>
      </c>
      <c r="N106">
        <f>_xlfn.IFS(rounded[[#This Row],[social_interaction_level]] = "low", 1,rounded[[#This Row],[social_interaction_level]] = "medium", 2,rounded[[#This Row],[social_interaction_level]] = "high", 3)</f>
        <v>2</v>
      </c>
      <c r="O106">
        <f t="shared" si="1"/>
        <v>15</v>
      </c>
      <c r="P106" t="str" cm="1">
        <f t="array" ref="P106">_xlfn.SWITCH(rounded[[#This Row],[depression_label]], 0, "Not Depressed", 1, "Depressed")</f>
        <v>Not Depressed</v>
      </c>
      <c r="Q106" s="45" t="str" cm="1">
        <f t="array" ref="Q106">_xlfn.SWITCH(rounded[[#This Row],[gender]], "male", "Male", "female", "Female")</f>
        <v>Male</v>
      </c>
    </row>
    <row r="107" spans="1:17" x14ac:dyDescent="0.35">
      <c r="A107">
        <v>13</v>
      </c>
      <c r="B107" t="s">
        <v>16</v>
      </c>
      <c r="C107" s="4">
        <v>4</v>
      </c>
      <c r="D107" t="s">
        <v>20</v>
      </c>
      <c r="E107" s="4">
        <v>4.5</v>
      </c>
      <c r="F107" s="4">
        <v>1</v>
      </c>
      <c r="G107">
        <v>3.65</v>
      </c>
      <c r="H107">
        <v>1.8</v>
      </c>
      <c r="I107" t="s">
        <v>15</v>
      </c>
      <c r="J107">
        <v>5</v>
      </c>
      <c r="K107">
        <v>6</v>
      </c>
      <c r="L107">
        <v>5</v>
      </c>
      <c r="M107">
        <v>0</v>
      </c>
      <c r="N107">
        <f>_xlfn.IFS(rounded[[#This Row],[social_interaction_level]] = "low", 1,rounded[[#This Row],[social_interaction_level]] = "medium", 2,rounded[[#This Row],[social_interaction_level]] = "high", 3)</f>
        <v>1</v>
      </c>
      <c r="O107">
        <f t="shared" si="1"/>
        <v>16</v>
      </c>
      <c r="P107" t="str" cm="1">
        <f t="array" ref="P107">_xlfn.SWITCH(rounded[[#This Row],[depression_label]], 0, "Not Depressed", 1, "Depressed")</f>
        <v>Not Depressed</v>
      </c>
      <c r="Q107" s="45" t="str" cm="1">
        <f t="array" ref="Q107">_xlfn.SWITCH(rounded[[#This Row],[gender]], "male", "Male", "female", "Female")</f>
        <v>Female</v>
      </c>
    </row>
    <row r="108" spans="1:17" x14ac:dyDescent="0.35">
      <c r="A108">
        <v>18</v>
      </c>
      <c r="B108" t="s">
        <v>13</v>
      </c>
      <c r="C108" s="4">
        <v>3.2</v>
      </c>
      <c r="D108" t="s">
        <v>20</v>
      </c>
      <c r="E108" s="4">
        <v>8.8000000000000007</v>
      </c>
      <c r="F108" s="4">
        <v>1.2</v>
      </c>
      <c r="G108">
        <v>3.71</v>
      </c>
      <c r="H108">
        <v>1.1000000000000001</v>
      </c>
      <c r="I108" t="s">
        <v>19</v>
      </c>
      <c r="J108">
        <v>7</v>
      </c>
      <c r="K108">
        <v>6</v>
      </c>
      <c r="L108">
        <v>10</v>
      </c>
      <c r="M108">
        <v>0</v>
      </c>
      <c r="N108">
        <f>_xlfn.IFS(rounded[[#This Row],[social_interaction_level]] = "low", 1,rounded[[#This Row],[social_interaction_level]] = "medium", 2,rounded[[#This Row],[social_interaction_level]] = "high", 3)</f>
        <v>2</v>
      </c>
      <c r="O108">
        <f t="shared" si="1"/>
        <v>23</v>
      </c>
      <c r="P108" t="str" cm="1">
        <f t="array" ref="P108">_xlfn.SWITCH(rounded[[#This Row],[depression_label]], 0, "Not Depressed", 1, "Depressed")</f>
        <v>Not Depressed</v>
      </c>
      <c r="Q108" s="45" t="str" cm="1">
        <f t="array" ref="Q108">_xlfn.SWITCH(rounded[[#This Row],[gender]], "male", "Male", "female", "Female")</f>
        <v>Male</v>
      </c>
    </row>
    <row r="109" spans="1:17" x14ac:dyDescent="0.35">
      <c r="A109">
        <v>13</v>
      </c>
      <c r="B109" t="s">
        <v>13</v>
      </c>
      <c r="C109" s="4">
        <v>1.6</v>
      </c>
      <c r="D109" t="s">
        <v>17</v>
      </c>
      <c r="E109" s="4">
        <v>4.3</v>
      </c>
      <c r="F109" s="4">
        <v>0.6</v>
      </c>
      <c r="G109">
        <v>3.91</v>
      </c>
      <c r="H109">
        <v>2</v>
      </c>
      <c r="I109" t="s">
        <v>19</v>
      </c>
      <c r="J109">
        <v>5</v>
      </c>
      <c r="K109">
        <v>10</v>
      </c>
      <c r="L109">
        <v>7</v>
      </c>
      <c r="M109">
        <v>0</v>
      </c>
      <c r="N109">
        <f>_xlfn.IFS(rounded[[#This Row],[social_interaction_level]] = "low", 1,rounded[[#This Row],[social_interaction_level]] = "medium", 2,rounded[[#This Row],[social_interaction_level]] = "high", 3)</f>
        <v>2</v>
      </c>
      <c r="O109">
        <f t="shared" si="1"/>
        <v>22</v>
      </c>
      <c r="P109" t="str" cm="1">
        <f t="array" ref="P109">_xlfn.SWITCH(rounded[[#This Row],[depression_label]], 0, "Not Depressed", 1, "Depressed")</f>
        <v>Not Depressed</v>
      </c>
      <c r="Q109" s="45" t="str" cm="1">
        <f t="array" ref="Q109">_xlfn.SWITCH(rounded[[#This Row],[gender]], "male", "Male", "female", "Female")</f>
        <v>Male</v>
      </c>
    </row>
    <row r="110" spans="1:17" x14ac:dyDescent="0.35">
      <c r="A110">
        <v>14</v>
      </c>
      <c r="B110" t="s">
        <v>13</v>
      </c>
      <c r="C110" s="4">
        <v>2.2999999999999998</v>
      </c>
      <c r="D110" t="s">
        <v>17</v>
      </c>
      <c r="E110" s="4">
        <v>8</v>
      </c>
      <c r="F110" s="4">
        <v>2.5</v>
      </c>
      <c r="G110">
        <v>3.08</v>
      </c>
      <c r="H110">
        <v>1.7</v>
      </c>
      <c r="I110" t="s">
        <v>19</v>
      </c>
      <c r="J110">
        <v>5</v>
      </c>
      <c r="K110">
        <v>6</v>
      </c>
      <c r="L110">
        <v>7</v>
      </c>
      <c r="M110">
        <v>0</v>
      </c>
      <c r="N110">
        <f>_xlfn.IFS(rounded[[#This Row],[social_interaction_level]] = "low", 1,rounded[[#This Row],[social_interaction_level]] = "medium", 2,rounded[[#This Row],[social_interaction_level]] = "high", 3)</f>
        <v>2</v>
      </c>
      <c r="O110">
        <f t="shared" si="1"/>
        <v>18</v>
      </c>
      <c r="P110" t="str" cm="1">
        <f t="array" ref="P110">_xlfn.SWITCH(rounded[[#This Row],[depression_label]], 0, "Not Depressed", 1, "Depressed")</f>
        <v>Not Depressed</v>
      </c>
      <c r="Q110" s="45" t="str" cm="1">
        <f t="array" ref="Q110">_xlfn.SWITCH(rounded[[#This Row],[gender]], "male", "Male", "female", "Female")</f>
        <v>Male</v>
      </c>
    </row>
    <row r="111" spans="1:17" x14ac:dyDescent="0.35">
      <c r="A111">
        <v>17</v>
      </c>
      <c r="B111" t="s">
        <v>13</v>
      </c>
      <c r="C111" s="4">
        <v>7.7</v>
      </c>
      <c r="D111" t="s">
        <v>17</v>
      </c>
      <c r="E111" s="4">
        <v>8.5</v>
      </c>
      <c r="F111" s="4">
        <v>1.2</v>
      </c>
      <c r="G111">
        <v>3.56</v>
      </c>
      <c r="H111">
        <v>0</v>
      </c>
      <c r="I111" t="s">
        <v>19</v>
      </c>
      <c r="J111">
        <v>7</v>
      </c>
      <c r="K111">
        <v>10</v>
      </c>
      <c r="L111">
        <v>7</v>
      </c>
      <c r="M111">
        <v>0</v>
      </c>
      <c r="N111">
        <f>_xlfn.IFS(rounded[[#This Row],[social_interaction_level]] = "low", 1,rounded[[#This Row],[social_interaction_level]] = "medium", 2,rounded[[#This Row],[social_interaction_level]] = "high", 3)</f>
        <v>2</v>
      </c>
      <c r="O111">
        <f t="shared" si="1"/>
        <v>24</v>
      </c>
      <c r="P111" t="str" cm="1">
        <f t="array" ref="P111">_xlfn.SWITCH(rounded[[#This Row],[depression_label]], 0, "Not Depressed", 1, "Depressed")</f>
        <v>Not Depressed</v>
      </c>
      <c r="Q111" s="45" t="str" cm="1">
        <f t="array" ref="Q111">_xlfn.SWITCH(rounded[[#This Row],[gender]], "male", "Male", "female", "Female")</f>
        <v>Male</v>
      </c>
    </row>
    <row r="112" spans="1:17" x14ac:dyDescent="0.35">
      <c r="A112">
        <v>16</v>
      </c>
      <c r="B112" t="s">
        <v>13</v>
      </c>
      <c r="C112" s="4">
        <v>4.8</v>
      </c>
      <c r="D112" t="s">
        <v>20</v>
      </c>
      <c r="E112" s="4">
        <v>7.1</v>
      </c>
      <c r="F112" s="4">
        <v>0.6</v>
      </c>
      <c r="G112">
        <v>3.36</v>
      </c>
      <c r="H112">
        <v>0.7</v>
      </c>
      <c r="I112" t="s">
        <v>18</v>
      </c>
      <c r="J112">
        <v>7</v>
      </c>
      <c r="K112">
        <v>6</v>
      </c>
      <c r="L112">
        <v>9</v>
      </c>
      <c r="M112">
        <v>0</v>
      </c>
      <c r="N112">
        <f>_xlfn.IFS(rounded[[#This Row],[social_interaction_level]] = "low", 1,rounded[[#This Row],[social_interaction_level]] = "medium", 2,rounded[[#This Row],[social_interaction_level]] = "high", 3)</f>
        <v>3</v>
      </c>
      <c r="O112">
        <f t="shared" si="1"/>
        <v>22</v>
      </c>
      <c r="P112" t="str" cm="1">
        <f t="array" ref="P112">_xlfn.SWITCH(rounded[[#This Row],[depression_label]], 0, "Not Depressed", 1, "Depressed")</f>
        <v>Not Depressed</v>
      </c>
      <c r="Q112" s="45" t="str" cm="1">
        <f t="array" ref="Q112">_xlfn.SWITCH(rounded[[#This Row],[gender]], "male", "Male", "female", "Female")</f>
        <v>Male</v>
      </c>
    </row>
    <row r="113" spans="1:17" x14ac:dyDescent="0.35">
      <c r="A113">
        <v>17</v>
      </c>
      <c r="B113" t="s">
        <v>16</v>
      </c>
      <c r="C113" s="4">
        <v>5.2</v>
      </c>
      <c r="D113" t="s">
        <v>20</v>
      </c>
      <c r="E113" s="4">
        <v>6</v>
      </c>
      <c r="F113" s="4">
        <v>0.6</v>
      </c>
      <c r="G113">
        <v>3.07</v>
      </c>
      <c r="H113">
        <v>0.6</v>
      </c>
      <c r="I113" t="s">
        <v>19</v>
      </c>
      <c r="J113">
        <v>6</v>
      </c>
      <c r="K113">
        <v>2</v>
      </c>
      <c r="L113">
        <v>9</v>
      </c>
      <c r="M113">
        <v>0</v>
      </c>
      <c r="N113">
        <f>_xlfn.IFS(rounded[[#This Row],[social_interaction_level]] = "low", 1,rounded[[#This Row],[social_interaction_level]] = "medium", 2,rounded[[#This Row],[social_interaction_level]] = "high", 3)</f>
        <v>2</v>
      </c>
      <c r="O113">
        <f t="shared" si="1"/>
        <v>17</v>
      </c>
      <c r="P113" t="str" cm="1">
        <f t="array" ref="P113">_xlfn.SWITCH(rounded[[#This Row],[depression_label]], 0, "Not Depressed", 1, "Depressed")</f>
        <v>Not Depressed</v>
      </c>
      <c r="Q113" s="45" t="str" cm="1">
        <f t="array" ref="Q113">_xlfn.SWITCH(rounded[[#This Row],[gender]], "male", "Male", "female", "Female")</f>
        <v>Female</v>
      </c>
    </row>
    <row r="114" spans="1:17" x14ac:dyDescent="0.35">
      <c r="A114">
        <v>13</v>
      </c>
      <c r="B114" t="s">
        <v>13</v>
      </c>
      <c r="C114" s="4">
        <v>5.7</v>
      </c>
      <c r="D114" t="s">
        <v>20</v>
      </c>
      <c r="E114" s="4">
        <v>6.6</v>
      </c>
      <c r="F114" s="4">
        <v>2.4</v>
      </c>
      <c r="G114">
        <v>3.99</v>
      </c>
      <c r="H114">
        <v>1.7</v>
      </c>
      <c r="I114" t="s">
        <v>18</v>
      </c>
      <c r="J114">
        <v>1</v>
      </c>
      <c r="K114">
        <v>3</v>
      </c>
      <c r="L114">
        <v>1</v>
      </c>
      <c r="M114">
        <v>0</v>
      </c>
      <c r="N114">
        <f>_xlfn.IFS(rounded[[#This Row],[social_interaction_level]] = "low", 1,rounded[[#This Row],[social_interaction_level]] = "medium", 2,rounded[[#This Row],[social_interaction_level]] = "high", 3)</f>
        <v>3</v>
      </c>
      <c r="O114">
        <f t="shared" si="1"/>
        <v>5</v>
      </c>
      <c r="P114" t="str" cm="1">
        <f t="array" ref="P114">_xlfn.SWITCH(rounded[[#This Row],[depression_label]], 0, "Not Depressed", 1, "Depressed")</f>
        <v>Not Depressed</v>
      </c>
      <c r="Q114" s="45" t="str" cm="1">
        <f t="array" ref="Q114">_xlfn.SWITCH(rounded[[#This Row],[gender]], "male", "Male", "female", "Female")</f>
        <v>Male</v>
      </c>
    </row>
    <row r="115" spans="1:17" x14ac:dyDescent="0.35">
      <c r="A115">
        <v>15</v>
      </c>
      <c r="B115" t="s">
        <v>13</v>
      </c>
      <c r="C115" s="4">
        <v>4.5999999999999996</v>
      </c>
      <c r="D115" t="s">
        <v>17</v>
      </c>
      <c r="E115" s="4">
        <v>5.2</v>
      </c>
      <c r="F115" s="4">
        <v>1.4</v>
      </c>
      <c r="G115">
        <v>2.98</v>
      </c>
      <c r="H115">
        <v>1.9</v>
      </c>
      <c r="I115" t="s">
        <v>15</v>
      </c>
      <c r="J115">
        <v>1</v>
      </c>
      <c r="K115">
        <v>4</v>
      </c>
      <c r="L115">
        <v>5</v>
      </c>
      <c r="M115">
        <v>0</v>
      </c>
      <c r="N115">
        <f>_xlfn.IFS(rounded[[#This Row],[social_interaction_level]] = "low", 1,rounded[[#This Row],[social_interaction_level]] = "medium", 2,rounded[[#This Row],[social_interaction_level]] = "high", 3)</f>
        <v>1</v>
      </c>
      <c r="O115">
        <f t="shared" si="1"/>
        <v>10</v>
      </c>
      <c r="P115" t="str" cm="1">
        <f t="array" ref="P115">_xlfn.SWITCH(rounded[[#This Row],[depression_label]], 0, "Not Depressed", 1, "Depressed")</f>
        <v>Not Depressed</v>
      </c>
      <c r="Q115" s="45" t="str" cm="1">
        <f t="array" ref="Q115">_xlfn.SWITCH(rounded[[#This Row],[gender]], "male", "Male", "female", "Female")</f>
        <v>Male</v>
      </c>
    </row>
    <row r="116" spans="1:17" x14ac:dyDescent="0.35">
      <c r="A116">
        <v>13</v>
      </c>
      <c r="B116" t="s">
        <v>13</v>
      </c>
      <c r="C116" s="4">
        <v>4.3</v>
      </c>
      <c r="D116" t="s">
        <v>17</v>
      </c>
      <c r="E116" s="4">
        <v>7.5</v>
      </c>
      <c r="F116" s="4">
        <v>2.7</v>
      </c>
      <c r="G116">
        <v>2.29</v>
      </c>
      <c r="H116">
        <v>0.8</v>
      </c>
      <c r="I116" t="s">
        <v>18</v>
      </c>
      <c r="J116">
        <v>1</v>
      </c>
      <c r="K116">
        <v>10</v>
      </c>
      <c r="L116">
        <v>1</v>
      </c>
      <c r="M116">
        <v>0</v>
      </c>
      <c r="N116">
        <f>_xlfn.IFS(rounded[[#This Row],[social_interaction_level]] = "low", 1,rounded[[#This Row],[social_interaction_level]] = "medium", 2,rounded[[#This Row],[social_interaction_level]] = "high", 3)</f>
        <v>3</v>
      </c>
      <c r="O116">
        <f t="shared" si="1"/>
        <v>12</v>
      </c>
      <c r="P116" t="str" cm="1">
        <f t="array" ref="P116">_xlfn.SWITCH(rounded[[#This Row],[depression_label]], 0, "Not Depressed", 1, "Depressed")</f>
        <v>Not Depressed</v>
      </c>
      <c r="Q116" s="45" t="str" cm="1">
        <f t="array" ref="Q116">_xlfn.SWITCH(rounded[[#This Row],[gender]], "male", "Male", "female", "Female")</f>
        <v>Male</v>
      </c>
    </row>
    <row r="117" spans="1:17" x14ac:dyDescent="0.35">
      <c r="A117">
        <v>17</v>
      </c>
      <c r="B117" t="s">
        <v>16</v>
      </c>
      <c r="C117" s="4">
        <v>4.0999999999999996</v>
      </c>
      <c r="D117" t="s">
        <v>14</v>
      </c>
      <c r="E117" s="4">
        <v>8.6</v>
      </c>
      <c r="F117" s="4">
        <v>3</v>
      </c>
      <c r="G117">
        <v>2.77</v>
      </c>
      <c r="H117">
        <v>0.1</v>
      </c>
      <c r="I117" t="s">
        <v>19</v>
      </c>
      <c r="J117">
        <v>3</v>
      </c>
      <c r="K117">
        <v>6</v>
      </c>
      <c r="L117">
        <v>1</v>
      </c>
      <c r="M117">
        <v>0</v>
      </c>
      <c r="N117">
        <f>_xlfn.IFS(rounded[[#This Row],[social_interaction_level]] = "low", 1,rounded[[#This Row],[social_interaction_level]] = "medium", 2,rounded[[#This Row],[social_interaction_level]] = "high", 3)</f>
        <v>2</v>
      </c>
      <c r="O117">
        <f t="shared" si="1"/>
        <v>10</v>
      </c>
      <c r="P117" t="str" cm="1">
        <f t="array" ref="P117">_xlfn.SWITCH(rounded[[#This Row],[depression_label]], 0, "Not Depressed", 1, "Depressed")</f>
        <v>Not Depressed</v>
      </c>
      <c r="Q117" s="45" t="str" cm="1">
        <f t="array" ref="Q117">_xlfn.SWITCH(rounded[[#This Row],[gender]], "male", "Male", "female", "Female")</f>
        <v>Female</v>
      </c>
    </row>
    <row r="118" spans="1:17" x14ac:dyDescent="0.35">
      <c r="A118">
        <v>15</v>
      </c>
      <c r="B118" t="s">
        <v>13</v>
      </c>
      <c r="C118" s="4">
        <v>6.5</v>
      </c>
      <c r="D118" t="s">
        <v>20</v>
      </c>
      <c r="E118" s="4">
        <v>8.1</v>
      </c>
      <c r="F118" s="4">
        <v>2</v>
      </c>
      <c r="G118">
        <v>3.89</v>
      </c>
      <c r="H118">
        <v>1.3</v>
      </c>
      <c r="I118" t="s">
        <v>18</v>
      </c>
      <c r="J118">
        <v>8</v>
      </c>
      <c r="K118">
        <v>2</v>
      </c>
      <c r="L118">
        <v>2</v>
      </c>
      <c r="M118">
        <v>0</v>
      </c>
      <c r="N118">
        <f>_xlfn.IFS(rounded[[#This Row],[social_interaction_level]] = "low", 1,rounded[[#This Row],[social_interaction_level]] = "medium", 2,rounded[[#This Row],[social_interaction_level]] = "high", 3)</f>
        <v>3</v>
      </c>
      <c r="O118">
        <f t="shared" si="1"/>
        <v>12</v>
      </c>
      <c r="P118" t="str" cm="1">
        <f t="array" ref="P118">_xlfn.SWITCH(rounded[[#This Row],[depression_label]], 0, "Not Depressed", 1, "Depressed")</f>
        <v>Not Depressed</v>
      </c>
      <c r="Q118" s="45" t="str" cm="1">
        <f t="array" ref="Q118">_xlfn.SWITCH(rounded[[#This Row],[gender]], "male", "Male", "female", "Female")</f>
        <v>Male</v>
      </c>
    </row>
    <row r="119" spans="1:17" x14ac:dyDescent="0.35">
      <c r="A119">
        <v>19</v>
      </c>
      <c r="B119" t="s">
        <v>16</v>
      </c>
      <c r="C119" s="4">
        <v>7.8</v>
      </c>
      <c r="D119" t="s">
        <v>20</v>
      </c>
      <c r="E119" s="4">
        <v>8.8000000000000007</v>
      </c>
      <c r="F119" s="4">
        <v>2.1</v>
      </c>
      <c r="G119">
        <v>3.75</v>
      </c>
      <c r="H119">
        <v>1.3</v>
      </c>
      <c r="I119" t="s">
        <v>18</v>
      </c>
      <c r="J119">
        <v>10</v>
      </c>
      <c r="K119">
        <v>9</v>
      </c>
      <c r="L119">
        <v>6</v>
      </c>
      <c r="M119">
        <v>0</v>
      </c>
      <c r="N119">
        <f>_xlfn.IFS(rounded[[#This Row],[social_interaction_level]] = "low", 1,rounded[[#This Row],[social_interaction_level]] = "medium", 2,rounded[[#This Row],[social_interaction_level]] = "high", 3)</f>
        <v>3</v>
      </c>
      <c r="O119">
        <f t="shared" si="1"/>
        <v>25</v>
      </c>
      <c r="P119" t="str" cm="1">
        <f t="array" ref="P119">_xlfn.SWITCH(rounded[[#This Row],[depression_label]], 0, "Not Depressed", 1, "Depressed")</f>
        <v>Not Depressed</v>
      </c>
      <c r="Q119" s="45" t="str" cm="1">
        <f t="array" ref="Q119">_xlfn.SWITCH(rounded[[#This Row],[gender]], "male", "Male", "female", "Female")</f>
        <v>Female</v>
      </c>
    </row>
    <row r="120" spans="1:17" x14ac:dyDescent="0.35">
      <c r="A120">
        <v>17</v>
      </c>
      <c r="B120" t="s">
        <v>13</v>
      </c>
      <c r="C120" s="4">
        <v>6.5</v>
      </c>
      <c r="D120" t="s">
        <v>14</v>
      </c>
      <c r="E120" s="4">
        <v>4.0999999999999996</v>
      </c>
      <c r="F120" s="4">
        <v>2.7</v>
      </c>
      <c r="G120">
        <v>3.66</v>
      </c>
      <c r="H120">
        <v>1.1000000000000001</v>
      </c>
      <c r="I120" t="s">
        <v>19</v>
      </c>
      <c r="J120">
        <v>6</v>
      </c>
      <c r="K120">
        <v>10</v>
      </c>
      <c r="L120">
        <v>10</v>
      </c>
      <c r="M120">
        <v>0</v>
      </c>
      <c r="N120">
        <f>_xlfn.IFS(rounded[[#This Row],[social_interaction_level]] = "low", 1,rounded[[#This Row],[social_interaction_level]] = "medium", 2,rounded[[#This Row],[social_interaction_level]] = "high", 3)</f>
        <v>2</v>
      </c>
      <c r="O120">
        <f t="shared" si="1"/>
        <v>26</v>
      </c>
      <c r="P120" t="str" cm="1">
        <f t="array" ref="P120">_xlfn.SWITCH(rounded[[#This Row],[depression_label]], 0, "Not Depressed", 1, "Depressed")</f>
        <v>Not Depressed</v>
      </c>
      <c r="Q120" s="45" t="str" cm="1">
        <f t="array" ref="Q120">_xlfn.SWITCH(rounded[[#This Row],[gender]], "male", "Male", "female", "Female")</f>
        <v>Male</v>
      </c>
    </row>
    <row r="121" spans="1:17" x14ac:dyDescent="0.35">
      <c r="A121">
        <v>17</v>
      </c>
      <c r="B121" t="s">
        <v>16</v>
      </c>
      <c r="C121" s="4">
        <v>3.2</v>
      </c>
      <c r="D121" t="s">
        <v>17</v>
      </c>
      <c r="E121" s="4">
        <v>4.2</v>
      </c>
      <c r="F121" s="4">
        <v>0.6</v>
      </c>
      <c r="G121">
        <v>2.21</v>
      </c>
      <c r="H121">
        <v>1.4</v>
      </c>
      <c r="I121" t="s">
        <v>19</v>
      </c>
      <c r="J121">
        <v>6</v>
      </c>
      <c r="K121">
        <v>6</v>
      </c>
      <c r="L121">
        <v>3</v>
      </c>
      <c r="M121">
        <v>0</v>
      </c>
      <c r="N121">
        <f>_xlfn.IFS(rounded[[#This Row],[social_interaction_level]] = "low", 1,rounded[[#This Row],[social_interaction_level]] = "medium", 2,rounded[[#This Row],[social_interaction_level]] = "high", 3)</f>
        <v>2</v>
      </c>
      <c r="O121">
        <f t="shared" si="1"/>
        <v>15</v>
      </c>
      <c r="P121" t="str" cm="1">
        <f t="array" ref="P121">_xlfn.SWITCH(rounded[[#This Row],[depression_label]], 0, "Not Depressed", 1, "Depressed")</f>
        <v>Not Depressed</v>
      </c>
      <c r="Q121" s="45" t="str" cm="1">
        <f t="array" ref="Q121">_xlfn.SWITCH(rounded[[#This Row],[gender]], "male", "Male", "female", "Female")</f>
        <v>Female</v>
      </c>
    </row>
    <row r="122" spans="1:17" x14ac:dyDescent="0.35">
      <c r="A122">
        <v>13</v>
      </c>
      <c r="B122" t="s">
        <v>13</v>
      </c>
      <c r="C122" s="4">
        <v>2.4</v>
      </c>
      <c r="D122" t="s">
        <v>17</v>
      </c>
      <c r="E122" s="4">
        <v>4.0999999999999996</v>
      </c>
      <c r="F122" s="4">
        <v>0.8</v>
      </c>
      <c r="G122">
        <v>2.79</v>
      </c>
      <c r="H122">
        <v>1.1000000000000001</v>
      </c>
      <c r="I122" t="s">
        <v>19</v>
      </c>
      <c r="J122">
        <v>8</v>
      </c>
      <c r="K122">
        <v>6</v>
      </c>
      <c r="L122">
        <v>3</v>
      </c>
      <c r="M122">
        <v>0</v>
      </c>
      <c r="N122">
        <f>_xlfn.IFS(rounded[[#This Row],[social_interaction_level]] = "low", 1,rounded[[#This Row],[social_interaction_level]] = "medium", 2,rounded[[#This Row],[social_interaction_level]] = "high", 3)</f>
        <v>2</v>
      </c>
      <c r="O122">
        <f t="shared" si="1"/>
        <v>17</v>
      </c>
      <c r="P122" t="str" cm="1">
        <f t="array" ref="P122">_xlfn.SWITCH(rounded[[#This Row],[depression_label]], 0, "Not Depressed", 1, "Depressed")</f>
        <v>Not Depressed</v>
      </c>
      <c r="Q122" s="45" t="str" cm="1">
        <f t="array" ref="Q122">_xlfn.SWITCH(rounded[[#This Row],[gender]], "male", "Male", "female", "Female")</f>
        <v>Male</v>
      </c>
    </row>
    <row r="123" spans="1:17" x14ac:dyDescent="0.35">
      <c r="A123">
        <v>15</v>
      </c>
      <c r="B123" t="s">
        <v>16</v>
      </c>
      <c r="C123" s="4">
        <v>4</v>
      </c>
      <c r="D123" t="s">
        <v>14</v>
      </c>
      <c r="E123" s="4">
        <v>8.1</v>
      </c>
      <c r="F123" s="4">
        <v>2.1</v>
      </c>
      <c r="G123">
        <v>2.0099999999999998</v>
      </c>
      <c r="H123">
        <v>0.4</v>
      </c>
      <c r="I123" t="s">
        <v>19</v>
      </c>
      <c r="J123">
        <v>4</v>
      </c>
      <c r="K123">
        <v>8</v>
      </c>
      <c r="L123">
        <v>8</v>
      </c>
      <c r="M123">
        <v>0</v>
      </c>
      <c r="N123">
        <f>_xlfn.IFS(rounded[[#This Row],[social_interaction_level]] = "low", 1,rounded[[#This Row],[social_interaction_level]] = "medium", 2,rounded[[#This Row],[social_interaction_level]] = "high", 3)</f>
        <v>2</v>
      </c>
      <c r="O123">
        <f t="shared" si="1"/>
        <v>20</v>
      </c>
      <c r="P123" t="str" cm="1">
        <f t="array" ref="P123">_xlfn.SWITCH(rounded[[#This Row],[depression_label]], 0, "Not Depressed", 1, "Depressed")</f>
        <v>Not Depressed</v>
      </c>
      <c r="Q123" s="45" t="str" cm="1">
        <f t="array" ref="Q123">_xlfn.SWITCH(rounded[[#This Row],[gender]], "male", "Male", "female", "Female")</f>
        <v>Female</v>
      </c>
    </row>
    <row r="124" spans="1:17" x14ac:dyDescent="0.35">
      <c r="A124">
        <v>17</v>
      </c>
      <c r="B124" t="s">
        <v>16</v>
      </c>
      <c r="C124" s="4">
        <v>6</v>
      </c>
      <c r="D124" t="s">
        <v>20</v>
      </c>
      <c r="E124" s="4">
        <v>8.8000000000000007</v>
      </c>
      <c r="F124" s="4">
        <v>1.3</v>
      </c>
      <c r="G124">
        <v>4</v>
      </c>
      <c r="H124">
        <v>0.9</v>
      </c>
      <c r="I124" t="s">
        <v>19</v>
      </c>
      <c r="J124">
        <v>8</v>
      </c>
      <c r="K124">
        <v>10</v>
      </c>
      <c r="L124">
        <v>7</v>
      </c>
      <c r="M124">
        <v>0</v>
      </c>
      <c r="N124">
        <f>_xlfn.IFS(rounded[[#This Row],[social_interaction_level]] = "low", 1,rounded[[#This Row],[social_interaction_level]] = "medium", 2,rounded[[#This Row],[social_interaction_level]] = "high", 3)</f>
        <v>2</v>
      </c>
      <c r="O124">
        <f t="shared" si="1"/>
        <v>25</v>
      </c>
      <c r="P124" t="str" cm="1">
        <f t="array" ref="P124">_xlfn.SWITCH(rounded[[#This Row],[depression_label]], 0, "Not Depressed", 1, "Depressed")</f>
        <v>Not Depressed</v>
      </c>
      <c r="Q124" s="45" t="str" cm="1">
        <f t="array" ref="Q124">_xlfn.SWITCH(rounded[[#This Row],[gender]], "male", "Male", "female", "Female")</f>
        <v>Female</v>
      </c>
    </row>
    <row r="125" spans="1:17" x14ac:dyDescent="0.35">
      <c r="A125">
        <v>18</v>
      </c>
      <c r="B125" t="s">
        <v>13</v>
      </c>
      <c r="C125" s="4">
        <v>1.2</v>
      </c>
      <c r="D125" t="s">
        <v>17</v>
      </c>
      <c r="E125" s="4">
        <v>8</v>
      </c>
      <c r="F125" s="4">
        <v>1.7</v>
      </c>
      <c r="G125">
        <v>3.12</v>
      </c>
      <c r="H125">
        <v>0.1</v>
      </c>
      <c r="I125" t="s">
        <v>15</v>
      </c>
      <c r="J125">
        <v>6</v>
      </c>
      <c r="K125">
        <v>4</v>
      </c>
      <c r="L125">
        <v>2</v>
      </c>
      <c r="M125">
        <v>0</v>
      </c>
      <c r="N125">
        <f>_xlfn.IFS(rounded[[#This Row],[social_interaction_level]] = "low", 1,rounded[[#This Row],[social_interaction_level]] = "medium", 2,rounded[[#This Row],[social_interaction_level]] = "high", 3)</f>
        <v>1</v>
      </c>
      <c r="O125">
        <f t="shared" si="1"/>
        <v>12</v>
      </c>
      <c r="P125" t="str" cm="1">
        <f t="array" ref="P125">_xlfn.SWITCH(rounded[[#This Row],[depression_label]], 0, "Not Depressed", 1, "Depressed")</f>
        <v>Not Depressed</v>
      </c>
      <c r="Q125" s="45" t="str" cm="1">
        <f t="array" ref="Q125">_xlfn.SWITCH(rounded[[#This Row],[gender]], "male", "Male", "female", "Female")</f>
        <v>Male</v>
      </c>
    </row>
    <row r="126" spans="1:17" x14ac:dyDescent="0.35">
      <c r="A126">
        <v>16</v>
      </c>
      <c r="B126" t="s">
        <v>13</v>
      </c>
      <c r="C126" s="4">
        <v>5.7</v>
      </c>
      <c r="D126" t="s">
        <v>20</v>
      </c>
      <c r="E126" s="4">
        <v>5.8</v>
      </c>
      <c r="F126" s="4">
        <v>2.8</v>
      </c>
      <c r="G126">
        <v>2.17</v>
      </c>
      <c r="H126">
        <v>0.5</v>
      </c>
      <c r="I126" t="s">
        <v>19</v>
      </c>
      <c r="J126">
        <v>3</v>
      </c>
      <c r="K126">
        <v>9</v>
      </c>
      <c r="L126">
        <v>2</v>
      </c>
      <c r="M126">
        <v>0</v>
      </c>
      <c r="N126">
        <f>_xlfn.IFS(rounded[[#This Row],[social_interaction_level]] = "low", 1,rounded[[#This Row],[social_interaction_level]] = "medium", 2,rounded[[#This Row],[social_interaction_level]] = "high", 3)</f>
        <v>2</v>
      </c>
      <c r="O126">
        <f t="shared" si="1"/>
        <v>14</v>
      </c>
      <c r="P126" t="str" cm="1">
        <f t="array" ref="P126">_xlfn.SWITCH(rounded[[#This Row],[depression_label]], 0, "Not Depressed", 1, "Depressed")</f>
        <v>Not Depressed</v>
      </c>
      <c r="Q126" s="45" t="str" cm="1">
        <f t="array" ref="Q126">_xlfn.SWITCH(rounded[[#This Row],[gender]], "male", "Male", "female", "Female")</f>
        <v>Male</v>
      </c>
    </row>
    <row r="127" spans="1:17" x14ac:dyDescent="0.35">
      <c r="A127">
        <v>19</v>
      </c>
      <c r="B127" t="s">
        <v>13</v>
      </c>
      <c r="C127" s="4">
        <v>6.5</v>
      </c>
      <c r="D127" t="s">
        <v>20</v>
      </c>
      <c r="E127" s="4">
        <v>8.1</v>
      </c>
      <c r="F127" s="4">
        <v>2.2999999999999998</v>
      </c>
      <c r="G127">
        <v>2.21</v>
      </c>
      <c r="H127">
        <v>0.4</v>
      </c>
      <c r="I127" t="s">
        <v>18</v>
      </c>
      <c r="J127">
        <v>8</v>
      </c>
      <c r="K127">
        <v>8</v>
      </c>
      <c r="L127">
        <v>6</v>
      </c>
      <c r="M127">
        <v>0</v>
      </c>
      <c r="N127">
        <f>_xlfn.IFS(rounded[[#This Row],[social_interaction_level]] = "low", 1,rounded[[#This Row],[social_interaction_level]] = "medium", 2,rounded[[#This Row],[social_interaction_level]] = "high", 3)</f>
        <v>3</v>
      </c>
      <c r="O127">
        <f t="shared" si="1"/>
        <v>22</v>
      </c>
      <c r="P127" t="str" cm="1">
        <f t="array" ref="P127">_xlfn.SWITCH(rounded[[#This Row],[depression_label]], 0, "Not Depressed", 1, "Depressed")</f>
        <v>Not Depressed</v>
      </c>
      <c r="Q127" s="45" t="str" cm="1">
        <f t="array" ref="Q127">_xlfn.SWITCH(rounded[[#This Row],[gender]], "male", "Male", "female", "Female")</f>
        <v>Male</v>
      </c>
    </row>
    <row r="128" spans="1:17" x14ac:dyDescent="0.35">
      <c r="A128">
        <v>16</v>
      </c>
      <c r="B128" t="s">
        <v>13</v>
      </c>
      <c r="C128" s="4">
        <v>6.6</v>
      </c>
      <c r="D128" t="s">
        <v>14</v>
      </c>
      <c r="E128" s="4">
        <v>5.6</v>
      </c>
      <c r="F128" s="4">
        <v>0.8</v>
      </c>
      <c r="G128">
        <v>3.48</v>
      </c>
      <c r="H128">
        <v>1.7</v>
      </c>
      <c r="I128" t="s">
        <v>19</v>
      </c>
      <c r="J128">
        <v>4</v>
      </c>
      <c r="K128">
        <v>3</v>
      </c>
      <c r="L128">
        <v>4</v>
      </c>
      <c r="M128">
        <v>0</v>
      </c>
      <c r="N128">
        <f>_xlfn.IFS(rounded[[#This Row],[social_interaction_level]] = "low", 1,rounded[[#This Row],[social_interaction_level]] = "medium", 2,rounded[[#This Row],[social_interaction_level]] = "high", 3)</f>
        <v>2</v>
      </c>
      <c r="O128">
        <f t="shared" si="1"/>
        <v>11</v>
      </c>
      <c r="P128" t="str" cm="1">
        <f t="array" ref="P128">_xlfn.SWITCH(rounded[[#This Row],[depression_label]], 0, "Not Depressed", 1, "Depressed")</f>
        <v>Not Depressed</v>
      </c>
      <c r="Q128" s="45" t="str" cm="1">
        <f t="array" ref="Q128">_xlfn.SWITCH(rounded[[#This Row],[gender]], "male", "Male", "female", "Female")</f>
        <v>Male</v>
      </c>
    </row>
    <row r="129" spans="1:17" x14ac:dyDescent="0.35">
      <c r="A129">
        <v>13</v>
      </c>
      <c r="B129" t="s">
        <v>13</v>
      </c>
      <c r="C129" s="4">
        <v>6</v>
      </c>
      <c r="D129" t="s">
        <v>17</v>
      </c>
      <c r="E129" s="4">
        <v>7.2</v>
      </c>
      <c r="F129" s="4">
        <v>1.5</v>
      </c>
      <c r="G129">
        <v>2.36</v>
      </c>
      <c r="H129">
        <v>0.2</v>
      </c>
      <c r="I129" t="s">
        <v>15</v>
      </c>
      <c r="J129">
        <v>1</v>
      </c>
      <c r="K129">
        <v>3</v>
      </c>
      <c r="L129">
        <v>4</v>
      </c>
      <c r="M129">
        <v>0</v>
      </c>
      <c r="N129">
        <f>_xlfn.IFS(rounded[[#This Row],[social_interaction_level]] = "low", 1,rounded[[#This Row],[social_interaction_level]] = "medium", 2,rounded[[#This Row],[social_interaction_level]] = "high", 3)</f>
        <v>1</v>
      </c>
      <c r="O129">
        <f t="shared" si="1"/>
        <v>8</v>
      </c>
      <c r="P129" t="str" cm="1">
        <f t="array" ref="P129">_xlfn.SWITCH(rounded[[#This Row],[depression_label]], 0, "Not Depressed", 1, "Depressed")</f>
        <v>Not Depressed</v>
      </c>
      <c r="Q129" s="45" t="str" cm="1">
        <f t="array" ref="Q129">_xlfn.SWITCH(rounded[[#This Row],[gender]], "male", "Male", "female", "Female")</f>
        <v>Male</v>
      </c>
    </row>
    <row r="130" spans="1:17" x14ac:dyDescent="0.35">
      <c r="A130">
        <v>18</v>
      </c>
      <c r="B130" t="s">
        <v>16</v>
      </c>
      <c r="C130" s="4">
        <v>1.1000000000000001</v>
      </c>
      <c r="D130" t="s">
        <v>20</v>
      </c>
      <c r="E130" s="4">
        <v>8</v>
      </c>
      <c r="F130" s="4">
        <v>2.7</v>
      </c>
      <c r="G130">
        <v>2.04</v>
      </c>
      <c r="H130">
        <v>0.1</v>
      </c>
      <c r="I130" t="s">
        <v>15</v>
      </c>
      <c r="J130">
        <v>7</v>
      </c>
      <c r="K130">
        <v>10</v>
      </c>
      <c r="L130">
        <v>2</v>
      </c>
      <c r="M130">
        <v>0</v>
      </c>
      <c r="N130">
        <f>_xlfn.IFS(rounded[[#This Row],[social_interaction_level]] = "low", 1,rounded[[#This Row],[social_interaction_level]] = "medium", 2,rounded[[#This Row],[social_interaction_level]] = "high", 3)</f>
        <v>1</v>
      </c>
      <c r="O130">
        <f t="shared" ref="O130:O193" si="2">SUM(J130+K130+L130)</f>
        <v>19</v>
      </c>
      <c r="P130" t="str" cm="1">
        <f t="array" ref="P130">_xlfn.SWITCH(rounded[[#This Row],[depression_label]], 0, "Not Depressed", 1, "Depressed")</f>
        <v>Not Depressed</v>
      </c>
      <c r="Q130" s="45" t="str" cm="1">
        <f t="array" ref="Q130">_xlfn.SWITCH(rounded[[#This Row],[gender]], "male", "Male", "female", "Female")</f>
        <v>Female</v>
      </c>
    </row>
    <row r="131" spans="1:17" x14ac:dyDescent="0.35">
      <c r="A131">
        <v>13</v>
      </c>
      <c r="B131" t="s">
        <v>16</v>
      </c>
      <c r="C131" s="4">
        <v>3.8</v>
      </c>
      <c r="D131" t="s">
        <v>14</v>
      </c>
      <c r="E131" s="4">
        <v>7.9</v>
      </c>
      <c r="F131" s="4">
        <v>1.3</v>
      </c>
      <c r="G131">
        <v>3.97</v>
      </c>
      <c r="H131">
        <v>0.2</v>
      </c>
      <c r="I131" t="s">
        <v>19</v>
      </c>
      <c r="J131">
        <v>7</v>
      </c>
      <c r="K131">
        <v>10</v>
      </c>
      <c r="L131">
        <v>9</v>
      </c>
      <c r="M131">
        <v>0</v>
      </c>
      <c r="N131">
        <f>_xlfn.IFS(rounded[[#This Row],[social_interaction_level]] = "low", 1,rounded[[#This Row],[social_interaction_level]] = "medium", 2,rounded[[#This Row],[social_interaction_level]] = "high", 3)</f>
        <v>2</v>
      </c>
      <c r="O131">
        <f t="shared" si="2"/>
        <v>26</v>
      </c>
      <c r="P131" t="str" cm="1">
        <f t="array" ref="P131">_xlfn.SWITCH(rounded[[#This Row],[depression_label]], 0, "Not Depressed", 1, "Depressed")</f>
        <v>Not Depressed</v>
      </c>
      <c r="Q131" s="45" t="str" cm="1">
        <f t="array" ref="Q131">_xlfn.SWITCH(rounded[[#This Row],[gender]], "male", "Male", "female", "Female")</f>
        <v>Female</v>
      </c>
    </row>
    <row r="132" spans="1:17" x14ac:dyDescent="0.35">
      <c r="A132">
        <v>13</v>
      </c>
      <c r="B132" t="s">
        <v>16</v>
      </c>
      <c r="C132" s="4">
        <v>4.7</v>
      </c>
      <c r="D132" t="s">
        <v>20</v>
      </c>
      <c r="E132" s="4">
        <v>6.8</v>
      </c>
      <c r="F132" s="4">
        <v>1.7</v>
      </c>
      <c r="G132">
        <v>3.27</v>
      </c>
      <c r="H132">
        <v>1.4</v>
      </c>
      <c r="I132" t="s">
        <v>15</v>
      </c>
      <c r="J132">
        <v>4</v>
      </c>
      <c r="K132">
        <v>2</v>
      </c>
      <c r="L132">
        <v>4</v>
      </c>
      <c r="M132">
        <v>0</v>
      </c>
      <c r="N132">
        <f>_xlfn.IFS(rounded[[#This Row],[social_interaction_level]] = "low", 1,rounded[[#This Row],[social_interaction_level]] = "medium", 2,rounded[[#This Row],[social_interaction_level]] = "high", 3)</f>
        <v>1</v>
      </c>
      <c r="O132">
        <f t="shared" si="2"/>
        <v>10</v>
      </c>
      <c r="P132" t="str" cm="1">
        <f t="array" ref="P132">_xlfn.SWITCH(rounded[[#This Row],[depression_label]], 0, "Not Depressed", 1, "Depressed")</f>
        <v>Not Depressed</v>
      </c>
      <c r="Q132" s="45" t="str" cm="1">
        <f t="array" ref="Q132">_xlfn.SWITCH(rounded[[#This Row],[gender]], "male", "Male", "female", "Female")</f>
        <v>Female</v>
      </c>
    </row>
    <row r="133" spans="1:17" x14ac:dyDescent="0.35">
      <c r="A133">
        <v>15</v>
      </c>
      <c r="B133" t="s">
        <v>13</v>
      </c>
      <c r="C133" s="4">
        <v>7.4</v>
      </c>
      <c r="D133" t="s">
        <v>17</v>
      </c>
      <c r="E133" s="4">
        <v>6.3</v>
      </c>
      <c r="F133" s="4">
        <v>1.3</v>
      </c>
      <c r="G133">
        <v>3.47</v>
      </c>
      <c r="H133">
        <v>1.2</v>
      </c>
      <c r="I133" t="s">
        <v>19</v>
      </c>
      <c r="J133">
        <v>1</v>
      </c>
      <c r="K133">
        <v>3</v>
      </c>
      <c r="L133">
        <v>9</v>
      </c>
      <c r="M133">
        <v>0</v>
      </c>
      <c r="N133">
        <f>_xlfn.IFS(rounded[[#This Row],[social_interaction_level]] = "low", 1,rounded[[#This Row],[social_interaction_level]] = "medium", 2,rounded[[#This Row],[social_interaction_level]] = "high", 3)</f>
        <v>2</v>
      </c>
      <c r="O133">
        <f t="shared" si="2"/>
        <v>13</v>
      </c>
      <c r="P133" t="str" cm="1">
        <f t="array" ref="P133">_xlfn.SWITCH(rounded[[#This Row],[depression_label]], 0, "Not Depressed", 1, "Depressed")</f>
        <v>Not Depressed</v>
      </c>
      <c r="Q133" s="45" t="str" cm="1">
        <f t="array" ref="Q133">_xlfn.SWITCH(rounded[[#This Row],[gender]], "male", "Male", "female", "Female")</f>
        <v>Male</v>
      </c>
    </row>
    <row r="134" spans="1:17" x14ac:dyDescent="0.35">
      <c r="A134">
        <v>17</v>
      </c>
      <c r="B134" t="s">
        <v>13</v>
      </c>
      <c r="C134" s="4">
        <v>3.9</v>
      </c>
      <c r="D134" t="s">
        <v>14</v>
      </c>
      <c r="E134" s="4">
        <v>7.1</v>
      </c>
      <c r="F134" s="4">
        <v>2.4</v>
      </c>
      <c r="G134">
        <v>3.82</v>
      </c>
      <c r="H134">
        <v>0.8</v>
      </c>
      <c r="I134" t="s">
        <v>18</v>
      </c>
      <c r="J134">
        <v>3</v>
      </c>
      <c r="K134">
        <v>6</v>
      </c>
      <c r="L134">
        <v>10</v>
      </c>
      <c r="M134">
        <v>0</v>
      </c>
      <c r="N134">
        <f>_xlfn.IFS(rounded[[#This Row],[social_interaction_level]] = "low", 1,rounded[[#This Row],[social_interaction_level]] = "medium", 2,rounded[[#This Row],[social_interaction_level]] = "high", 3)</f>
        <v>3</v>
      </c>
      <c r="O134">
        <f t="shared" si="2"/>
        <v>19</v>
      </c>
      <c r="P134" t="str" cm="1">
        <f t="array" ref="P134">_xlfn.SWITCH(rounded[[#This Row],[depression_label]], 0, "Not Depressed", 1, "Depressed")</f>
        <v>Not Depressed</v>
      </c>
      <c r="Q134" s="45" t="str" cm="1">
        <f t="array" ref="Q134">_xlfn.SWITCH(rounded[[#This Row],[gender]], "male", "Male", "female", "Female")</f>
        <v>Male</v>
      </c>
    </row>
    <row r="135" spans="1:17" x14ac:dyDescent="0.35">
      <c r="A135">
        <v>18</v>
      </c>
      <c r="B135" t="s">
        <v>13</v>
      </c>
      <c r="C135" s="4">
        <v>3.1</v>
      </c>
      <c r="D135" t="s">
        <v>14</v>
      </c>
      <c r="E135" s="4">
        <v>5.7</v>
      </c>
      <c r="F135" s="4">
        <v>2.9</v>
      </c>
      <c r="G135">
        <v>3.1</v>
      </c>
      <c r="H135">
        <v>0.6</v>
      </c>
      <c r="I135" t="s">
        <v>19</v>
      </c>
      <c r="J135">
        <v>9</v>
      </c>
      <c r="K135">
        <v>4</v>
      </c>
      <c r="L135">
        <v>2</v>
      </c>
      <c r="M135">
        <v>0</v>
      </c>
      <c r="N135">
        <f>_xlfn.IFS(rounded[[#This Row],[social_interaction_level]] = "low", 1,rounded[[#This Row],[social_interaction_level]] = "medium", 2,rounded[[#This Row],[social_interaction_level]] = "high", 3)</f>
        <v>2</v>
      </c>
      <c r="O135">
        <f t="shared" si="2"/>
        <v>15</v>
      </c>
      <c r="P135" t="str" cm="1">
        <f t="array" ref="P135">_xlfn.SWITCH(rounded[[#This Row],[depression_label]], 0, "Not Depressed", 1, "Depressed")</f>
        <v>Not Depressed</v>
      </c>
      <c r="Q135" s="45" t="str" cm="1">
        <f t="array" ref="Q135">_xlfn.SWITCH(rounded[[#This Row],[gender]], "male", "Male", "female", "Female")</f>
        <v>Male</v>
      </c>
    </row>
    <row r="136" spans="1:17" x14ac:dyDescent="0.35">
      <c r="A136">
        <v>16</v>
      </c>
      <c r="B136" t="s">
        <v>16</v>
      </c>
      <c r="C136" s="4">
        <v>2.6</v>
      </c>
      <c r="D136" t="s">
        <v>17</v>
      </c>
      <c r="E136" s="4">
        <v>8.8000000000000007</v>
      </c>
      <c r="F136" s="4">
        <v>1.7</v>
      </c>
      <c r="G136">
        <v>2.39</v>
      </c>
      <c r="H136">
        <v>1</v>
      </c>
      <c r="I136" t="s">
        <v>19</v>
      </c>
      <c r="J136">
        <v>5</v>
      </c>
      <c r="K136">
        <v>2</v>
      </c>
      <c r="L136">
        <v>6</v>
      </c>
      <c r="M136">
        <v>0</v>
      </c>
      <c r="N136">
        <f>_xlfn.IFS(rounded[[#This Row],[social_interaction_level]] = "low", 1,rounded[[#This Row],[social_interaction_level]] = "medium", 2,rounded[[#This Row],[social_interaction_level]] = "high", 3)</f>
        <v>2</v>
      </c>
      <c r="O136">
        <f t="shared" si="2"/>
        <v>13</v>
      </c>
      <c r="P136" t="str" cm="1">
        <f t="array" ref="P136">_xlfn.SWITCH(rounded[[#This Row],[depression_label]], 0, "Not Depressed", 1, "Depressed")</f>
        <v>Not Depressed</v>
      </c>
      <c r="Q136" s="45" t="str" cm="1">
        <f t="array" ref="Q136">_xlfn.SWITCH(rounded[[#This Row],[gender]], "male", "Male", "female", "Female")</f>
        <v>Female</v>
      </c>
    </row>
    <row r="137" spans="1:17" x14ac:dyDescent="0.35">
      <c r="A137">
        <v>13</v>
      </c>
      <c r="B137" t="s">
        <v>13</v>
      </c>
      <c r="C137" s="4">
        <v>5</v>
      </c>
      <c r="D137" t="s">
        <v>17</v>
      </c>
      <c r="E137" s="4">
        <v>6.9</v>
      </c>
      <c r="F137" s="4">
        <v>0.6</v>
      </c>
      <c r="G137">
        <v>3.03</v>
      </c>
      <c r="H137">
        <v>0.8</v>
      </c>
      <c r="I137" t="s">
        <v>15</v>
      </c>
      <c r="J137">
        <v>9</v>
      </c>
      <c r="K137">
        <v>3</v>
      </c>
      <c r="L137">
        <v>8</v>
      </c>
      <c r="M137">
        <v>0</v>
      </c>
      <c r="N137">
        <f>_xlfn.IFS(rounded[[#This Row],[social_interaction_level]] = "low", 1,rounded[[#This Row],[social_interaction_level]] = "medium", 2,rounded[[#This Row],[social_interaction_level]] = "high", 3)</f>
        <v>1</v>
      </c>
      <c r="O137">
        <f t="shared" si="2"/>
        <v>20</v>
      </c>
      <c r="P137" t="str" cm="1">
        <f t="array" ref="P137">_xlfn.SWITCH(rounded[[#This Row],[depression_label]], 0, "Not Depressed", 1, "Depressed")</f>
        <v>Not Depressed</v>
      </c>
      <c r="Q137" s="45" t="str" cm="1">
        <f t="array" ref="Q137">_xlfn.SWITCH(rounded[[#This Row],[gender]], "male", "Male", "female", "Female")</f>
        <v>Male</v>
      </c>
    </row>
    <row r="138" spans="1:17" x14ac:dyDescent="0.35">
      <c r="A138">
        <v>18</v>
      </c>
      <c r="B138" t="s">
        <v>13</v>
      </c>
      <c r="C138" s="4">
        <v>4.5</v>
      </c>
      <c r="D138" t="s">
        <v>14</v>
      </c>
      <c r="E138" s="4">
        <v>8.1</v>
      </c>
      <c r="F138" s="4">
        <v>1.6</v>
      </c>
      <c r="G138">
        <v>3.72</v>
      </c>
      <c r="H138">
        <v>1.2</v>
      </c>
      <c r="I138" t="s">
        <v>15</v>
      </c>
      <c r="J138">
        <v>1</v>
      </c>
      <c r="K138">
        <v>2</v>
      </c>
      <c r="L138">
        <v>1</v>
      </c>
      <c r="M138">
        <v>0</v>
      </c>
      <c r="N138">
        <f>_xlfn.IFS(rounded[[#This Row],[social_interaction_level]] = "low", 1,rounded[[#This Row],[social_interaction_level]] = "medium", 2,rounded[[#This Row],[social_interaction_level]] = "high", 3)</f>
        <v>1</v>
      </c>
      <c r="O138">
        <f t="shared" si="2"/>
        <v>4</v>
      </c>
      <c r="P138" t="str" cm="1">
        <f t="array" ref="P138">_xlfn.SWITCH(rounded[[#This Row],[depression_label]], 0, "Not Depressed", 1, "Depressed")</f>
        <v>Not Depressed</v>
      </c>
      <c r="Q138" s="45" t="str" cm="1">
        <f t="array" ref="Q138">_xlfn.SWITCH(rounded[[#This Row],[gender]], "male", "Male", "female", "Female")</f>
        <v>Male</v>
      </c>
    </row>
    <row r="139" spans="1:17" x14ac:dyDescent="0.35">
      <c r="A139">
        <v>17</v>
      </c>
      <c r="B139" t="s">
        <v>13</v>
      </c>
      <c r="C139" s="4">
        <v>2.1</v>
      </c>
      <c r="D139" t="s">
        <v>17</v>
      </c>
      <c r="E139" s="4">
        <v>4.7</v>
      </c>
      <c r="F139" s="4">
        <v>2</v>
      </c>
      <c r="G139">
        <v>2.99</v>
      </c>
      <c r="H139">
        <v>1.9</v>
      </c>
      <c r="I139" t="s">
        <v>15</v>
      </c>
      <c r="J139">
        <v>5</v>
      </c>
      <c r="K139">
        <v>1</v>
      </c>
      <c r="L139">
        <v>8</v>
      </c>
      <c r="M139">
        <v>0</v>
      </c>
      <c r="N139">
        <f>_xlfn.IFS(rounded[[#This Row],[social_interaction_level]] = "low", 1,rounded[[#This Row],[social_interaction_level]] = "medium", 2,rounded[[#This Row],[social_interaction_level]] = "high", 3)</f>
        <v>1</v>
      </c>
      <c r="O139">
        <f t="shared" si="2"/>
        <v>14</v>
      </c>
      <c r="P139" t="str" cm="1">
        <f t="array" ref="P139">_xlfn.SWITCH(rounded[[#This Row],[depression_label]], 0, "Not Depressed", 1, "Depressed")</f>
        <v>Not Depressed</v>
      </c>
      <c r="Q139" s="45" t="str" cm="1">
        <f t="array" ref="Q139">_xlfn.SWITCH(rounded[[#This Row],[gender]], "male", "Male", "female", "Female")</f>
        <v>Male</v>
      </c>
    </row>
    <row r="140" spans="1:17" x14ac:dyDescent="0.35">
      <c r="A140">
        <v>14</v>
      </c>
      <c r="B140" t="s">
        <v>16</v>
      </c>
      <c r="C140" s="4">
        <v>6.4</v>
      </c>
      <c r="D140" t="s">
        <v>14</v>
      </c>
      <c r="E140" s="4">
        <v>6</v>
      </c>
      <c r="F140" s="4">
        <v>1.1000000000000001</v>
      </c>
      <c r="G140">
        <v>3.81</v>
      </c>
      <c r="H140">
        <v>0.9</v>
      </c>
      <c r="I140" t="s">
        <v>19</v>
      </c>
      <c r="J140">
        <v>8</v>
      </c>
      <c r="K140">
        <v>2</v>
      </c>
      <c r="L140">
        <v>3</v>
      </c>
      <c r="M140">
        <v>0</v>
      </c>
      <c r="N140">
        <f>_xlfn.IFS(rounded[[#This Row],[social_interaction_level]] = "low", 1,rounded[[#This Row],[social_interaction_level]] = "medium", 2,rounded[[#This Row],[social_interaction_level]] = "high", 3)</f>
        <v>2</v>
      </c>
      <c r="O140">
        <f t="shared" si="2"/>
        <v>13</v>
      </c>
      <c r="P140" t="str" cm="1">
        <f t="array" ref="P140">_xlfn.SWITCH(rounded[[#This Row],[depression_label]], 0, "Not Depressed", 1, "Depressed")</f>
        <v>Not Depressed</v>
      </c>
      <c r="Q140" s="45" t="str" cm="1">
        <f t="array" ref="Q140">_xlfn.SWITCH(rounded[[#This Row],[gender]], "male", "Male", "female", "Female")</f>
        <v>Female</v>
      </c>
    </row>
    <row r="141" spans="1:17" x14ac:dyDescent="0.35">
      <c r="A141">
        <v>15</v>
      </c>
      <c r="B141" t="s">
        <v>16</v>
      </c>
      <c r="C141" s="4">
        <v>2.2999999999999998</v>
      </c>
      <c r="D141" t="s">
        <v>17</v>
      </c>
      <c r="E141" s="4">
        <v>6.5</v>
      </c>
      <c r="F141" s="4">
        <v>2.6</v>
      </c>
      <c r="G141">
        <v>3.18</v>
      </c>
      <c r="H141">
        <v>0.1</v>
      </c>
      <c r="I141" t="s">
        <v>15</v>
      </c>
      <c r="J141">
        <v>1</v>
      </c>
      <c r="K141">
        <v>8</v>
      </c>
      <c r="L141">
        <v>4</v>
      </c>
      <c r="M141">
        <v>0</v>
      </c>
      <c r="N141">
        <f>_xlfn.IFS(rounded[[#This Row],[social_interaction_level]] = "low", 1,rounded[[#This Row],[social_interaction_level]] = "medium", 2,rounded[[#This Row],[social_interaction_level]] = "high", 3)</f>
        <v>1</v>
      </c>
      <c r="O141">
        <f t="shared" si="2"/>
        <v>13</v>
      </c>
      <c r="P141" t="str" cm="1">
        <f t="array" ref="P141">_xlfn.SWITCH(rounded[[#This Row],[depression_label]], 0, "Not Depressed", 1, "Depressed")</f>
        <v>Not Depressed</v>
      </c>
      <c r="Q141" s="45" t="str" cm="1">
        <f t="array" ref="Q141">_xlfn.SWITCH(rounded[[#This Row],[gender]], "male", "Male", "female", "Female")</f>
        <v>Female</v>
      </c>
    </row>
    <row r="142" spans="1:17" x14ac:dyDescent="0.35">
      <c r="A142">
        <v>13</v>
      </c>
      <c r="B142" t="s">
        <v>16</v>
      </c>
      <c r="C142" s="4">
        <v>4.4000000000000004</v>
      </c>
      <c r="D142" t="s">
        <v>17</v>
      </c>
      <c r="E142" s="4">
        <v>8.8000000000000007</v>
      </c>
      <c r="F142" s="4">
        <v>1.3</v>
      </c>
      <c r="G142">
        <v>2.69</v>
      </c>
      <c r="H142">
        <v>0.4</v>
      </c>
      <c r="I142" t="s">
        <v>15</v>
      </c>
      <c r="J142">
        <v>3</v>
      </c>
      <c r="K142">
        <v>1</v>
      </c>
      <c r="L142">
        <v>7</v>
      </c>
      <c r="M142">
        <v>0</v>
      </c>
      <c r="N142">
        <f>_xlfn.IFS(rounded[[#This Row],[social_interaction_level]] = "low", 1,rounded[[#This Row],[social_interaction_level]] = "medium", 2,rounded[[#This Row],[social_interaction_level]] = "high", 3)</f>
        <v>1</v>
      </c>
      <c r="O142">
        <f t="shared" si="2"/>
        <v>11</v>
      </c>
      <c r="P142" t="str" cm="1">
        <f t="array" ref="P142">_xlfn.SWITCH(rounded[[#This Row],[depression_label]], 0, "Not Depressed", 1, "Depressed")</f>
        <v>Not Depressed</v>
      </c>
      <c r="Q142" s="45" t="str" cm="1">
        <f t="array" ref="Q142">_xlfn.SWITCH(rounded[[#This Row],[gender]], "male", "Male", "female", "Female")</f>
        <v>Female</v>
      </c>
    </row>
    <row r="143" spans="1:17" x14ac:dyDescent="0.35">
      <c r="A143">
        <v>19</v>
      </c>
      <c r="B143" t="s">
        <v>13</v>
      </c>
      <c r="C143" s="4">
        <v>2.2999999999999998</v>
      </c>
      <c r="D143" t="s">
        <v>14</v>
      </c>
      <c r="E143" s="4">
        <v>6.9</v>
      </c>
      <c r="F143" s="4">
        <v>2.2999999999999998</v>
      </c>
      <c r="G143">
        <v>2.17</v>
      </c>
      <c r="H143">
        <v>1.6</v>
      </c>
      <c r="I143" t="s">
        <v>19</v>
      </c>
      <c r="J143">
        <v>3</v>
      </c>
      <c r="K143">
        <v>6</v>
      </c>
      <c r="L143">
        <v>10</v>
      </c>
      <c r="M143">
        <v>0</v>
      </c>
      <c r="N143">
        <f>_xlfn.IFS(rounded[[#This Row],[social_interaction_level]] = "low", 1,rounded[[#This Row],[social_interaction_level]] = "medium", 2,rounded[[#This Row],[social_interaction_level]] = "high", 3)</f>
        <v>2</v>
      </c>
      <c r="O143">
        <f t="shared" si="2"/>
        <v>19</v>
      </c>
      <c r="P143" t="str" cm="1">
        <f t="array" ref="P143">_xlfn.SWITCH(rounded[[#This Row],[depression_label]], 0, "Not Depressed", 1, "Depressed")</f>
        <v>Not Depressed</v>
      </c>
      <c r="Q143" s="45" t="str" cm="1">
        <f t="array" ref="Q143">_xlfn.SWITCH(rounded[[#This Row],[gender]], "male", "Male", "female", "Female")</f>
        <v>Male</v>
      </c>
    </row>
    <row r="144" spans="1:17" x14ac:dyDescent="0.35">
      <c r="A144">
        <v>13</v>
      </c>
      <c r="B144" t="s">
        <v>13</v>
      </c>
      <c r="C144" s="4">
        <v>4.3</v>
      </c>
      <c r="D144" t="s">
        <v>14</v>
      </c>
      <c r="E144" s="4">
        <v>4.4000000000000004</v>
      </c>
      <c r="F144" s="4">
        <v>0.7</v>
      </c>
      <c r="G144">
        <v>3.19</v>
      </c>
      <c r="H144">
        <v>0.3</v>
      </c>
      <c r="I144" t="s">
        <v>15</v>
      </c>
      <c r="J144">
        <v>6</v>
      </c>
      <c r="K144">
        <v>2</v>
      </c>
      <c r="L144">
        <v>6</v>
      </c>
      <c r="M144">
        <v>0</v>
      </c>
      <c r="N144">
        <f>_xlfn.IFS(rounded[[#This Row],[social_interaction_level]] = "low", 1,rounded[[#This Row],[social_interaction_level]] = "medium", 2,rounded[[#This Row],[social_interaction_level]] = "high", 3)</f>
        <v>1</v>
      </c>
      <c r="O144">
        <f t="shared" si="2"/>
        <v>14</v>
      </c>
      <c r="P144" t="str" cm="1">
        <f t="array" ref="P144">_xlfn.SWITCH(rounded[[#This Row],[depression_label]], 0, "Not Depressed", 1, "Depressed")</f>
        <v>Not Depressed</v>
      </c>
      <c r="Q144" s="45" t="str" cm="1">
        <f t="array" ref="Q144">_xlfn.SWITCH(rounded[[#This Row],[gender]], "male", "Male", "female", "Female")</f>
        <v>Male</v>
      </c>
    </row>
    <row r="145" spans="1:17" x14ac:dyDescent="0.35">
      <c r="A145">
        <v>18</v>
      </c>
      <c r="B145" t="s">
        <v>16</v>
      </c>
      <c r="C145" s="4">
        <v>3.9</v>
      </c>
      <c r="D145" t="s">
        <v>17</v>
      </c>
      <c r="E145" s="4">
        <v>5.2</v>
      </c>
      <c r="F145" s="4">
        <v>1.8</v>
      </c>
      <c r="G145">
        <v>2.41</v>
      </c>
      <c r="H145">
        <v>0.6</v>
      </c>
      <c r="I145" t="s">
        <v>18</v>
      </c>
      <c r="J145">
        <v>9</v>
      </c>
      <c r="K145">
        <v>5</v>
      </c>
      <c r="L145">
        <v>5</v>
      </c>
      <c r="M145">
        <v>0</v>
      </c>
      <c r="N145">
        <f>_xlfn.IFS(rounded[[#This Row],[social_interaction_level]] = "low", 1,rounded[[#This Row],[social_interaction_level]] = "medium", 2,rounded[[#This Row],[social_interaction_level]] = "high", 3)</f>
        <v>3</v>
      </c>
      <c r="O145">
        <f t="shared" si="2"/>
        <v>19</v>
      </c>
      <c r="P145" t="str" cm="1">
        <f t="array" ref="P145">_xlfn.SWITCH(rounded[[#This Row],[depression_label]], 0, "Not Depressed", 1, "Depressed")</f>
        <v>Not Depressed</v>
      </c>
      <c r="Q145" s="45" t="str" cm="1">
        <f t="array" ref="Q145">_xlfn.SWITCH(rounded[[#This Row],[gender]], "male", "Male", "female", "Female")</f>
        <v>Female</v>
      </c>
    </row>
    <row r="146" spans="1:17" x14ac:dyDescent="0.35">
      <c r="A146">
        <v>18</v>
      </c>
      <c r="B146" t="s">
        <v>13</v>
      </c>
      <c r="C146" s="4">
        <v>2.9</v>
      </c>
      <c r="D146" t="s">
        <v>17</v>
      </c>
      <c r="E146" s="4">
        <v>7.5</v>
      </c>
      <c r="F146" s="4">
        <v>0.9</v>
      </c>
      <c r="G146">
        <v>2.62</v>
      </c>
      <c r="H146">
        <v>2</v>
      </c>
      <c r="I146" t="s">
        <v>18</v>
      </c>
      <c r="J146">
        <v>3</v>
      </c>
      <c r="K146">
        <v>1</v>
      </c>
      <c r="L146">
        <v>9</v>
      </c>
      <c r="M146">
        <v>0</v>
      </c>
      <c r="N146">
        <f>_xlfn.IFS(rounded[[#This Row],[social_interaction_level]] = "low", 1,rounded[[#This Row],[social_interaction_level]] = "medium", 2,rounded[[#This Row],[social_interaction_level]] = "high", 3)</f>
        <v>3</v>
      </c>
      <c r="O146">
        <f t="shared" si="2"/>
        <v>13</v>
      </c>
      <c r="P146" t="str" cm="1">
        <f t="array" ref="P146">_xlfn.SWITCH(rounded[[#This Row],[depression_label]], 0, "Not Depressed", 1, "Depressed")</f>
        <v>Not Depressed</v>
      </c>
      <c r="Q146" s="45" t="str" cm="1">
        <f t="array" ref="Q146">_xlfn.SWITCH(rounded[[#This Row],[gender]], "male", "Male", "female", "Female")</f>
        <v>Male</v>
      </c>
    </row>
    <row r="147" spans="1:17" x14ac:dyDescent="0.35">
      <c r="A147">
        <v>14</v>
      </c>
      <c r="B147" t="s">
        <v>13</v>
      </c>
      <c r="C147" s="4">
        <v>2.1</v>
      </c>
      <c r="D147" t="s">
        <v>14</v>
      </c>
      <c r="E147" s="4">
        <v>8.5</v>
      </c>
      <c r="F147" s="4">
        <v>1.1000000000000001</v>
      </c>
      <c r="G147">
        <v>3.03</v>
      </c>
      <c r="H147">
        <v>1.6</v>
      </c>
      <c r="I147" t="s">
        <v>19</v>
      </c>
      <c r="J147">
        <v>5</v>
      </c>
      <c r="K147">
        <v>6</v>
      </c>
      <c r="L147">
        <v>7</v>
      </c>
      <c r="M147">
        <v>0</v>
      </c>
      <c r="N147">
        <f>_xlfn.IFS(rounded[[#This Row],[social_interaction_level]] = "low", 1,rounded[[#This Row],[social_interaction_level]] = "medium", 2,rounded[[#This Row],[social_interaction_level]] = "high", 3)</f>
        <v>2</v>
      </c>
      <c r="O147">
        <f t="shared" si="2"/>
        <v>18</v>
      </c>
      <c r="P147" t="str" cm="1">
        <f t="array" ref="P147">_xlfn.SWITCH(rounded[[#This Row],[depression_label]], 0, "Not Depressed", 1, "Depressed")</f>
        <v>Not Depressed</v>
      </c>
      <c r="Q147" s="45" t="str" cm="1">
        <f t="array" ref="Q147">_xlfn.SWITCH(rounded[[#This Row],[gender]], "male", "Male", "female", "Female")</f>
        <v>Male</v>
      </c>
    </row>
    <row r="148" spans="1:17" x14ac:dyDescent="0.35">
      <c r="A148">
        <v>14</v>
      </c>
      <c r="B148" t="s">
        <v>13</v>
      </c>
      <c r="C148" s="4">
        <v>2.1</v>
      </c>
      <c r="D148" t="s">
        <v>17</v>
      </c>
      <c r="E148" s="4">
        <v>5</v>
      </c>
      <c r="F148" s="4">
        <v>1.4</v>
      </c>
      <c r="G148">
        <v>2.96</v>
      </c>
      <c r="H148">
        <v>1.1000000000000001</v>
      </c>
      <c r="I148" t="s">
        <v>15</v>
      </c>
      <c r="J148">
        <v>7</v>
      </c>
      <c r="K148">
        <v>1</v>
      </c>
      <c r="L148">
        <v>9</v>
      </c>
      <c r="M148">
        <v>0</v>
      </c>
      <c r="N148">
        <f>_xlfn.IFS(rounded[[#This Row],[social_interaction_level]] = "low", 1,rounded[[#This Row],[social_interaction_level]] = "medium", 2,rounded[[#This Row],[social_interaction_level]] = "high", 3)</f>
        <v>1</v>
      </c>
      <c r="O148">
        <f t="shared" si="2"/>
        <v>17</v>
      </c>
      <c r="P148" t="str" cm="1">
        <f t="array" ref="P148">_xlfn.SWITCH(rounded[[#This Row],[depression_label]], 0, "Not Depressed", 1, "Depressed")</f>
        <v>Not Depressed</v>
      </c>
      <c r="Q148" s="45" t="str" cm="1">
        <f t="array" ref="Q148">_xlfn.SWITCH(rounded[[#This Row],[gender]], "male", "Male", "female", "Female")</f>
        <v>Male</v>
      </c>
    </row>
    <row r="149" spans="1:17" x14ac:dyDescent="0.35">
      <c r="A149">
        <v>16</v>
      </c>
      <c r="B149" t="s">
        <v>13</v>
      </c>
      <c r="C149" s="4">
        <v>3.8</v>
      </c>
      <c r="D149" t="s">
        <v>17</v>
      </c>
      <c r="E149" s="4">
        <v>5.7</v>
      </c>
      <c r="F149" s="4">
        <v>1.3</v>
      </c>
      <c r="G149">
        <v>3.84</v>
      </c>
      <c r="H149">
        <v>1.6</v>
      </c>
      <c r="I149" t="s">
        <v>19</v>
      </c>
      <c r="J149">
        <v>3</v>
      </c>
      <c r="K149">
        <v>4</v>
      </c>
      <c r="L149">
        <v>10</v>
      </c>
      <c r="M149">
        <v>0</v>
      </c>
      <c r="N149">
        <f>_xlfn.IFS(rounded[[#This Row],[social_interaction_level]] = "low", 1,rounded[[#This Row],[social_interaction_level]] = "medium", 2,rounded[[#This Row],[social_interaction_level]] = "high", 3)</f>
        <v>2</v>
      </c>
      <c r="O149">
        <f t="shared" si="2"/>
        <v>17</v>
      </c>
      <c r="P149" t="str" cm="1">
        <f t="array" ref="P149">_xlfn.SWITCH(rounded[[#This Row],[depression_label]], 0, "Not Depressed", 1, "Depressed")</f>
        <v>Not Depressed</v>
      </c>
      <c r="Q149" s="45" t="str" cm="1">
        <f t="array" ref="Q149">_xlfn.SWITCH(rounded[[#This Row],[gender]], "male", "Male", "female", "Female")</f>
        <v>Male</v>
      </c>
    </row>
    <row r="150" spans="1:17" x14ac:dyDescent="0.35">
      <c r="A150">
        <v>15</v>
      </c>
      <c r="B150" t="s">
        <v>16</v>
      </c>
      <c r="C150" s="4">
        <v>1.1000000000000001</v>
      </c>
      <c r="D150" t="s">
        <v>17</v>
      </c>
      <c r="E150" s="4">
        <v>8.1999999999999993</v>
      </c>
      <c r="F150" s="4">
        <v>0.7</v>
      </c>
      <c r="G150">
        <v>2.94</v>
      </c>
      <c r="H150">
        <v>0.7</v>
      </c>
      <c r="I150" t="s">
        <v>18</v>
      </c>
      <c r="J150">
        <v>10</v>
      </c>
      <c r="K150">
        <v>7</v>
      </c>
      <c r="L150">
        <v>9</v>
      </c>
      <c r="M150">
        <v>0</v>
      </c>
      <c r="N150">
        <f>_xlfn.IFS(rounded[[#This Row],[social_interaction_level]] = "low", 1,rounded[[#This Row],[social_interaction_level]] = "medium", 2,rounded[[#This Row],[social_interaction_level]] = "high", 3)</f>
        <v>3</v>
      </c>
      <c r="O150">
        <f t="shared" si="2"/>
        <v>26</v>
      </c>
      <c r="P150" t="str" cm="1">
        <f t="array" ref="P150">_xlfn.SWITCH(rounded[[#This Row],[depression_label]], 0, "Not Depressed", 1, "Depressed")</f>
        <v>Not Depressed</v>
      </c>
      <c r="Q150" s="45" t="str" cm="1">
        <f t="array" ref="Q150">_xlfn.SWITCH(rounded[[#This Row],[gender]], "male", "Male", "female", "Female")</f>
        <v>Female</v>
      </c>
    </row>
    <row r="151" spans="1:17" x14ac:dyDescent="0.35">
      <c r="A151">
        <v>14</v>
      </c>
      <c r="B151" t="s">
        <v>13</v>
      </c>
      <c r="C151" s="4">
        <v>2.5</v>
      </c>
      <c r="D151" t="s">
        <v>20</v>
      </c>
      <c r="E151" s="4">
        <v>5.3</v>
      </c>
      <c r="F151" s="4">
        <v>2.4</v>
      </c>
      <c r="G151">
        <v>3.87</v>
      </c>
      <c r="H151">
        <v>1.3</v>
      </c>
      <c r="I151" t="s">
        <v>18</v>
      </c>
      <c r="J151">
        <v>10</v>
      </c>
      <c r="K151">
        <v>9</v>
      </c>
      <c r="L151">
        <v>6</v>
      </c>
      <c r="M151">
        <v>0</v>
      </c>
      <c r="N151">
        <f>_xlfn.IFS(rounded[[#This Row],[social_interaction_level]] = "low", 1,rounded[[#This Row],[social_interaction_level]] = "medium", 2,rounded[[#This Row],[social_interaction_level]] = "high", 3)</f>
        <v>3</v>
      </c>
      <c r="O151">
        <f t="shared" si="2"/>
        <v>25</v>
      </c>
      <c r="P151" t="str" cm="1">
        <f t="array" ref="P151">_xlfn.SWITCH(rounded[[#This Row],[depression_label]], 0, "Not Depressed", 1, "Depressed")</f>
        <v>Not Depressed</v>
      </c>
      <c r="Q151" s="45" t="str" cm="1">
        <f t="array" ref="Q151">_xlfn.SWITCH(rounded[[#This Row],[gender]], "male", "Male", "female", "Female")</f>
        <v>Male</v>
      </c>
    </row>
    <row r="152" spans="1:17" x14ac:dyDescent="0.35">
      <c r="A152">
        <v>19</v>
      </c>
      <c r="B152" t="s">
        <v>16</v>
      </c>
      <c r="C152" s="4">
        <v>4.0999999999999996</v>
      </c>
      <c r="D152" t="s">
        <v>14</v>
      </c>
      <c r="E152" s="4">
        <v>6.4</v>
      </c>
      <c r="F152" s="4">
        <v>0.9</v>
      </c>
      <c r="G152">
        <v>2.4700000000000002</v>
      </c>
      <c r="H152">
        <v>1.2</v>
      </c>
      <c r="I152" t="s">
        <v>18</v>
      </c>
      <c r="J152">
        <v>7</v>
      </c>
      <c r="K152">
        <v>3</v>
      </c>
      <c r="L152">
        <v>4</v>
      </c>
      <c r="M152">
        <v>0</v>
      </c>
      <c r="N152">
        <f>_xlfn.IFS(rounded[[#This Row],[social_interaction_level]] = "low", 1,rounded[[#This Row],[social_interaction_level]] = "medium", 2,rounded[[#This Row],[social_interaction_level]] = "high", 3)</f>
        <v>3</v>
      </c>
      <c r="O152">
        <f t="shared" si="2"/>
        <v>14</v>
      </c>
      <c r="P152" t="str" cm="1">
        <f t="array" ref="P152">_xlfn.SWITCH(rounded[[#This Row],[depression_label]], 0, "Not Depressed", 1, "Depressed")</f>
        <v>Not Depressed</v>
      </c>
      <c r="Q152" s="45" t="str" cm="1">
        <f t="array" ref="Q152">_xlfn.SWITCH(rounded[[#This Row],[gender]], "male", "Male", "female", "Female")</f>
        <v>Female</v>
      </c>
    </row>
    <row r="153" spans="1:17" x14ac:dyDescent="0.35">
      <c r="A153">
        <v>16</v>
      </c>
      <c r="B153" t="s">
        <v>13</v>
      </c>
      <c r="C153" s="4">
        <v>3</v>
      </c>
      <c r="D153" t="s">
        <v>14</v>
      </c>
      <c r="E153" s="4">
        <v>8.6</v>
      </c>
      <c r="F153" s="4">
        <v>1.5</v>
      </c>
      <c r="G153">
        <v>2.84</v>
      </c>
      <c r="H153">
        <v>0.3</v>
      </c>
      <c r="I153" t="s">
        <v>18</v>
      </c>
      <c r="J153">
        <v>6</v>
      </c>
      <c r="K153">
        <v>4</v>
      </c>
      <c r="L153">
        <v>3</v>
      </c>
      <c r="M153">
        <v>0</v>
      </c>
      <c r="N153">
        <f>_xlfn.IFS(rounded[[#This Row],[social_interaction_level]] = "low", 1,rounded[[#This Row],[social_interaction_level]] = "medium", 2,rounded[[#This Row],[social_interaction_level]] = "high", 3)</f>
        <v>3</v>
      </c>
      <c r="O153">
        <f t="shared" si="2"/>
        <v>13</v>
      </c>
      <c r="P153" t="str" cm="1">
        <f t="array" ref="P153">_xlfn.SWITCH(rounded[[#This Row],[depression_label]], 0, "Not Depressed", 1, "Depressed")</f>
        <v>Not Depressed</v>
      </c>
      <c r="Q153" s="45" t="str" cm="1">
        <f t="array" ref="Q153">_xlfn.SWITCH(rounded[[#This Row],[gender]], "male", "Male", "female", "Female")</f>
        <v>Male</v>
      </c>
    </row>
    <row r="154" spans="1:17" x14ac:dyDescent="0.35">
      <c r="A154">
        <v>13</v>
      </c>
      <c r="B154" t="s">
        <v>16</v>
      </c>
      <c r="C154" s="4">
        <v>3.9</v>
      </c>
      <c r="D154" t="s">
        <v>14</v>
      </c>
      <c r="E154" s="4">
        <v>5</v>
      </c>
      <c r="F154" s="4">
        <v>0.7</v>
      </c>
      <c r="G154">
        <v>2.98</v>
      </c>
      <c r="H154">
        <v>0.3</v>
      </c>
      <c r="I154" t="s">
        <v>19</v>
      </c>
      <c r="J154">
        <v>10</v>
      </c>
      <c r="K154">
        <v>8</v>
      </c>
      <c r="L154">
        <v>3</v>
      </c>
      <c r="M154">
        <v>0</v>
      </c>
      <c r="N154">
        <f>_xlfn.IFS(rounded[[#This Row],[social_interaction_level]] = "low", 1,rounded[[#This Row],[social_interaction_level]] = "medium", 2,rounded[[#This Row],[social_interaction_level]] = "high", 3)</f>
        <v>2</v>
      </c>
      <c r="O154">
        <f t="shared" si="2"/>
        <v>21</v>
      </c>
      <c r="P154" t="str" cm="1">
        <f t="array" ref="P154">_xlfn.SWITCH(rounded[[#This Row],[depression_label]], 0, "Not Depressed", 1, "Depressed")</f>
        <v>Not Depressed</v>
      </c>
      <c r="Q154" s="45" t="str" cm="1">
        <f t="array" ref="Q154">_xlfn.SWITCH(rounded[[#This Row],[gender]], "male", "Male", "female", "Female")</f>
        <v>Female</v>
      </c>
    </row>
    <row r="155" spans="1:17" x14ac:dyDescent="0.35">
      <c r="A155">
        <v>13</v>
      </c>
      <c r="B155" t="s">
        <v>13</v>
      </c>
      <c r="C155" s="4">
        <v>7</v>
      </c>
      <c r="D155" t="s">
        <v>17</v>
      </c>
      <c r="E155" s="4">
        <v>8.9</v>
      </c>
      <c r="F155" s="4">
        <v>0.6</v>
      </c>
      <c r="G155">
        <v>2.7</v>
      </c>
      <c r="H155">
        <v>1.8</v>
      </c>
      <c r="I155" t="s">
        <v>19</v>
      </c>
      <c r="J155">
        <v>5</v>
      </c>
      <c r="K155">
        <v>4</v>
      </c>
      <c r="L155">
        <v>1</v>
      </c>
      <c r="M155">
        <v>0</v>
      </c>
      <c r="N155">
        <f>_xlfn.IFS(rounded[[#This Row],[social_interaction_level]] = "low", 1,rounded[[#This Row],[social_interaction_level]] = "medium", 2,rounded[[#This Row],[social_interaction_level]] = "high", 3)</f>
        <v>2</v>
      </c>
      <c r="O155">
        <f t="shared" si="2"/>
        <v>10</v>
      </c>
      <c r="P155" t="str" cm="1">
        <f t="array" ref="P155">_xlfn.SWITCH(rounded[[#This Row],[depression_label]], 0, "Not Depressed", 1, "Depressed")</f>
        <v>Not Depressed</v>
      </c>
      <c r="Q155" s="45" t="str" cm="1">
        <f t="array" ref="Q155">_xlfn.SWITCH(rounded[[#This Row],[gender]], "male", "Male", "female", "Female")</f>
        <v>Male</v>
      </c>
    </row>
    <row r="156" spans="1:17" x14ac:dyDescent="0.35">
      <c r="A156">
        <v>16</v>
      </c>
      <c r="B156" t="s">
        <v>13</v>
      </c>
      <c r="C156" s="4">
        <v>3.6</v>
      </c>
      <c r="D156" t="s">
        <v>20</v>
      </c>
      <c r="E156" s="4">
        <v>8.9</v>
      </c>
      <c r="F156" s="4">
        <v>1.9</v>
      </c>
      <c r="G156">
        <v>2.11</v>
      </c>
      <c r="H156">
        <v>1.7</v>
      </c>
      <c r="I156" t="s">
        <v>15</v>
      </c>
      <c r="J156">
        <v>9</v>
      </c>
      <c r="K156">
        <v>5</v>
      </c>
      <c r="L156">
        <v>2</v>
      </c>
      <c r="M156">
        <v>0</v>
      </c>
      <c r="N156">
        <f>_xlfn.IFS(rounded[[#This Row],[social_interaction_level]] = "low", 1,rounded[[#This Row],[social_interaction_level]] = "medium", 2,rounded[[#This Row],[social_interaction_level]] = "high", 3)</f>
        <v>1</v>
      </c>
      <c r="O156">
        <f t="shared" si="2"/>
        <v>16</v>
      </c>
      <c r="P156" t="str" cm="1">
        <f t="array" ref="P156">_xlfn.SWITCH(rounded[[#This Row],[depression_label]], 0, "Not Depressed", 1, "Depressed")</f>
        <v>Not Depressed</v>
      </c>
      <c r="Q156" s="45" t="str" cm="1">
        <f t="array" ref="Q156">_xlfn.SWITCH(rounded[[#This Row],[gender]], "male", "Male", "female", "Female")</f>
        <v>Male</v>
      </c>
    </row>
    <row r="157" spans="1:17" x14ac:dyDescent="0.35">
      <c r="A157">
        <v>15</v>
      </c>
      <c r="B157" t="s">
        <v>13</v>
      </c>
      <c r="C157" s="4">
        <v>7.6</v>
      </c>
      <c r="D157" t="s">
        <v>14</v>
      </c>
      <c r="E157" s="4">
        <v>7.6</v>
      </c>
      <c r="F157" s="4">
        <v>2.7</v>
      </c>
      <c r="G157">
        <v>2.36</v>
      </c>
      <c r="H157">
        <v>1.2</v>
      </c>
      <c r="I157" t="s">
        <v>19</v>
      </c>
      <c r="J157">
        <v>5</v>
      </c>
      <c r="K157">
        <v>10</v>
      </c>
      <c r="L157">
        <v>3</v>
      </c>
      <c r="M157">
        <v>0</v>
      </c>
      <c r="N157">
        <f>_xlfn.IFS(rounded[[#This Row],[social_interaction_level]] = "low", 1,rounded[[#This Row],[social_interaction_level]] = "medium", 2,rounded[[#This Row],[social_interaction_level]] = "high", 3)</f>
        <v>2</v>
      </c>
      <c r="O157">
        <f t="shared" si="2"/>
        <v>18</v>
      </c>
      <c r="P157" t="str" cm="1">
        <f t="array" ref="P157">_xlfn.SWITCH(rounded[[#This Row],[depression_label]], 0, "Not Depressed", 1, "Depressed")</f>
        <v>Not Depressed</v>
      </c>
      <c r="Q157" s="45" t="str" cm="1">
        <f t="array" ref="Q157">_xlfn.SWITCH(rounded[[#This Row],[gender]], "male", "Male", "female", "Female")</f>
        <v>Male</v>
      </c>
    </row>
    <row r="158" spans="1:17" x14ac:dyDescent="0.35">
      <c r="A158">
        <v>19</v>
      </c>
      <c r="B158" t="s">
        <v>13</v>
      </c>
      <c r="C158" s="4">
        <v>1.3</v>
      </c>
      <c r="D158" t="s">
        <v>14</v>
      </c>
      <c r="E158" s="4">
        <v>4.5</v>
      </c>
      <c r="F158" s="4">
        <v>0.7</v>
      </c>
      <c r="G158">
        <v>2.5099999999999998</v>
      </c>
      <c r="H158">
        <v>0.8</v>
      </c>
      <c r="I158" t="s">
        <v>15</v>
      </c>
      <c r="J158">
        <v>10</v>
      </c>
      <c r="K158">
        <v>9</v>
      </c>
      <c r="L158">
        <v>7</v>
      </c>
      <c r="M158">
        <v>0</v>
      </c>
      <c r="N158">
        <f>_xlfn.IFS(rounded[[#This Row],[social_interaction_level]] = "low", 1,rounded[[#This Row],[social_interaction_level]] = "medium", 2,rounded[[#This Row],[social_interaction_level]] = "high", 3)</f>
        <v>1</v>
      </c>
      <c r="O158">
        <f t="shared" si="2"/>
        <v>26</v>
      </c>
      <c r="P158" t="str" cm="1">
        <f t="array" ref="P158">_xlfn.SWITCH(rounded[[#This Row],[depression_label]], 0, "Not Depressed", 1, "Depressed")</f>
        <v>Not Depressed</v>
      </c>
      <c r="Q158" s="45" t="str" cm="1">
        <f t="array" ref="Q158">_xlfn.SWITCH(rounded[[#This Row],[gender]], "male", "Male", "female", "Female")</f>
        <v>Male</v>
      </c>
    </row>
    <row r="159" spans="1:17" x14ac:dyDescent="0.35">
      <c r="A159">
        <v>17</v>
      </c>
      <c r="B159" t="s">
        <v>16</v>
      </c>
      <c r="C159" s="4">
        <v>2.1</v>
      </c>
      <c r="D159" t="s">
        <v>20</v>
      </c>
      <c r="E159" s="4">
        <v>7.8</v>
      </c>
      <c r="F159" s="4">
        <v>2.1</v>
      </c>
      <c r="G159">
        <v>3.29</v>
      </c>
      <c r="H159">
        <v>1.5</v>
      </c>
      <c r="I159" t="s">
        <v>15</v>
      </c>
      <c r="J159">
        <v>8</v>
      </c>
      <c r="K159">
        <v>1</v>
      </c>
      <c r="L159">
        <v>7</v>
      </c>
      <c r="M159">
        <v>0</v>
      </c>
      <c r="N159">
        <f>_xlfn.IFS(rounded[[#This Row],[social_interaction_level]] = "low", 1,rounded[[#This Row],[social_interaction_level]] = "medium", 2,rounded[[#This Row],[social_interaction_level]] = "high", 3)</f>
        <v>1</v>
      </c>
      <c r="O159">
        <f t="shared" si="2"/>
        <v>16</v>
      </c>
      <c r="P159" t="str" cm="1">
        <f t="array" ref="P159">_xlfn.SWITCH(rounded[[#This Row],[depression_label]], 0, "Not Depressed", 1, "Depressed")</f>
        <v>Not Depressed</v>
      </c>
      <c r="Q159" s="45" t="str" cm="1">
        <f t="array" ref="Q159">_xlfn.SWITCH(rounded[[#This Row],[gender]], "male", "Male", "female", "Female")</f>
        <v>Female</v>
      </c>
    </row>
    <row r="160" spans="1:17" x14ac:dyDescent="0.35">
      <c r="A160">
        <v>15</v>
      </c>
      <c r="B160" t="s">
        <v>16</v>
      </c>
      <c r="C160" s="4">
        <v>2.7</v>
      </c>
      <c r="D160" t="s">
        <v>20</v>
      </c>
      <c r="E160" s="4">
        <v>8.8000000000000007</v>
      </c>
      <c r="F160" s="4">
        <v>1.9</v>
      </c>
      <c r="G160">
        <v>2.14</v>
      </c>
      <c r="H160">
        <v>0.4</v>
      </c>
      <c r="I160" t="s">
        <v>18</v>
      </c>
      <c r="J160">
        <v>8</v>
      </c>
      <c r="K160">
        <v>10</v>
      </c>
      <c r="L160">
        <v>3</v>
      </c>
      <c r="M160">
        <v>0</v>
      </c>
      <c r="N160">
        <f>_xlfn.IFS(rounded[[#This Row],[social_interaction_level]] = "low", 1,rounded[[#This Row],[social_interaction_level]] = "medium", 2,rounded[[#This Row],[social_interaction_level]] = "high", 3)</f>
        <v>3</v>
      </c>
      <c r="O160">
        <f t="shared" si="2"/>
        <v>21</v>
      </c>
      <c r="P160" t="str" cm="1">
        <f t="array" ref="P160">_xlfn.SWITCH(rounded[[#This Row],[depression_label]], 0, "Not Depressed", 1, "Depressed")</f>
        <v>Not Depressed</v>
      </c>
      <c r="Q160" s="45" t="str" cm="1">
        <f t="array" ref="Q160">_xlfn.SWITCH(rounded[[#This Row],[gender]], "male", "Male", "female", "Female")</f>
        <v>Female</v>
      </c>
    </row>
    <row r="161" spans="1:17" x14ac:dyDescent="0.35">
      <c r="A161">
        <v>13</v>
      </c>
      <c r="B161" t="s">
        <v>13</v>
      </c>
      <c r="C161" s="4">
        <v>7.5</v>
      </c>
      <c r="D161" t="s">
        <v>20</v>
      </c>
      <c r="E161" s="4">
        <v>8</v>
      </c>
      <c r="F161" s="4">
        <v>2</v>
      </c>
      <c r="G161">
        <v>3.25</v>
      </c>
      <c r="H161">
        <v>0.7</v>
      </c>
      <c r="I161" t="s">
        <v>19</v>
      </c>
      <c r="J161">
        <v>9</v>
      </c>
      <c r="K161">
        <v>10</v>
      </c>
      <c r="L161">
        <v>2</v>
      </c>
      <c r="M161">
        <v>0</v>
      </c>
      <c r="N161">
        <f>_xlfn.IFS(rounded[[#This Row],[social_interaction_level]] = "low", 1,rounded[[#This Row],[social_interaction_level]] = "medium", 2,rounded[[#This Row],[social_interaction_level]] = "high", 3)</f>
        <v>2</v>
      </c>
      <c r="O161">
        <f t="shared" si="2"/>
        <v>21</v>
      </c>
      <c r="P161" t="str" cm="1">
        <f t="array" ref="P161">_xlfn.SWITCH(rounded[[#This Row],[depression_label]], 0, "Not Depressed", 1, "Depressed")</f>
        <v>Not Depressed</v>
      </c>
      <c r="Q161" s="45" t="str" cm="1">
        <f t="array" ref="Q161">_xlfn.SWITCH(rounded[[#This Row],[gender]], "male", "Male", "female", "Female")</f>
        <v>Male</v>
      </c>
    </row>
    <row r="162" spans="1:17" x14ac:dyDescent="0.35">
      <c r="A162">
        <v>16</v>
      </c>
      <c r="B162" t="s">
        <v>16</v>
      </c>
      <c r="C162" s="4">
        <v>6.1</v>
      </c>
      <c r="D162" t="s">
        <v>20</v>
      </c>
      <c r="E162" s="4">
        <v>8.8000000000000007</v>
      </c>
      <c r="F162" s="4">
        <v>1.7</v>
      </c>
      <c r="G162">
        <v>3.55</v>
      </c>
      <c r="H162">
        <v>1.3</v>
      </c>
      <c r="I162" t="s">
        <v>19</v>
      </c>
      <c r="J162">
        <v>6</v>
      </c>
      <c r="K162">
        <v>10</v>
      </c>
      <c r="L162">
        <v>9</v>
      </c>
      <c r="M162">
        <v>0</v>
      </c>
      <c r="N162">
        <f>_xlfn.IFS(rounded[[#This Row],[social_interaction_level]] = "low", 1,rounded[[#This Row],[social_interaction_level]] = "medium", 2,rounded[[#This Row],[social_interaction_level]] = "high", 3)</f>
        <v>2</v>
      </c>
      <c r="O162">
        <f t="shared" si="2"/>
        <v>25</v>
      </c>
      <c r="P162" t="str" cm="1">
        <f t="array" ref="P162">_xlfn.SWITCH(rounded[[#This Row],[depression_label]], 0, "Not Depressed", 1, "Depressed")</f>
        <v>Not Depressed</v>
      </c>
      <c r="Q162" s="45" t="str" cm="1">
        <f t="array" ref="Q162">_xlfn.SWITCH(rounded[[#This Row],[gender]], "male", "Male", "female", "Female")</f>
        <v>Female</v>
      </c>
    </row>
    <row r="163" spans="1:17" x14ac:dyDescent="0.35">
      <c r="A163">
        <v>19</v>
      </c>
      <c r="B163" t="s">
        <v>13</v>
      </c>
      <c r="C163" s="4">
        <v>2.4</v>
      </c>
      <c r="D163" t="s">
        <v>20</v>
      </c>
      <c r="E163" s="4">
        <v>7.4</v>
      </c>
      <c r="F163" s="4">
        <v>1.2</v>
      </c>
      <c r="G163">
        <v>2.5</v>
      </c>
      <c r="H163">
        <v>1.8</v>
      </c>
      <c r="I163" t="s">
        <v>18</v>
      </c>
      <c r="J163">
        <v>2</v>
      </c>
      <c r="K163">
        <v>5</v>
      </c>
      <c r="L163">
        <v>2</v>
      </c>
      <c r="M163">
        <v>0</v>
      </c>
      <c r="N163">
        <f>_xlfn.IFS(rounded[[#This Row],[social_interaction_level]] = "low", 1,rounded[[#This Row],[social_interaction_level]] = "medium", 2,rounded[[#This Row],[social_interaction_level]] = "high", 3)</f>
        <v>3</v>
      </c>
      <c r="O163">
        <f t="shared" si="2"/>
        <v>9</v>
      </c>
      <c r="P163" t="str" cm="1">
        <f t="array" ref="P163">_xlfn.SWITCH(rounded[[#This Row],[depression_label]], 0, "Not Depressed", 1, "Depressed")</f>
        <v>Not Depressed</v>
      </c>
      <c r="Q163" s="45" t="str" cm="1">
        <f t="array" ref="Q163">_xlfn.SWITCH(rounded[[#This Row],[gender]], "male", "Male", "female", "Female")</f>
        <v>Male</v>
      </c>
    </row>
    <row r="164" spans="1:17" x14ac:dyDescent="0.35">
      <c r="A164">
        <v>19</v>
      </c>
      <c r="B164" t="s">
        <v>13</v>
      </c>
      <c r="C164" s="4">
        <v>2</v>
      </c>
      <c r="D164" t="s">
        <v>17</v>
      </c>
      <c r="E164" s="4">
        <v>5.3</v>
      </c>
      <c r="F164" s="4">
        <v>1.7</v>
      </c>
      <c r="G164">
        <v>2.91</v>
      </c>
      <c r="H164">
        <v>0.8</v>
      </c>
      <c r="I164" t="s">
        <v>15</v>
      </c>
      <c r="J164">
        <v>9</v>
      </c>
      <c r="K164">
        <v>5</v>
      </c>
      <c r="L164">
        <v>9</v>
      </c>
      <c r="M164">
        <v>0</v>
      </c>
      <c r="N164">
        <f>_xlfn.IFS(rounded[[#This Row],[social_interaction_level]] = "low", 1,rounded[[#This Row],[social_interaction_level]] = "medium", 2,rounded[[#This Row],[social_interaction_level]] = "high", 3)</f>
        <v>1</v>
      </c>
      <c r="O164">
        <f t="shared" si="2"/>
        <v>23</v>
      </c>
      <c r="P164" t="str" cm="1">
        <f t="array" ref="P164">_xlfn.SWITCH(rounded[[#This Row],[depression_label]], 0, "Not Depressed", 1, "Depressed")</f>
        <v>Not Depressed</v>
      </c>
      <c r="Q164" s="45" t="str" cm="1">
        <f t="array" ref="Q164">_xlfn.SWITCH(rounded[[#This Row],[gender]], "male", "Male", "female", "Female")</f>
        <v>Male</v>
      </c>
    </row>
    <row r="165" spans="1:17" x14ac:dyDescent="0.35">
      <c r="A165">
        <v>15</v>
      </c>
      <c r="B165" t="s">
        <v>16</v>
      </c>
      <c r="C165" s="4">
        <v>7.8</v>
      </c>
      <c r="D165" t="s">
        <v>17</v>
      </c>
      <c r="E165" s="4">
        <v>5.3</v>
      </c>
      <c r="F165" s="4">
        <v>0.5</v>
      </c>
      <c r="G165">
        <v>2.3199999999999998</v>
      </c>
      <c r="H165">
        <v>0.8</v>
      </c>
      <c r="I165" t="s">
        <v>15</v>
      </c>
      <c r="J165">
        <v>8</v>
      </c>
      <c r="K165">
        <v>9</v>
      </c>
      <c r="L165">
        <v>3</v>
      </c>
      <c r="M165">
        <v>1</v>
      </c>
      <c r="N165">
        <f>_xlfn.IFS(rounded[[#This Row],[social_interaction_level]] = "low", 1,rounded[[#This Row],[social_interaction_level]] = "medium", 2,rounded[[#This Row],[social_interaction_level]] = "high", 3)</f>
        <v>1</v>
      </c>
      <c r="O165">
        <f t="shared" si="2"/>
        <v>20</v>
      </c>
      <c r="P165" t="str" cm="1">
        <f t="array" ref="P165">_xlfn.SWITCH(rounded[[#This Row],[depression_label]], 0, "Not Depressed", 1, "Depressed")</f>
        <v>Depressed</v>
      </c>
      <c r="Q165" s="45" t="str" cm="1">
        <f t="array" ref="Q165">_xlfn.SWITCH(rounded[[#This Row],[gender]], "male", "Male", "female", "Female")</f>
        <v>Female</v>
      </c>
    </row>
    <row r="166" spans="1:17" x14ac:dyDescent="0.35">
      <c r="A166">
        <v>16</v>
      </c>
      <c r="B166" t="s">
        <v>16</v>
      </c>
      <c r="C166" s="4">
        <v>6.8</v>
      </c>
      <c r="D166" t="s">
        <v>17</v>
      </c>
      <c r="E166" s="4">
        <v>7.2</v>
      </c>
      <c r="F166" s="4">
        <v>2.5</v>
      </c>
      <c r="G166">
        <v>3.61</v>
      </c>
      <c r="H166">
        <v>0.5</v>
      </c>
      <c r="I166" t="s">
        <v>19</v>
      </c>
      <c r="J166">
        <v>10</v>
      </c>
      <c r="K166">
        <v>1</v>
      </c>
      <c r="L166">
        <v>9</v>
      </c>
      <c r="M166">
        <v>0</v>
      </c>
      <c r="N166">
        <f>_xlfn.IFS(rounded[[#This Row],[social_interaction_level]] = "low", 1,rounded[[#This Row],[social_interaction_level]] = "medium", 2,rounded[[#This Row],[social_interaction_level]] = "high", 3)</f>
        <v>2</v>
      </c>
      <c r="O166">
        <f t="shared" si="2"/>
        <v>20</v>
      </c>
      <c r="P166" t="str" cm="1">
        <f t="array" ref="P166">_xlfn.SWITCH(rounded[[#This Row],[depression_label]], 0, "Not Depressed", 1, "Depressed")</f>
        <v>Not Depressed</v>
      </c>
      <c r="Q166" s="45" t="str" cm="1">
        <f t="array" ref="Q166">_xlfn.SWITCH(rounded[[#This Row],[gender]], "male", "Male", "female", "Female")</f>
        <v>Female</v>
      </c>
    </row>
    <row r="167" spans="1:17" x14ac:dyDescent="0.35">
      <c r="A167">
        <v>17</v>
      </c>
      <c r="B167" t="s">
        <v>13</v>
      </c>
      <c r="C167" s="4">
        <v>8</v>
      </c>
      <c r="D167" t="s">
        <v>14</v>
      </c>
      <c r="E167" s="4">
        <v>4.5999999999999996</v>
      </c>
      <c r="F167" s="4">
        <v>2.6</v>
      </c>
      <c r="G167">
        <v>3.06</v>
      </c>
      <c r="H167">
        <v>0.1</v>
      </c>
      <c r="I167" t="s">
        <v>18</v>
      </c>
      <c r="J167">
        <v>9</v>
      </c>
      <c r="K167">
        <v>2</v>
      </c>
      <c r="L167">
        <v>6</v>
      </c>
      <c r="M167">
        <v>0</v>
      </c>
      <c r="N167">
        <f>_xlfn.IFS(rounded[[#This Row],[social_interaction_level]] = "low", 1,rounded[[#This Row],[social_interaction_level]] = "medium", 2,rounded[[#This Row],[social_interaction_level]] = "high", 3)</f>
        <v>3</v>
      </c>
      <c r="O167">
        <f t="shared" si="2"/>
        <v>17</v>
      </c>
      <c r="P167" t="str" cm="1">
        <f t="array" ref="P167">_xlfn.SWITCH(rounded[[#This Row],[depression_label]], 0, "Not Depressed", 1, "Depressed")</f>
        <v>Not Depressed</v>
      </c>
      <c r="Q167" s="45" t="str" cm="1">
        <f t="array" ref="Q167">_xlfn.SWITCH(rounded[[#This Row],[gender]], "male", "Male", "female", "Female")</f>
        <v>Male</v>
      </c>
    </row>
    <row r="168" spans="1:17" x14ac:dyDescent="0.35">
      <c r="A168">
        <v>13</v>
      </c>
      <c r="B168" t="s">
        <v>16</v>
      </c>
      <c r="C168" s="4">
        <v>7.3</v>
      </c>
      <c r="D168" t="s">
        <v>20</v>
      </c>
      <c r="E168" s="4">
        <v>8.9</v>
      </c>
      <c r="F168" s="4">
        <v>2.7</v>
      </c>
      <c r="G168">
        <v>3.68</v>
      </c>
      <c r="H168">
        <v>1.9</v>
      </c>
      <c r="I168" t="s">
        <v>15</v>
      </c>
      <c r="J168">
        <v>6</v>
      </c>
      <c r="K168">
        <v>6</v>
      </c>
      <c r="L168">
        <v>10</v>
      </c>
      <c r="M168">
        <v>0</v>
      </c>
      <c r="N168">
        <f>_xlfn.IFS(rounded[[#This Row],[social_interaction_level]] = "low", 1,rounded[[#This Row],[social_interaction_level]] = "medium", 2,rounded[[#This Row],[social_interaction_level]] = "high", 3)</f>
        <v>1</v>
      </c>
      <c r="O168">
        <f t="shared" si="2"/>
        <v>22</v>
      </c>
      <c r="P168" t="str" cm="1">
        <f t="array" ref="P168">_xlfn.SWITCH(rounded[[#This Row],[depression_label]], 0, "Not Depressed", 1, "Depressed")</f>
        <v>Not Depressed</v>
      </c>
      <c r="Q168" s="45" t="str" cm="1">
        <f t="array" ref="Q168">_xlfn.SWITCH(rounded[[#This Row],[gender]], "male", "Male", "female", "Female")</f>
        <v>Female</v>
      </c>
    </row>
    <row r="169" spans="1:17" x14ac:dyDescent="0.35">
      <c r="A169">
        <v>15</v>
      </c>
      <c r="B169" t="s">
        <v>16</v>
      </c>
      <c r="C169" s="4">
        <v>1.5</v>
      </c>
      <c r="D169" t="s">
        <v>20</v>
      </c>
      <c r="E169" s="4">
        <v>8.6999999999999993</v>
      </c>
      <c r="F169" s="4">
        <v>1.2</v>
      </c>
      <c r="G169">
        <v>2.52</v>
      </c>
      <c r="H169">
        <v>0.1</v>
      </c>
      <c r="I169" t="s">
        <v>15</v>
      </c>
      <c r="J169">
        <v>9</v>
      </c>
      <c r="K169">
        <v>7</v>
      </c>
      <c r="L169">
        <v>2</v>
      </c>
      <c r="M169">
        <v>0</v>
      </c>
      <c r="N169">
        <f>_xlfn.IFS(rounded[[#This Row],[social_interaction_level]] = "low", 1,rounded[[#This Row],[social_interaction_level]] = "medium", 2,rounded[[#This Row],[social_interaction_level]] = "high", 3)</f>
        <v>1</v>
      </c>
      <c r="O169">
        <f t="shared" si="2"/>
        <v>18</v>
      </c>
      <c r="P169" t="str" cm="1">
        <f t="array" ref="P169">_xlfn.SWITCH(rounded[[#This Row],[depression_label]], 0, "Not Depressed", 1, "Depressed")</f>
        <v>Not Depressed</v>
      </c>
      <c r="Q169" s="45" t="str" cm="1">
        <f t="array" ref="Q169">_xlfn.SWITCH(rounded[[#This Row],[gender]], "male", "Male", "female", "Female")</f>
        <v>Female</v>
      </c>
    </row>
    <row r="170" spans="1:17" x14ac:dyDescent="0.35">
      <c r="A170">
        <v>15</v>
      </c>
      <c r="B170" t="s">
        <v>16</v>
      </c>
      <c r="C170" s="4">
        <v>3.4</v>
      </c>
      <c r="D170" t="s">
        <v>14</v>
      </c>
      <c r="E170" s="4">
        <v>5</v>
      </c>
      <c r="F170" s="4">
        <v>1.8</v>
      </c>
      <c r="G170">
        <v>3.2</v>
      </c>
      <c r="H170">
        <v>1.5</v>
      </c>
      <c r="I170" t="s">
        <v>19</v>
      </c>
      <c r="J170">
        <v>4</v>
      </c>
      <c r="K170">
        <v>5</v>
      </c>
      <c r="L170">
        <v>1</v>
      </c>
      <c r="M170">
        <v>0</v>
      </c>
      <c r="N170">
        <f>_xlfn.IFS(rounded[[#This Row],[social_interaction_level]] = "low", 1,rounded[[#This Row],[social_interaction_level]] = "medium", 2,rounded[[#This Row],[social_interaction_level]] = "high", 3)</f>
        <v>2</v>
      </c>
      <c r="O170">
        <f t="shared" si="2"/>
        <v>10</v>
      </c>
      <c r="P170" t="str" cm="1">
        <f t="array" ref="P170">_xlfn.SWITCH(rounded[[#This Row],[depression_label]], 0, "Not Depressed", 1, "Depressed")</f>
        <v>Not Depressed</v>
      </c>
      <c r="Q170" s="45" t="str" cm="1">
        <f t="array" ref="Q170">_xlfn.SWITCH(rounded[[#This Row],[gender]], "male", "Male", "female", "Female")</f>
        <v>Female</v>
      </c>
    </row>
    <row r="171" spans="1:17" x14ac:dyDescent="0.35">
      <c r="A171">
        <v>15</v>
      </c>
      <c r="B171" t="s">
        <v>13</v>
      </c>
      <c r="C171" s="4">
        <v>7.3</v>
      </c>
      <c r="D171" t="s">
        <v>20</v>
      </c>
      <c r="E171" s="4">
        <v>4.8</v>
      </c>
      <c r="F171" s="4">
        <v>2.6</v>
      </c>
      <c r="G171">
        <v>3.81</v>
      </c>
      <c r="H171">
        <v>1.5</v>
      </c>
      <c r="I171" t="s">
        <v>15</v>
      </c>
      <c r="J171">
        <v>4</v>
      </c>
      <c r="K171">
        <v>7</v>
      </c>
      <c r="L171">
        <v>4</v>
      </c>
      <c r="M171">
        <v>0</v>
      </c>
      <c r="N171">
        <f>_xlfn.IFS(rounded[[#This Row],[social_interaction_level]] = "low", 1,rounded[[#This Row],[social_interaction_level]] = "medium", 2,rounded[[#This Row],[social_interaction_level]] = "high", 3)</f>
        <v>1</v>
      </c>
      <c r="O171">
        <f t="shared" si="2"/>
        <v>15</v>
      </c>
      <c r="P171" t="str" cm="1">
        <f t="array" ref="P171">_xlfn.SWITCH(rounded[[#This Row],[depression_label]], 0, "Not Depressed", 1, "Depressed")</f>
        <v>Not Depressed</v>
      </c>
      <c r="Q171" s="45" t="str" cm="1">
        <f t="array" ref="Q171">_xlfn.SWITCH(rounded[[#This Row],[gender]], "male", "Male", "female", "Female")</f>
        <v>Male</v>
      </c>
    </row>
    <row r="172" spans="1:17" x14ac:dyDescent="0.35">
      <c r="A172">
        <v>13</v>
      </c>
      <c r="B172" t="s">
        <v>16</v>
      </c>
      <c r="C172" s="4">
        <v>1.9</v>
      </c>
      <c r="D172" t="s">
        <v>17</v>
      </c>
      <c r="E172" s="4">
        <v>8.5</v>
      </c>
      <c r="F172" s="4">
        <v>0.8</v>
      </c>
      <c r="G172">
        <v>3.33</v>
      </c>
      <c r="H172">
        <v>1.3</v>
      </c>
      <c r="I172" t="s">
        <v>19</v>
      </c>
      <c r="J172">
        <v>5</v>
      </c>
      <c r="K172">
        <v>1</v>
      </c>
      <c r="L172">
        <v>3</v>
      </c>
      <c r="M172">
        <v>0</v>
      </c>
      <c r="N172">
        <f>_xlfn.IFS(rounded[[#This Row],[social_interaction_level]] = "low", 1,rounded[[#This Row],[social_interaction_level]] = "medium", 2,rounded[[#This Row],[social_interaction_level]] = "high", 3)</f>
        <v>2</v>
      </c>
      <c r="O172">
        <f t="shared" si="2"/>
        <v>9</v>
      </c>
      <c r="P172" t="str" cm="1">
        <f t="array" ref="P172">_xlfn.SWITCH(rounded[[#This Row],[depression_label]], 0, "Not Depressed", 1, "Depressed")</f>
        <v>Not Depressed</v>
      </c>
      <c r="Q172" s="45" t="str" cm="1">
        <f t="array" ref="Q172">_xlfn.SWITCH(rounded[[#This Row],[gender]], "male", "Male", "female", "Female")</f>
        <v>Female</v>
      </c>
    </row>
    <row r="173" spans="1:17" x14ac:dyDescent="0.35">
      <c r="A173">
        <v>17</v>
      </c>
      <c r="B173" t="s">
        <v>16</v>
      </c>
      <c r="C173" s="4">
        <v>3.9</v>
      </c>
      <c r="D173" t="s">
        <v>14</v>
      </c>
      <c r="E173" s="4">
        <v>8.1999999999999993</v>
      </c>
      <c r="F173" s="4">
        <v>1.3</v>
      </c>
      <c r="G173">
        <v>3.21</v>
      </c>
      <c r="H173">
        <v>1.8</v>
      </c>
      <c r="I173" t="s">
        <v>19</v>
      </c>
      <c r="J173">
        <v>3</v>
      </c>
      <c r="K173">
        <v>7</v>
      </c>
      <c r="L173">
        <v>7</v>
      </c>
      <c r="M173">
        <v>0</v>
      </c>
      <c r="N173">
        <f>_xlfn.IFS(rounded[[#This Row],[social_interaction_level]] = "low", 1,rounded[[#This Row],[social_interaction_level]] = "medium", 2,rounded[[#This Row],[social_interaction_level]] = "high", 3)</f>
        <v>2</v>
      </c>
      <c r="O173">
        <f t="shared" si="2"/>
        <v>17</v>
      </c>
      <c r="P173" t="str" cm="1">
        <f t="array" ref="P173">_xlfn.SWITCH(rounded[[#This Row],[depression_label]], 0, "Not Depressed", 1, "Depressed")</f>
        <v>Not Depressed</v>
      </c>
      <c r="Q173" s="45" t="str" cm="1">
        <f t="array" ref="Q173">_xlfn.SWITCH(rounded[[#This Row],[gender]], "male", "Male", "female", "Female")</f>
        <v>Female</v>
      </c>
    </row>
    <row r="174" spans="1:17" x14ac:dyDescent="0.35">
      <c r="A174">
        <v>18</v>
      </c>
      <c r="B174" t="s">
        <v>13</v>
      </c>
      <c r="C174" s="4">
        <v>1.3</v>
      </c>
      <c r="D174" t="s">
        <v>14</v>
      </c>
      <c r="E174" s="4">
        <v>5.8</v>
      </c>
      <c r="F174" s="4">
        <v>1.3</v>
      </c>
      <c r="G174">
        <v>3.35</v>
      </c>
      <c r="H174">
        <v>1.9</v>
      </c>
      <c r="I174" t="s">
        <v>19</v>
      </c>
      <c r="J174">
        <v>9</v>
      </c>
      <c r="K174">
        <v>4</v>
      </c>
      <c r="L174">
        <v>9</v>
      </c>
      <c r="M174">
        <v>0</v>
      </c>
      <c r="N174">
        <f>_xlfn.IFS(rounded[[#This Row],[social_interaction_level]] = "low", 1,rounded[[#This Row],[social_interaction_level]] = "medium", 2,rounded[[#This Row],[social_interaction_level]] = "high", 3)</f>
        <v>2</v>
      </c>
      <c r="O174">
        <f t="shared" si="2"/>
        <v>22</v>
      </c>
      <c r="P174" t="str" cm="1">
        <f t="array" ref="P174">_xlfn.SWITCH(rounded[[#This Row],[depression_label]], 0, "Not Depressed", 1, "Depressed")</f>
        <v>Not Depressed</v>
      </c>
      <c r="Q174" s="45" t="str" cm="1">
        <f t="array" ref="Q174">_xlfn.SWITCH(rounded[[#This Row],[gender]], "male", "Male", "female", "Female")</f>
        <v>Male</v>
      </c>
    </row>
    <row r="175" spans="1:17" x14ac:dyDescent="0.35">
      <c r="A175">
        <v>19</v>
      </c>
      <c r="B175" t="s">
        <v>13</v>
      </c>
      <c r="C175" s="4">
        <v>4.7</v>
      </c>
      <c r="D175" t="s">
        <v>17</v>
      </c>
      <c r="E175" s="4">
        <v>8.1999999999999993</v>
      </c>
      <c r="F175" s="4">
        <v>1.8</v>
      </c>
      <c r="G175">
        <v>2.2599999999999998</v>
      </c>
      <c r="H175">
        <v>1</v>
      </c>
      <c r="I175" t="s">
        <v>15</v>
      </c>
      <c r="J175">
        <v>7</v>
      </c>
      <c r="K175">
        <v>4</v>
      </c>
      <c r="L175">
        <v>7</v>
      </c>
      <c r="M175">
        <v>0</v>
      </c>
      <c r="N175">
        <f>_xlfn.IFS(rounded[[#This Row],[social_interaction_level]] = "low", 1,rounded[[#This Row],[social_interaction_level]] = "medium", 2,rounded[[#This Row],[social_interaction_level]] = "high", 3)</f>
        <v>1</v>
      </c>
      <c r="O175">
        <f t="shared" si="2"/>
        <v>18</v>
      </c>
      <c r="P175" t="str" cm="1">
        <f t="array" ref="P175">_xlfn.SWITCH(rounded[[#This Row],[depression_label]], 0, "Not Depressed", 1, "Depressed")</f>
        <v>Not Depressed</v>
      </c>
      <c r="Q175" s="45" t="str" cm="1">
        <f t="array" ref="Q175">_xlfn.SWITCH(rounded[[#This Row],[gender]], "male", "Male", "female", "Female")</f>
        <v>Male</v>
      </c>
    </row>
    <row r="176" spans="1:17" x14ac:dyDescent="0.35">
      <c r="A176">
        <v>15</v>
      </c>
      <c r="B176" t="s">
        <v>13</v>
      </c>
      <c r="C176" s="4">
        <v>1.9</v>
      </c>
      <c r="D176" t="s">
        <v>17</v>
      </c>
      <c r="E176" s="4">
        <v>5.8</v>
      </c>
      <c r="F176" s="4">
        <v>2.2999999999999998</v>
      </c>
      <c r="G176">
        <v>2.4700000000000002</v>
      </c>
      <c r="H176">
        <v>0.3</v>
      </c>
      <c r="I176" t="s">
        <v>18</v>
      </c>
      <c r="J176">
        <v>10</v>
      </c>
      <c r="K176">
        <v>9</v>
      </c>
      <c r="L176">
        <v>4</v>
      </c>
      <c r="M176">
        <v>0</v>
      </c>
      <c r="N176">
        <f>_xlfn.IFS(rounded[[#This Row],[social_interaction_level]] = "low", 1,rounded[[#This Row],[social_interaction_level]] = "medium", 2,rounded[[#This Row],[social_interaction_level]] = "high", 3)</f>
        <v>3</v>
      </c>
      <c r="O176">
        <f t="shared" si="2"/>
        <v>23</v>
      </c>
      <c r="P176" t="str" cm="1">
        <f t="array" ref="P176">_xlfn.SWITCH(rounded[[#This Row],[depression_label]], 0, "Not Depressed", 1, "Depressed")</f>
        <v>Not Depressed</v>
      </c>
      <c r="Q176" s="45" t="str" cm="1">
        <f t="array" ref="Q176">_xlfn.SWITCH(rounded[[#This Row],[gender]], "male", "Male", "female", "Female")</f>
        <v>Male</v>
      </c>
    </row>
    <row r="177" spans="1:17" x14ac:dyDescent="0.35">
      <c r="A177">
        <v>18</v>
      </c>
      <c r="B177" t="s">
        <v>16</v>
      </c>
      <c r="C177" s="4">
        <v>7</v>
      </c>
      <c r="D177" t="s">
        <v>20</v>
      </c>
      <c r="E177" s="4">
        <v>6.3</v>
      </c>
      <c r="F177" s="4">
        <v>1.6</v>
      </c>
      <c r="G177">
        <v>2.5499999999999998</v>
      </c>
      <c r="H177">
        <v>0.5</v>
      </c>
      <c r="I177" t="s">
        <v>19</v>
      </c>
      <c r="J177">
        <v>10</v>
      </c>
      <c r="K177">
        <v>1</v>
      </c>
      <c r="L177">
        <v>8</v>
      </c>
      <c r="M177">
        <v>0</v>
      </c>
      <c r="N177">
        <f>_xlfn.IFS(rounded[[#This Row],[social_interaction_level]] = "low", 1,rounded[[#This Row],[social_interaction_level]] = "medium", 2,rounded[[#This Row],[social_interaction_level]] = "high", 3)</f>
        <v>2</v>
      </c>
      <c r="O177">
        <f t="shared" si="2"/>
        <v>19</v>
      </c>
      <c r="P177" t="str" cm="1">
        <f t="array" ref="P177">_xlfn.SWITCH(rounded[[#This Row],[depression_label]], 0, "Not Depressed", 1, "Depressed")</f>
        <v>Not Depressed</v>
      </c>
      <c r="Q177" s="45" t="str" cm="1">
        <f t="array" ref="Q177">_xlfn.SWITCH(rounded[[#This Row],[gender]], "male", "Male", "female", "Female")</f>
        <v>Female</v>
      </c>
    </row>
    <row r="178" spans="1:17" x14ac:dyDescent="0.35">
      <c r="A178">
        <v>15</v>
      </c>
      <c r="B178" t="s">
        <v>13</v>
      </c>
      <c r="C178" s="4">
        <v>6.2</v>
      </c>
      <c r="D178" t="s">
        <v>17</v>
      </c>
      <c r="E178" s="4">
        <v>6.3</v>
      </c>
      <c r="F178" s="4">
        <v>1.7</v>
      </c>
      <c r="G178">
        <v>2.2599999999999998</v>
      </c>
      <c r="H178">
        <v>1.1000000000000001</v>
      </c>
      <c r="I178" t="s">
        <v>18</v>
      </c>
      <c r="J178">
        <v>9</v>
      </c>
      <c r="K178">
        <v>6</v>
      </c>
      <c r="L178">
        <v>2</v>
      </c>
      <c r="M178">
        <v>0</v>
      </c>
      <c r="N178">
        <f>_xlfn.IFS(rounded[[#This Row],[social_interaction_level]] = "low", 1,rounded[[#This Row],[social_interaction_level]] = "medium", 2,rounded[[#This Row],[social_interaction_level]] = "high", 3)</f>
        <v>3</v>
      </c>
      <c r="O178">
        <f t="shared" si="2"/>
        <v>17</v>
      </c>
      <c r="P178" t="str" cm="1">
        <f t="array" ref="P178">_xlfn.SWITCH(rounded[[#This Row],[depression_label]], 0, "Not Depressed", 1, "Depressed")</f>
        <v>Not Depressed</v>
      </c>
      <c r="Q178" s="45" t="str" cm="1">
        <f t="array" ref="Q178">_xlfn.SWITCH(rounded[[#This Row],[gender]], "male", "Male", "female", "Female")</f>
        <v>Male</v>
      </c>
    </row>
    <row r="179" spans="1:17" x14ac:dyDescent="0.35">
      <c r="A179">
        <v>14</v>
      </c>
      <c r="B179" t="s">
        <v>13</v>
      </c>
      <c r="C179" s="4">
        <v>3.2</v>
      </c>
      <c r="D179" t="s">
        <v>17</v>
      </c>
      <c r="E179" s="4">
        <v>8</v>
      </c>
      <c r="F179" s="4">
        <v>1.3</v>
      </c>
      <c r="G179">
        <v>2.5</v>
      </c>
      <c r="H179">
        <v>1.1000000000000001</v>
      </c>
      <c r="I179" t="s">
        <v>18</v>
      </c>
      <c r="J179">
        <v>2</v>
      </c>
      <c r="K179">
        <v>7</v>
      </c>
      <c r="L179">
        <v>5</v>
      </c>
      <c r="M179">
        <v>0</v>
      </c>
      <c r="N179">
        <f>_xlfn.IFS(rounded[[#This Row],[social_interaction_level]] = "low", 1,rounded[[#This Row],[social_interaction_level]] = "medium", 2,rounded[[#This Row],[social_interaction_level]] = "high", 3)</f>
        <v>3</v>
      </c>
      <c r="O179">
        <f t="shared" si="2"/>
        <v>14</v>
      </c>
      <c r="P179" t="str" cm="1">
        <f t="array" ref="P179">_xlfn.SWITCH(rounded[[#This Row],[depression_label]], 0, "Not Depressed", 1, "Depressed")</f>
        <v>Not Depressed</v>
      </c>
      <c r="Q179" s="45" t="str" cm="1">
        <f t="array" ref="Q179">_xlfn.SWITCH(rounded[[#This Row],[gender]], "male", "Male", "female", "Female")</f>
        <v>Male</v>
      </c>
    </row>
    <row r="180" spans="1:17" x14ac:dyDescent="0.35">
      <c r="A180">
        <v>18</v>
      </c>
      <c r="B180" t="s">
        <v>16</v>
      </c>
      <c r="C180" s="4">
        <v>4.5</v>
      </c>
      <c r="D180" t="s">
        <v>20</v>
      </c>
      <c r="E180" s="4">
        <v>7.9</v>
      </c>
      <c r="F180" s="4">
        <v>1.4</v>
      </c>
      <c r="G180">
        <v>2.38</v>
      </c>
      <c r="H180">
        <v>0.1</v>
      </c>
      <c r="I180" t="s">
        <v>18</v>
      </c>
      <c r="J180">
        <v>7</v>
      </c>
      <c r="K180">
        <v>9</v>
      </c>
      <c r="L180">
        <v>1</v>
      </c>
      <c r="M180">
        <v>0</v>
      </c>
      <c r="N180">
        <f>_xlfn.IFS(rounded[[#This Row],[social_interaction_level]] = "low", 1,rounded[[#This Row],[social_interaction_level]] = "medium", 2,rounded[[#This Row],[social_interaction_level]] = "high", 3)</f>
        <v>3</v>
      </c>
      <c r="O180">
        <f t="shared" si="2"/>
        <v>17</v>
      </c>
      <c r="P180" t="str" cm="1">
        <f t="array" ref="P180">_xlfn.SWITCH(rounded[[#This Row],[depression_label]], 0, "Not Depressed", 1, "Depressed")</f>
        <v>Not Depressed</v>
      </c>
      <c r="Q180" s="45" t="str" cm="1">
        <f t="array" ref="Q180">_xlfn.SWITCH(rounded[[#This Row],[gender]], "male", "Male", "female", "Female")</f>
        <v>Female</v>
      </c>
    </row>
    <row r="181" spans="1:17" x14ac:dyDescent="0.35">
      <c r="A181">
        <v>14</v>
      </c>
      <c r="B181" t="s">
        <v>16</v>
      </c>
      <c r="C181" s="4">
        <v>1.1000000000000001</v>
      </c>
      <c r="D181" t="s">
        <v>20</v>
      </c>
      <c r="E181" s="4">
        <v>6.1</v>
      </c>
      <c r="F181" s="4">
        <v>2.5</v>
      </c>
      <c r="G181">
        <v>2.8</v>
      </c>
      <c r="H181">
        <v>1.8</v>
      </c>
      <c r="I181" t="s">
        <v>18</v>
      </c>
      <c r="J181">
        <v>4</v>
      </c>
      <c r="K181">
        <v>10</v>
      </c>
      <c r="L181">
        <v>3</v>
      </c>
      <c r="M181">
        <v>0</v>
      </c>
      <c r="N181">
        <f>_xlfn.IFS(rounded[[#This Row],[social_interaction_level]] = "low", 1,rounded[[#This Row],[social_interaction_level]] = "medium", 2,rounded[[#This Row],[social_interaction_level]] = "high", 3)</f>
        <v>3</v>
      </c>
      <c r="O181">
        <f t="shared" si="2"/>
        <v>17</v>
      </c>
      <c r="P181" t="str" cm="1">
        <f t="array" ref="P181">_xlfn.SWITCH(rounded[[#This Row],[depression_label]], 0, "Not Depressed", 1, "Depressed")</f>
        <v>Not Depressed</v>
      </c>
      <c r="Q181" s="45" t="str" cm="1">
        <f t="array" ref="Q181">_xlfn.SWITCH(rounded[[#This Row],[gender]], "male", "Male", "female", "Female")</f>
        <v>Female</v>
      </c>
    </row>
    <row r="182" spans="1:17" x14ac:dyDescent="0.35">
      <c r="A182">
        <v>13</v>
      </c>
      <c r="B182" t="s">
        <v>13</v>
      </c>
      <c r="C182" s="4">
        <v>5.9</v>
      </c>
      <c r="D182" t="s">
        <v>14</v>
      </c>
      <c r="E182" s="4">
        <v>8</v>
      </c>
      <c r="F182" s="4">
        <v>2.8</v>
      </c>
      <c r="G182">
        <v>3.21</v>
      </c>
      <c r="H182">
        <v>1.6</v>
      </c>
      <c r="I182" t="s">
        <v>19</v>
      </c>
      <c r="J182">
        <v>2</v>
      </c>
      <c r="K182">
        <v>8</v>
      </c>
      <c r="L182">
        <v>8</v>
      </c>
      <c r="M182">
        <v>0</v>
      </c>
      <c r="N182">
        <f>_xlfn.IFS(rounded[[#This Row],[social_interaction_level]] = "low", 1,rounded[[#This Row],[social_interaction_level]] = "medium", 2,rounded[[#This Row],[social_interaction_level]] = "high", 3)</f>
        <v>2</v>
      </c>
      <c r="O182">
        <f t="shared" si="2"/>
        <v>18</v>
      </c>
      <c r="P182" t="str" cm="1">
        <f t="array" ref="P182">_xlfn.SWITCH(rounded[[#This Row],[depression_label]], 0, "Not Depressed", 1, "Depressed")</f>
        <v>Not Depressed</v>
      </c>
      <c r="Q182" s="45" t="str" cm="1">
        <f t="array" ref="Q182">_xlfn.SWITCH(rounded[[#This Row],[gender]], "male", "Male", "female", "Female")</f>
        <v>Male</v>
      </c>
    </row>
    <row r="183" spans="1:17" x14ac:dyDescent="0.35">
      <c r="A183">
        <v>17</v>
      </c>
      <c r="B183" t="s">
        <v>13</v>
      </c>
      <c r="C183" s="4">
        <v>5.0999999999999996</v>
      </c>
      <c r="D183" t="s">
        <v>20</v>
      </c>
      <c r="E183" s="4">
        <v>5</v>
      </c>
      <c r="F183" s="4">
        <v>2.2000000000000002</v>
      </c>
      <c r="G183">
        <v>3.58</v>
      </c>
      <c r="H183">
        <v>1.2</v>
      </c>
      <c r="I183" t="s">
        <v>18</v>
      </c>
      <c r="J183">
        <v>6</v>
      </c>
      <c r="K183">
        <v>3</v>
      </c>
      <c r="L183">
        <v>9</v>
      </c>
      <c r="M183">
        <v>0</v>
      </c>
      <c r="N183">
        <f>_xlfn.IFS(rounded[[#This Row],[social_interaction_level]] = "low", 1,rounded[[#This Row],[social_interaction_level]] = "medium", 2,rounded[[#This Row],[social_interaction_level]] = "high", 3)</f>
        <v>3</v>
      </c>
      <c r="O183">
        <f t="shared" si="2"/>
        <v>18</v>
      </c>
      <c r="P183" t="str" cm="1">
        <f t="array" ref="P183">_xlfn.SWITCH(rounded[[#This Row],[depression_label]], 0, "Not Depressed", 1, "Depressed")</f>
        <v>Not Depressed</v>
      </c>
      <c r="Q183" s="45" t="str" cm="1">
        <f t="array" ref="Q183">_xlfn.SWITCH(rounded[[#This Row],[gender]], "male", "Male", "female", "Female")</f>
        <v>Male</v>
      </c>
    </row>
    <row r="184" spans="1:17" x14ac:dyDescent="0.35">
      <c r="A184">
        <v>15</v>
      </c>
      <c r="B184" t="s">
        <v>13</v>
      </c>
      <c r="C184" s="4">
        <v>1.6</v>
      </c>
      <c r="D184" t="s">
        <v>14</v>
      </c>
      <c r="E184" s="4">
        <v>6.9</v>
      </c>
      <c r="F184" s="4">
        <v>2.2999999999999998</v>
      </c>
      <c r="G184">
        <v>3.16</v>
      </c>
      <c r="H184">
        <v>0.9</v>
      </c>
      <c r="I184" t="s">
        <v>19</v>
      </c>
      <c r="J184">
        <v>3</v>
      </c>
      <c r="K184">
        <v>1</v>
      </c>
      <c r="L184">
        <v>5</v>
      </c>
      <c r="M184">
        <v>0</v>
      </c>
      <c r="N184">
        <f>_xlfn.IFS(rounded[[#This Row],[social_interaction_level]] = "low", 1,rounded[[#This Row],[social_interaction_level]] = "medium", 2,rounded[[#This Row],[social_interaction_level]] = "high", 3)</f>
        <v>2</v>
      </c>
      <c r="O184">
        <f t="shared" si="2"/>
        <v>9</v>
      </c>
      <c r="P184" t="str" cm="1">
        <f t="array" ref="P184">_xlfn.SWITCH(rounded[[#This Row],[depression_label]], 0, "Not Depressed", 1, "Depressed")</f>
        <v>Not Depressed</v>
      </c>
      <c r="Q184" s="45" t="str" cm="1">
        <f t="array" ref="Q184">_xlfn.SWITCH(rounded[[#This Row],[gender]], "male", "Male", "female", "Female")</f>
        <v>Male</v>
      </c>
    </row>
    <row r="185" spans="1:17" x14ac:dyDescent="0.35">
      <c r="A185">
        <v>15</v>
      </c>
      <c r="B185" t="s">
        <v>16</v>
      </c>
      <c r="C185" s="4">
        <v>7.2</v>
      </c>
      <c r="D185" t="s">
        <v>17</v>
      </c>
      <c r="E185" s="4">
        <v>8</v>
      </c>
      <c r="F185" s="4">
        <v>1.4</v>
      </c>
      <c r="G185">
        <v>3.64</v>
      </c>
      <c r="H185">
        <v>0.4</v>
      </c>
      <c r="I185" t="s">
        <v>19</v>
      </c>
      <c r="J185">
        <v>10</v>
      </c>
      <c r="K185">
        <v>5</v>
      </c>
      <c r="L185">
        <v>7</v>
      </c>
      <c r="M185">
        <v>0</v>
      </c>
      <c r="N185">
        <f>_xlfn.IFS(rounded[[#This Row],[social_interaction_level]] = "low", 1,rounded[[#This Row],[social_interaction_level]] = "medium", 2,rounded[[#This Row],[social_interaction_level]] = "high", 3)</f>
        <v>2</v>
      </c>
      <c r="O185">
        <f t="shared" si="2"/>
        <v>22</v>
      </c>
      <c r="P185" t="str" cm="1">
        <f t="array" ref="P185">_xlfn.SWITCH(rounded[[#This Row],[depression_label]], 0, "Not Depressed", 1, "Depressed")</f>
        <v>Not Depressed</v>
      </c>
      <c r="Q185" s="45" t="str" cm="1">
        <f t="array" ref="Q185">_xlfn.SWITCH(rounded[[#This Row],[gender]], "male", "Male", "female", "Female")</f>
        <v>Female</v>
      </c>
    </row>
    <row r="186" spans="1:17" x14ac:dyDescent="0.35">
      <c r="A186">
        <v>17</v>
      </c>
      <c r="B186" t="s">
        <v>16</v>
      </c>
      <c r="C186" s="4">
        <v>1.4</v>
      </c>
      <c r="D186" t="s">
        <v>14</v>
      </c>
      <c r="E186" s="4">
        <v>6.9</v>
      </c>
      <c r="F186" s="4">
        <v>2.4</v>
      </c>
      <c r="G186">
        <v>3.06</v>
      </c>
      <c r="H186">
        <v>1.9</v>
      </c>
      <c r="I186" t="s">
        <v>19</v>
      </c>
      <c r="J186">
        <v>4</v>
      </c>
      <c r="K186">
        <v>10</v>
      </c>
      <c r="L186">
        <v>8</v>
      </c>
      <c r="M186">
        <v>0</v>
      </c>
      <c r="N186">
        <f>_xlfn.IFS(rounded[[#This Row],[social_interaction_level]] = "low", 1,rounded[[#This Row],[social_interaction_level]] = "medium", 2,rounded[[#This Row],[social_interaction_level]] = "high", 3)</f>
        <v>2</v>
      </c>
      <c r="O186">
        <f t="shared" si="2"/>
        <v>22</v>
      </c>
      <c r="P186" t="str" cm="1">
        <f t="array" ref="P186">_xlfn.SWITCH(rounded[[#This Row],[depression_label]], 0, "Not Depressed", 1, "Depressed")</f>
        <v>Not Depressed</v>
      </c>
      <c r="Q186" s="45" t="str" cm="1">
        <f t="array" ref="Q186">_xlfn.SWITCH(rounded[[#This Row],[gender]], "male", "Male", "female", "Female")</f>
        <v>Female</v>
      </c>
    </row>
    <row r="187" spans="1:17" x14ac:dyDescent="0.35">
      <c r="A187">
        <v>17</v>
      </c>
      <c r="B187" t="s">
        <v>16</v>
      </c>
      <c r="C187" s="4">
        <v>6.6</v>
      </c>
      <c r="D187" t="s">
        <v>14</v>
      </c>
      <c r="E187" s="4">
        <v>8</v>
      </c>
      <c r="F187" s="4">
        <v>2.2000000000000002</v>
      </c>
      <c r="G187">
        <v>2.21</v>
      </c>
      <c r="H187">
        <v>1</v>
      </c>
      <c r="I187" t="s">
        <v>18</v>
      </c>
      <c r="J187">
        <v>10</v>
      </c>
      <c r="K187">
        <v>8</v>
      </c>
      <c r="L187">
        <v>10</v>
      </c>
      <c r="M187">
        <v>0</v>
      </c>
      <c r="N187">
        <f>_xlfn.IFS(rounded[[#This Row],[social_interaction_level]] = "low", 1,rounded[[#This Row],[social_interaction_level]] = "medium", 2,rounded[[#This Row],[social_interaction_level]] = "high", 3)</f>
        <v>3</v>
      </c>
      <c r="O187">
        <f t="shared" si="2"/>
        <v>28</v>
      </c>
      <c r="P187" t="str" cm="1">
        <f t="array" ref="P187">_xlfn.SWITCH(rounded[[#This Row],[depression_label]], 0, "Not Depressed", 1, "Depressed")</f>
        <v>Not Depressed</v>
      </c>
      <c r="Q187" s="45" t="str" cm="1">
        <f t="array" ref="Q187">_xlfn.SWITCH(rounded[[#This Row],[gender]], "male", "Male", "female", "Female")</f>
        <v>Female</v>
      </c>
    </row>
    <row r="188" spans="1:17" x14ac:dyDescent="0.35">
      <c r="A188">
        <v>15</v>
      </c>
      <c r="B188" t="s">
        <v>16</v>
      </c>
      <c r="C188" s="4">
        <v>3.5</v>
      </c>
      <c r="D188" t="s">
        <v>14</v>
      </c>
      <c r="E188" s="4">
        <v>6.3</v>
      </c>
      <c r="F188" s="4">
        <v>0.8</v>
      </c>
      <c r="G188">
        <v>2.71</v>
      </c>
      <c r="H188">
        <v>1.8</v>
      </c>
      <c r="I188" t="s">
        <v>18</v>
      </c>
      <c r="J188">
        <v>7</v>
      </c>
      <c r="K188">
        <v>4</v>
      </c>
      <c r="L188">
        <v>2</v>
      </c>
      <c r="M188">
        <v>0</v>
      </c>
      <c r="N188">
        <f>_xlfn.IFS(rounded[[#This Row],[social_interaction_level]] = "low", 1,rounded[[#This Row],[social_interaction_level]] = "medium", 2,rounded[[#This Row],[social_interaction_level]] = "high", 3)</f>
        <v>3</v>
      </c>
      <c r="O188">
        <f t="shared" si="2"/>
        <v>13</v>
      </c>
      <c r="P188" t="str" cm="1">
        <f t="array" ref="P188">_xlfn.SWITCH(rounded[[#This Row],[depression_label]], 0, "Not Depressed", 1, "Depressed")</f>
        <v>Not Depressed</v>
      </c>
      <c r="Q188" s="45" t="str" cm="1">
        <f t="array" ref="Q188">_xlfn.SWITCH(rounded[[#This Row],[gender]], "male", "Male", "female", "Female")</f>
        <v>Female</v>
      </c>
    </row>
    <row r="189" spans="1:17" x14ac:dyDescent="0.35">
      <c r="A189">
        <v>17</v>
      </c>
      <c r="B189" t="s">
        <v>16</v>
      </c>
      <c r="C189" s="4">
        <v>5.4</v>
      </c>
      <c r="D189" t="s">
        <v>20</v>
      </c>
      <c r="E189" s="4">
        <v>6.3</v>
      </c>
      <c r="F189" s="4">
        <v>2.8</v>
      </c>
      <c r="G189">
        <v>3.06</v>
      </c>
      <c r="H189">
        <v>0.8</v>
      </c>
      <c r="I189" t="s">
        <v>15</v>
      </c>
      <c r="J189">
        <v>3</v>
      </c>
      <c r="K189">
        <v>7</v>
      </c>
      <c r="L189">
        <v>9</v>
      </c>
      <c r="M189">
        <v>0</v>
      </c>
      <c r="N189">
        <f>_xlfn.IFS(rounded[[#This Row],[social_interaction_level]] = "low", 1,rounded[[#This Row],[social_interaction_level]] = "medium", 2,rounded[[#This Row],[social_interaction_level]] = "high", 3)</f>
        <v>1</v>
      </c>
      <c r="O189">
        <f t="shared" si="2"/>
        <v>19</v>
      </c>
      <c r="P189" t="str" cm="1">
        <f t="array" ref="P189">_xlfn.SWITCH(rounded[[#This Row],[depression_label]], 0, "Not Depressed", 1, "Depressed")</f>
        <v>Not Depressed</v>
      </c>
      <c r="Q189" s="45" t="str" cm="1">
        <f t="array" ref="Q189">_xlfn.SWITCH(rounded[[#This Row],[gender]], "male", "Male", "female", "Female")</f>
        <v>Female</v>
      </c>
    </row>
    <row r="190" spans="1:17" x14ac:dyDescent="0.35">
      <c r="A190">
        <v>16</v>
      </c>
      <c r="B190" t="s">
        <v>16</v>
      </c>
      <c r="C190" s="4">
        <v>4.2</v>
      </c>
      <c r="D190" t="s">
        <v>20</v>
      </c>
      <c r="E190" s="4">
        <v>7.3</v>
      </c>
      <c r="F190" s="4">
        <v>1.1000000000000001</v>
      </c>
      <c r="G190">
        <v>3.1</v>
      </c>
      <c r="H190">
        <v>1.6</v>
      </c>
      <c r="I190" t="s">
        <v>19</v>
      </c>
      <c r="J190">
        <v>1</v>
      </c>
      <c r="K190">
        <v>6</v>
      </c>
      <c r="L190">
        <v>2</v>
      </c>
      <c r="M190">
        <v>0</v>
      </c>
      <c r="N190">
        <f>_xlfn.IFS(rounded[[#This Row],[social_interaction_level]] = "low", 1,rounded[[#This Row],[social_interaction_level]] = "medium", 2,rounded[[#This Row],[social_interaction_level]] = "high", 3)</f>
        <v>2</v>
      </c>
      <c r="O190">
        <f t="shared" si="2"/>
        <v>9</v>
      </c>
      <c r="P190" t="str" cm="1">
        <f t="array" ref="P190">_xlfn.SWITCH(rounded[[#This Row],[depression_label]], 0, "Not Depressed", 1, "Depressed")</f>
        <v>Not Depressed</v>
      </c>
      <c r="Q190" s="45" t="str" cm="1">
        <f t="array" ref="Q190">_xlfn.SWITCH(rounded[[#This Row],[gender]], "male", "Male", "female", "Female")</f>
        <v>Female</v>
      </c>
    </row>
    <row r="191" spans="1:17" x14ac:dyDescent="0.35">
      <c r="A191">
        <v>13</v>
      </c>
      <c r="B191" t="s">
        <v>13</v>
      </c>
      <c r="C191" s="4">
        <v>2.5</v>
      </c>
      <c r="D191" t="s">
        <v>14</v>
      </c>
      <c r="E191" s="4">
        <v>8.3000000000000007</v>
      </c>
      <c r="F191" s="4">
        <v>1.6</v>
      </c>
      <c r="G191">
        <v>2.91</v>
      </c>
      <c r="H191">
        <v>0.6</v>
      </c>
      <c r="I191" t="s">
        <v>18</v>
      </c>
      <c r="J191">
        <v>10</v>
      </c>
      <c r="K191">
        <v>2</v>
      </c>
      <c r="L191">
        <v>6</v>
      </c>
      <c r="M191">
        <v>0</v>
      </c>
      <c r="N191">
        <f>_xlfn.IFS(rounded[[#This Row],[social_interaction_level]] = "low", 1,rounded[[#This Row],[social_interaction_level]] = "medium", 2,rounded[[#This Row],[social_interaction_level]] = "high", 3)</f>
        <v>3</v>
      </c>
      <c r="O191">
        <f t="shared" si="2"/>
        <v>18</v>
      </c>
      <c r="P191" t="str" cm="1">
        <f t="array" ref="P191">_xlfn.SWITCH(rounded[[#This Row],[depression_label]], 0, "Not Depressed", 1, "Depressed")</f>
        <v>Not Depressed</v>
      </c>
      <c r="Q191" s="45" t="str" cm="1">
        <f t="array" ref="Q191">_xlfn.SWITCH(rounded[[#This Row],[gender]], "male", "Male", "female", "Female")</f>
        <v>Male</v>
      </c>
    </row>
    <row r="192" spans="1:17" x14ac:dyDescent="0.35">
      <c r="A192">
        <v>16</v>
      </c>
      <c r="B192" t="s">
        <v>16</v>
      </c>
      <c r="C192" s="4">
        <v>3.8</v>
      </c>
      <c r="D192" t="s">
        <v>17</v>
      </c>
      <c r="E192" s="4">
        <v>6</v>
      </c>
      <c r="F192" s="4">
        <v>3</v>
      </c>
      <c r="G192">
        <v>2.1</v>
      </c>
      <c r="H192">
        <v>0.2</v>
      </c>
      <c r="I192" t="s">
        <v>15</v>
      </c>
      <c r="J192">
        <v>7</v>
      </c>
      <c r="K192">
        <v>9</v>
      </c>
      <c r="L192">
        <v>1</v>
      </c>
      <c r="M192">
        <v>0</v>
      </c>
      <c r="N192">
        <f>_xlfn.IFS(rounded[[#This Row],[social_interaction_level]] = "low", 1,rounded[[#This Row],[social_interaction_level]] = "medium", 2,rounded[[#This Row],[social_interaction_level]] = "high", 3)</f>
        <v>1</v>
      </c>
      <c r="O192">
        <f t="shared" si="2"/>
        <v>17</v>
      </c>
      <c r="P192" t="str" cm="1">
        <f t="array" ref="P192">_xlfn.SWITCH(rounded[[#This Row],[depression_label]], 0, "Not Depressed", 1, "Depressed")</f>
        <v>Not Depressed</v>
      </c>
      <c r="Q192" s="45" t="str" cm="1">
        <f t="array" ref="Q192">_xlfn.SWITCH(rounded[[#This Row],[gender]], "male", "Male", "female", "Female")</f>
        <v>Female</v>
      </c>
    </row>
    <row r="193" spans="1:17" x14ac:dyDescent="0.35">
      <c r="A193">
        <v>13</v>
      </c>
      <c r="B193" t="s">
        <v>13</v>
      </c>
      <c r="C193" s="4">
        <v>1.8</v>
      </c>
      <c r="D193" t="s">
        <v>14</v>
      </c>
      <c r="E193" s="4">
        <v>8.9</v>
      </c>
      <c r="F193" s="4">
        <v>1.2</v>
      </c>
      <c r="G193">
        <v>3.67</v>
      </c>
      <c r="H193">
        <v>0.1</v>
      </c>
      <c r="I193" t="s">
        <v>19</v>
      </c>
      <c r="J193">
        <v>2</v>
      </c>
      <c r="K193">
        <v>8</v>
      </c>
      <c r="L193">
        <v>9</v>
      </c>
      <c r="M193">
        <v>0</v>
      </c>
      <c r="N193">
        <f>_xlfn.IFS(rounded[[#This Row],[social_interaction_level]] = "low", 1,rounded[[#This Row],[social_interaction_level]] = "medium", 2,rounded[[#This Row],[social_interaction_level]] = "high", 3)</f>
        <v>2</v>
      </c>
      <c r="O193">
        <f t="shared" si="2"/>
        <v>19</v>
      </c>
      <c r="P193" t="str" cm="1">
        <f t="array" ref="P193">_xlfn.SWITCH(rounded[[#This Row],[depression_label]], 0, "Not Depressed", 1, "Depressed")</f>
        <v>Not Depressed</v>
      </c>
      <c r="Q193" s="45" t="str" cm="1">
        <f t="array" ref="Q193">_xlfn.SWITCH(rounded[[#This Row],[gender]], "male", "Male", "female", "Female")</f>
        <v>Male</v>
      </c>
    </row>
    <row r="194" spans="1:17" x14ac:dyDescent="0.35">
      <c r="A194">
        <v>14</v>
      </c>
      <c r="B194" t="s">
        <v>13</v>
      </c>
      <c r="C194" s="4">
        <v>5.4</v>
      </c>
      <c r="D194" t="s">
        <v>14</v>
      </c>
      <c r="E194" s="4">
        <v>5.6</v>
      </c>
      <c r="F194" s="4">
        <v>1.8</v>
      </c>
      <c r="G194">
        <v>3.01</v>
      </c>
      <c r="H194">
        <v>0.9</v>
      </c>
      <c r="I194" t="s">
        <v>15</v>
      </c>
      <c r="J194">
        <v>10</v>
      </c>
      <c r="K194">
        <v>6</v>
      </c>
      <c r="L194">
        <v>8</v>
      </c>
      <c r="M194">
        <v>0</v>
      </c>
      <c r="N194">
        <f>_xlfn.IFS(rounded[[#This Row],[social_interaction_level]] = "low", 1,rounded[[#This Row],[social_interaction_level]] = "medium", 2,rounded[[#This Row],[social_interaction_level]] = "high", 3)</f>
        <v>1</v>
      </c>
      <c r="O194">
        <f t="shared" ref="O194:O257" si="3">SUM(J194+K194+L194)</f>
        <v>24</v>
      </c>
      <c r="P194" t="str" cm="1">
        <f t="array" ref="P194">_xlfn.SWITCH(rounded[[#This Row],[depression_label]], 0, "Not Depressed", 1, "Depressed")</f>
        <v>Not Depressed</v>
      </c>
      <c r="Q194" s="45" t="str" cm="1">
        <f t="array" ref="Q194">_xlfn.SWITCH(rounded[[#This Row],[gender]], "male", "Male", "female", "Female")</f>
        <v>Male</v>
      </c>
    </row>
    <row r="195" spans="1:17" x14ac:dyDescent="0.35">
      <c r="A195">
        <v>14</v>
      </c>
      <c r="B195" t="s">
        <v>16</v>
      </c>
      <c r="C195" s="4">
        <v>7.7</v>
      </c>
      <c r="D195" t="s">
        <v>14</v>
      </c>
      <c r="E195" s="4">
        <v>6.1</v>
      </c>
      <c r="F195" s="4">
        <v>0.8</v>
      </c>
      <c r="G195">
        <v>3.47</v>
      </c>
      <c r="H195">
        <v>1.5</v>
      </c>
      <c r="I195" t="s">
        <v>19</v>
      </c>
      <c r="J195">
        <v>9</v>
      </c>
      <c r="K195">
        <v>10</v>
      </c>
      <c r="L195">
        <v>9</v>
      </c>
      <c r="M195">
        <v>0</v>
      </c>
      <c r="N195">
        <f>_xlfn.IFS(rounded[[#This Row],[social_interaction_level]] = "low", 1,rounded[[#This Row],[social_interaction_level]] = "medium", 2,rounded[[#This Row],[social_interaction_level]] = "high", 3)</f>
        <v>2</v>
      </c>
      <c r="O195">
        <f t="shared" si="3"/>
        <v>28</v>
      </c>
      <c r="P195" t="str" cm="1">
        <f t="array" ref="P195">_xlfn.SWITCH(rounded[[#This Row],[depression_label]], 0, "Not Depressed", 1, "Depressed")</f>
        <v>Not Depressed</v>
      </c>
      <c r="Q195" s="45" t="str" cm="1">
        <f t="array" ref="Q195">_xlfn.SWITCH(rounded[[#This Row],[gender]], "male", "Male", "female", "Female")</f>
        <v>Female</v>
      </c>
    </row>
    <row r="196" spans="1:17" x14ac:dyDescent="0.35">
      <c r="A196">
        <v>18</v>
      </c>
      <c r="B196" t="s">
        <v>16</v>
      </c>
      <c r="C196" s="4">
        <v>4.0999999999999996</v>
      </c>
      <c r="D196" t="s">
        <v>14</v>
      </c>
      <c r="E196" s="4">
        <v>8</v>
      </c>
      <c r="F196" s="4">
        <v>1.7</v>
      </c>
      <c r="G196">
        <v>2.29</v>
      </c>
      <c r="H196">
        <v>1.4</v>
      </c>
      <c r="I196" t="s">
        <v>15</v>
      </c>
      <c r="J196">
        <v>2</v>
      </c>
      <c r="K196">
        <v>1</v>
      </c>
      <c r="L196">
        <v>10</v>
      </c>
      <c r="M196">
        <v>0</v>
      </c>
      <c r="N196">
        <f>_xlfn.IFS(rounded[[#This Row],[social_interaction_level]] = "low", 1,rounded[[#This Row],[social_interaction_level]] = "medium", 2,rounded[[#This Row],[social_interaction_level]] = "high", 3)</f>
        <v>1</v>
      </c>
      <c r="O196">
        <f t="shared" si="3"/>
        <v>13</v>
      </c>
      <c r="P196" t="str" cm="1">
        <f t="array" ref="P196">_xlfn.SWITCH(rounded[[#This Row],[depression_label]], 0, "Not Depressed", 1, "Depressed")</f>
        <v>Not Depressed</v>
      </c>
      <c r="Q196" s="45" t="str" cm="1">
        <f t="array" ref="Q196">_xlfn.SWITCH(rounded[[#This Row],[gender]], "male", "Male", "female", "Female")</f>
        <v>Female</v>
      </c>
    </row>
    <row r="197" spans="1:17" x14ac:dyDescent="0.35">
      <c r="A197">
        <v>15</v>
      </c>
      <c r="B197" t="s">
        <v>16</v>
      </c>
      <c r="C197" s="4">
        <v>6.6</v>
      </c>
      <c r="D197" t="s">
        <v>20</v>
      </c>
      <c r="E197" s="4">
        <v>4.9000000000000004</v>
      </c>
      <c r="F197" s="4">
        <v>3</v>
      </c>
      <c r="G197">
        <v>2.99</v>
      </c>
      <c r="H197">
        <v>0.9</v>
      </c>
      <c r="I197" t="s">
        <v>19</v>
      </c>
      <c r="J197">
        <v>4</v>
      </c>
      <c r="K197">
        <v>8</v>
      </c>
      <c r="L197">
        <v>3</v>
      </c>
      <c r="M197">
        <v>0</v>
      </c>
      <c r="N197">
        <f>_xlfn.IFS(rounded[[#This Row],[social_interaction_level]] = "low", 1,rounded[[#This Row],[social_interaction_level]] = "medium", 2,rounded[[#This Row],[social_interaction_level]] = "high", 3)</f>
        <v>2</v>
      </c>
      <c r="O197">
        <f t="shared" si="3"/>
        <v>15</v>
      </c>
      <c r="P197" t="str" cm="1">
        <f t="array" ref="P197">_xlfn.SWITCH(rounded[[#This Row],[depression_label]], 0, "Not Depressed", 1, "Depressed")</f>
        <v>Not Depressed</v>
      </c>
      <c r="Q197" s="45" t="str" cm="1">
        <f t="array" ref="Q197">_xlfn.SWITCH(rounded[[#This Row],[gender]], "male", "Male", "female", "Female")</f>
        <v>Female</v>
      </c>
    </row>
    <row r="198" spans="1:17" x14ac:dyDescent="0.35">
      <c r="A198">
        <v>16</v>
      </c>
      <c r="B198" t="s">
        <v>13</v>
      </c>
      <c r="C198" s="4">
        <v>2.2999999999999998</v>
      </c>
      <c r="D198" t="s">
        <v>20</v>
      </c>
      <c r="E198" s="4">
        <v>4.0999999999999996</v>
      </c>
      <c r="F198" s="4">
        <v>0.8</v>
      </c>
      <c r="G198">
        <v>3.18</v>
      </c>
      <c r="H198">
        <v>1.7</v>
      </c>
      <c r="I198" t="s">
        <v>19</v>
      </c>
      <c r="J198">
        <v>5</v>
      </c>
      <c r="K198">
        <v>3</v>
      </c>
      <c r="L198">
        <v>8</v>
      </c>
      <c r="M198">
        <v>0</v>
      </c>
      <c r="N198">
        <f>_xlfn.IFS(rounded[[#This Row],[social_interaction_level]] = "low", 1,rounded[[#This Row],[social_interaction_level]] = "medium", 2,rounded[[#This Row],[social_interaction_level]] = "high", 3)</f>
        <v>2</v>
      </c>
      <c r="O198">
        <f t="shared" si="3"/>
        <v>16</v>
      </c>
      <c r="P198" t="str" cm="1">
        <f t="array" ref="P198">_xlfn.SWITCH(rounded[[#This Row],[depression_label]], 0, "Not Depressed", 1, "Depressed")</f>
        <v>Not Depressed</v>
      </c>
      <c r="Q198" s="45" t="str" cm="1">
        <f t="array" ref="Q198">_xlfn.SWITCH(rounded[[#This Row],[gender]], "male", "Male", "female", "Female")</f>
        <v>Male</v>
      </c>
    </row>
    <row r="199" spans="1:17" x14ac:dyDescent="0.35">
      <c r="A199">
        <v>17</v>
      </c>
      <c r="B199" t="s">
        <v>16</v>
      </c>
      <c r="C199" s="4">
        <v>7.5</v>
      </c>
      <c r="D199" t="s">
        <v>14</v>
      </c>
      <c r="E199" s="4">
        <v>5.9</v>
      </c>
      <c r="F199" s="4">
        <v>2.9</v>
      </c>
      <c r="G199">
        <v>3.71</v>
      </c>
      <c r="H199">
        <v>1.7</v>
      </c>
      <c r="I199" t="s">
        <v>15</v>
      </c>
      <c r="J199">
        <v>3</v>
      </c>
      <c r="K199">
        <v>1</v>
      </c>
      <c r="L199">
        <v>10</v>
      </c>
      <c r="M199">
        <v>0</v>
      </c>
      <c r="N199">
        <f>_xlfn.IFS(rounded[[#This Row],[social_interaction_level]] = "low", 1,rounded[[#This Row],[social_interaction_level]] = "medium", 2,rounded[[#This Row],[social_interaction_level]] = "high", 3)</f>
        <v>1</v>
      </c>
      <c r="O199">
        <f t="shared" si="3"/>
        <v>14</v>
      </c>
      <c r="P199" t="str" cm="1">
        <f t="array" ref="P199">_xlfn.SWITCH(rounded[[#This Row],[depression_label]], 0, "Not Depressed", 1, "Depressed")</f>
        <v>Not Depressed</v>
      </c>
      <c r="Q199" s="45" t="str" cm="1">
        <f t="array" ref="Q199">_xlfn.SWITCH(rounded[[#This Row],[gender]], "male", "Male", "female", "Female")</f>
        <v>Female</v>
      </c>
    </row>
    <row r="200" spans="1:17" x14ac:dyDescent="0.35">
      <c r="A200">
        <v>18</v>
      </c>
      <c r="B200" t="s">
        <v>13</v>
      </c>
      <c r="C200" s="4">
        <v>7.1</v>
      </c>
      <c r="D200" t="s">
        <v>14</v>
      </c>
      <c r="E200" s="4">
        <v>8</v>
      </c>
      <c r="F200" s="4">
        <v>2.9</v>
      </c>
      <c r="G200">
        <v>2.59</v>
      </c>
      <c r="H200">
        <v>1.2</v>
      </c>
      <c r="I200" t="s">
        <v>18</v>
      </c>
      <c r="J200">
        <v>10</v>
      </c>
      <c r="K200">
        <v>8</v>
      </c>
      <c r="L200">
        <v>5</v>
      </c>
      <c r="M200">
        <v>0</v>
      </c>
      <c r="N200">
        <f>_xlfn.IFS(rounded[[#This Row],[social_interaction_level]] = "low", 1,rounded[[#This Row],[social_interaction_level]] = "medium", 2,rounded[[#This Row],[social_interaction_level]] = "high", 3)</f>
        <v>3</v>
      </c>
      <c r="O200">
        <f t="shared" si="3"/>
        <v>23</v>
      </c>
      <c r="P200" t="str" cm="1">
        <f t="array" ref="P200">_xlfn.SWITCH(rounded[[#This Row],[depression_label]], 0, "Not Depressed", 1, "Depressed")</f>
        <v>Not Depressed</v>
      </c>
      <c r="Q200" s="45" t="str" cm="1">
        <f t="array" ref="Q200">_xlfn.SWITCH(rounded[[#This Row],[gender]], "male", "Male", "female", "Female")</f>
        <v>Male</v>
      </c>
    </row>
    <row r="201" spans="1:17" x14ac:dyDescent="0.35">
      <c r="A201">
        <v>17</v>
      </c>
      <c r="B201" t="s">
        <v>16</v>
      </c>
      <c r="C201" s="4">
        <v>1.7</v>
      </c>
      <c r="D201" t="s">
        <v>20</v>
      </c>
      <c r="E201" s="4">
        <v>6.3</v>
      </c>
      <c r="F201" s="4">
        <v>1.5</v>
      </c>
      <c r="G201">
        <v>2.66</v>
      </c>
      <c r="H201">
        <v>1.8</v>
      </c>
      <c r="I201" t="s">
        <v>15</v>
      </c>
      <c r="J201">
        <v>1</v>
      </c>
      <c r="K201">
        <v>4</v>
      </c>
      <c r="L201">
        <v>10</v>
      </c>
      <c r="M201">
        <v>0</v>
      </c>
      <c r="N201">
        <f>_xlfn.IFS(rounded[[#This Row],[social_interaction_level]] = "low", 1,rounded[[#This Row],[social_interaction_level]] = "medium", 2,rounded[[#This Row],[social_interaction_level]] = "high", 3)</f>
        <v>1</v>
      </c>
      <c r="O201">
        <f t="shared" si="3"/>
        <v>15</v>
      </c>
      <c r="P201" t="str" cm="1">
        <f t="array" ref="P201">_xlfn.SWITCH(rounded[[#This Row],[depression_label]], 0, "Not Depressed", 1, "Depressed")</f>
        <v>Not Depressed</v>
      </c>
      <c r="Q201" s="45" t="str" cm="1">
        <f t="array" ref="Q201">_xlfn.SWITCH(rounded[[#This Row],[gender]], "male", "Male", "female", "Female")</f>
        <v>Female</v>
      </c>
    </row>
    <row r="202" spans="1:17" x14ac:dyDescent="0.35">
      <c r="A202">
        <v>13</v>
      </c>
      <c r="B202" t="s">
        <v>13</v>
      </c>
      <c r="C202" s="4">
        <v>7.9</v>
      </c>
      <c r="D202" t="s">
        <v>14</v>
      </c>
      <c r="E202" s="4">
        <v>5.8</v>
      </c>
      <c r="F202" s="4">
        <v>0.8</v>
      </c>
      <c r="G202">
        <v>3.31</v>
      </c>
      <c r="H202">
        <v>1.6</v>
      </c>
      <c r="I202" t="s">
        <v>19</v>
      </c>
      <c r="J202">
        <v>3</v>
      </c>
      <c r="K202">
        <v>7</v>
      </c>
      <c r="L202">
        <v>2</v>
      </c>
      <c r="M202">
        <v>0</v>
      </c>
      <c r="N202">
        <f>_xlfn.IFS(rounded[[#This Row],[social_interaction_level]] = "low", 1,rounded[[#This Row],[social_interaction_level]] = "medium", 2,rounded[[#This Row],[social_interaction_level]] = "high", 3)</f>
        <v>2</v>
      </c>
      <c r="O202">
        <f t="shared" si="3"/>
        <v>12</v>
      </c>
      <c r="P202" t="str" cm="1">
        <f t="array" ref="P202">_xlfn.SWITCH(rounded[[#This Row],[depression_label]], 0, "Not Depressed", 1, "Depressed")</f>
        <v>Not Depressed</v>
      </c>
      <c r="Q202" s="45" t="str" cm="1">
        <f t="array" ref="Q202">_xlfn.SWITCH(rounded[[#This Row],[gender]], "male", "Male", "female", "Female")</f>
        <v>Male</v>
      </c>
    </row>
    <row r="203" spans="1:17" x14ac:dyDescent="0.35">
      <c r="A203">
        <v>16</v>
      </c>
      <c r="B203" t="s">
        <v>16</v>
      </c>
      <c r="C203" s="4">
        <v>4</v>
      </c>
      <c r="D203" t="s">
        <v>14</v>
      </c>
      <c r="E203" s="4">
        <v>7.9</v>
      </c>
      <c r="F203" s="4">
        <v>1.9</v>
      </c>
      <c r="G203">
        <v>2.56</v>
      </c>
      <c r="H203">
        <v>0.1</v>
      </c>
      <c r="I203" t="s">
        <v>18</v>
      </c>
      <c r="J203">
        <v>4</v>
      </c>
      <c r="K203">
        <v>9</v>
      </c>
      <c r="L203">
        <v>9</v>
      </c>
      <c r="M203">
        <v>0</v>
      </c>
      <c r="N203">
        <f>_xlfn.IFS(rounded[[#This Row],[social_interaction_level]] = "low", 1,rounded[[#This Row],[social_interaction_level]] = "medium", 2,rounded[[#This Row],[social_interaction_level]] = "high", 3)</f>
        <v>3</v>
      </c>
      <c r="O203">
        <f t="shared" si="3"/>
        <v>22</v>
      </c>
      <c r="P203" t="str" cm="1">
        <f t="array" ref="P203">_xlfn.SWITCH(rounded[[#This Row],[depression_label]], 0, "Not Depressed", 1, "Depressed")</f>
        <v>Not Depressed</v>
      </c>
      <c r="Q203" s="45" t="str" cm="1">
        <f t="array" ref="Q203">_xlfn.SWITCH(rounded[[#This Row],[gender]], "male", "Male", "female", "Female")</f>
        <v>Female</v>
      </c>
    </row>
    <row r="204" spans="1:17" x14ac:dyDescent="0.35">
      <c r="A204">
        <v>15</v>
      </c>
      <c r="B204" t="s">
        <v>16</v>
      </c>
      <c r="C204" s="4">
        <v>1.2</v>
      </c>
      <c r="D204" t="s">
        <v>17</v>
      </c>
      <c r="E204" s="4">
        <v>8.1</v>
      </c>
      <c r="F204" s="4">
        <v>2</v>
      </c>
      <c r="G204">
        <v>3.33</v>
      </c>
      <c r="H204">
        <v>1.5</v>
      </c>
      <c r="I204" t="s">
        <v>19</v>
      </c>
      <c r="J204">
        <v>7</v>
      </c>
      <c r="K204">
        <v>3</v>
      </c>
      <c r="L204">
        <v>8</v>
      </c>
      <c r="M204">
        <v>0</v>
      </c>
      <c r="N204">
        <f>_xlfn.IFS(rounded[[#This Row],[social_interaction_level]] = "low", 1,rounded[[#This Row],[social_interaction_level]] = "medium", 2,rounded[[#This Row],[social_interaction_level]] = "high", 3)</f>
        <v>2</v>
      </c>
      <c r="O204">
        <f t="shared" si="3"/>
        <v>18</v>
      </c>
      <c r="P204" t="str" cm="1">
        <f t="array" ref="P204">_xlfn.SWITCH(rounded[[#This Row],[depression_label]], 0, "Not Depressed", 1, "Depressed")</f>
        <v>Not Depressed</v>
      </c>
      <c r="Q204" s="45" t="str" cm="1">
        <f t="array" ref="Q204">_xlfn.SWITCH(rounded[[#This Row],[gender]], "male", "Male", "female", "Female")</f>
        <v>Female</v>
      </c>
    </row>
    <row r="205" spans="1:17" x14ac:dyDescent="0.35">
      <c r="A205">
        <v>19</v>
      </c>
      <c r="B205" t="s">
        <v>13</v>
      </c>
      <c r="C205" s="4">
        <v>3.5</v>
      </c>
      <c r="D205" t="s">
        <v>17</v>
      </c>
      <c r="E205" s="4">
        <v>8.4</v>
      </c>
      <c r="F205" s="4">
        <v>1.7</v>
      </c>
      <c r="G205">
        <v>2.46</v>
      </c>
      <c r="H205">
        <v>0.1</v>
      </c>
      <c r="I205" t="s">
        <v>18</v>
      </c>
      <c r="J205">
        <v>6</v>
      </c>
      <c r="K205">
        <v>9</v>
      </c>
      <c r="L205">
        <v>3</v>
      </c>
      <c r="M205">
        <v>0</v>
      </c>
      <c r="N205">
        <f>_xlfn.IFS(rounded[[#This Row],[social_interaction_level]] = "low", 1,rounded[[#This Row],[social_interaction_level]] = "medium", 2,rounded[[#This Row],[social_interaction_level]] = "high", 3)</f>
        <v>3</v>
      </c>
      <c r="O205">
        <f t="shared" si="3"/>
        <v>18</v>
      </c>
      <c r="P205" t="str" cm="1">
        <f t="array" ref="P205">_xlfn.SWITCH(rounded[[#This Row],[depression_label]], 0, "Not Depressed", 1, "Depressed")</f>
        <v>Not Depressed</v>
      </c>
      <c r="Q205" s="45" t="str" cm="1">
        <f t="array" ref="Q205">_xlfn.SWITCH(rounded[[#This Row],[gender]], "male", "Male", "female", "Female")</f>
        <v>Male</v>
      </c>
    </row>
    <row r="206" spans="1:17" x14ac:dyDescent="0.35">
      <c r="A206">
        <v>17</v>
      </c>
      <c r="B206" t="s">
        <v>13</v>
      </c>
      <c r="C206" s="4">
        <v>1.1000000000000001</v>
      </c>
      <c r="D206" t="s">
        <v>14</v>
      </c>
      <c r="E206" s="4">
        <v>6.8</v>
      </c>
      <c r="F206" s="4">
        <v>2</v>
      </c>
      <c r="G206">
        <v>3.45</v>
      </c>
      <c r="H206">
        <v>1.3</v>
      </c>
      <c r="I206" t="s">
        <v>19</v>
      </c>
      <c r="J206">
        <v>7</v>
      </c>
      <c r="K206">
        <v>1</v>
      </c>
      <c r="L206">
        <v>2</v>
      </c>
      <c r="M206">
        <v>0</v>
      </c>
      <c r="N206">
        <f>_xlfn.IFS(rounded[[#This Row],[social_interaction_level]] = "low", 1,rounded[[#This Row],[social_interaction_level]] = "medium", 2,rounded[[#This Row],[social_interaction_level]] = "high", 3)</f>
        <v>2</v>
      </c>
      <c r="O206">
        <f t="shared" si="3"/>
        <v>10</v>
      </c>
      <c r="P206" t="str" cm="1">
        <f t="array" ref="P206">_xlfn.SWITCH(rounded[[#This Row],[depression_label]], 0, "Not Depressed", 1, "Depressed")</f>
        <v>Not Depressed</v>
      </c>
      <c r="Q206" s="45" t="str" cm="1">
        <f t="array" ref="Q206">_xlfn.SWITCH(rounded[[#This Row],[gender]], "male", "Male", "female", "Female")</f>
        <v>Male</v>
      </c>
    </row>
    <row r="207" spans="1:17" x14ac:dyDescent="0.35">
      <c r="A207">
        <v>19</v>
      </c>
      <c r="B207" t="s">
        <v>16</v>
      </c>
      <c r="C207" s="4">
        <v>1.6</v>
      </c>
      <c r="D207" t="s">
        <v>17</v>
      </c>
      <c r="E207" s="4">
        <v>4.0999999999999996</v>
      </c>
      <c r="F207" s="4">
        <v>1.6</v>
      </c>
      <c r="G207">
        <v>3.15</v>
      </c>
      <c r="H207">
        <v>0.9</v>
      </c>
      <c r="I207" t="s">
        <v>19</v>
      </c>
      <c r="J207">
        <v>2</v>
      </c>
      <c r="K207">
        <v>6</v>
      </c>
      <c r="L207">
        <v>4</v>
      </c>
      <c r="M207">
        <v>0</v>
      </c>
      <c r="N207">
        <f>_xlfn.IFS(rounded[[#This Row],[social_interaction_level]] = "low", 1,rounded[[#This Row],[social_interaction_level]] = "medium", 2,rounded[[#This Row],[social_interaction_level]] = "high", 3)</f>
        <v>2</v>
      </c>
      <c r="O207">
        <f t="shared" si="3"/>
        <v>12</v>
      </c>
      <c r="P207" t="str" cm="1">
        <f t="array" ref="P207">_xlfn.SWITCH(rounded[[#This Row],[depression_label]], 0, "Not Depressed", 1, "Depressed")</f>
        <v>Not Depressed</v>
      </c>
      <c r="Q207" s="45" t="str" cm="1">
        <f t="array" ref="Q207">_xlfn.SWITCH(rounded[[#This Row],[gender]], "male", "Male", "female", "Female")</f>
        <v>Female</v>
      </c>
    </row>
    <row r="208" spans="1:17" x14ac:dyDescent="0.35">
      <c r="A208">
        <v>16</v>
      </c>
      <c r="B208" t="s">
        <v>16</v>
      </c>
      <c r="C208" s="4">
        <v>2.5</v>
      </c>
      <c r="D208" t="s">
        <v>17</v>
      </c>
      <c r="E208" s="4">
        <v>8.9</v>
      </c>
      <c r="F208" s="4">
        <v>2.9</v>
      </c>
      <c r="G208">
        <v>2.5299999999999998</v>
      </c>
      <c r="H208">
        <v>0.1</v>
      </c>
      <c r="I208" t="s">
        <v>18</v>
      </c>
      <c r="J208">
        <v>8</v>
      </c>
      <c r="K208">
        <v>7</v>
      </c>
      <c r="L208">
        <v>3</v>
      </c>
      <c r="M208">
        <v>0</v>
      </c>
      <c r="N208">
        <f>_xlfn.IFS(rounded[[#This Row],[social_interaction_level]] = "low", 1,rounded[[#This Row],[social_interaction_level]] = "medium", 2,rounded[[#This Row],[social_interaction_level]] = "high", 3)</f>
        <v>3</v>
      </c>
      <c r="O208">
        <f t="shared" si="3"/>
        <v>18</v>
      </c>
      <c r="P208" t="str" cm="1">
        <f t="array" ref="P208">_xlfn.SWITCH(rounded[[#This Row],[depression_label]], 0, "Not Depressed", 1, "Depressed")</f>
        <v>Not Depressed</v>
      </c>
      <c r="Q208" s="45" t="str" cm="1">
        <f t="array" ref="Q208">_xlfn.SWITCH(rounded[[#This Row],[gender]], "male", "Male", "female", "Female")</f>
        <v>Female</v>
      </c>
    </row>
    <row r="209" spans="1:17" x14ac:dyDescent="0.35">
      <c r="A209">
        <v>15</v>
      </c>
      <c r="B209" t="s">
        <v>13</v>
      </c>
      <c r="C209" s="4">
        <v>2.8</v>
      </c>
      <c r="D209" t="s">
        <v>14</v>
      </c>
      <c r="E209" s="4">
        <v>7.2</v>
      </c>
      <c r="F209" s="4">
        <v>1.8</v>
      </c>
      <c r="G209">
        <v>2.91</v>
      </c>
      <c r="H209">
        <v>0.2</v>
      </c>
      <c r="I209" t="s">
        <v>15</v>
      </c>
      <c r="J209">
        <v>5</v>
      </c>
      <c r="K209">
        <v>5</v>
      </c>
      <c r="L209">
        <v>4</v>
      </c>
      <c r="M209">
        <v>0</v>
      </c>
      <c r="N209">
        <f>_xlfn.IFS(rounded[[#This Row],[social_interaction_level]] = "low", 1,rounded[[#This Row],[social_interaction_level]] = "medium", 2,rounded[[#This Row],[social_interaction_level]] = "high", 3)</f>
        <v>1</v>
      </c>
      <c r="O209">
        <f t="shared" si="3"/>
        <v>14</v>
      </c>
      <c r="P209" t="str" cm="1">
        <f t="array" ref="P209">_xlfn.SWITCH(rounded[[#This Row],[depression_label]], 0, "Not Depressed", 1, "Depressed")</f>
        <v>Not Depressed</v>
      </c>
      <c r="Q209" s="45" t="str" cm="1">
        <f t="array" ref="Q209">_xlfn.SWITCH(rounded[[#This Row],[gender]], "male", "Male", "female", "Female")</f>
        <v>Male</v>
      </c>
    </row>
    <row r="210" spans="1:17" x14ac:dyDescent="0.35">
      <c r="A210">
        <v>15</v>
      </c>
      <c r="B210" t="s">
        <v>13</v>
      </c>
      <c r="C210" s="4">
        <v>2.2000000000000002</v>
      </c>
      <c r="D210" t="s">
        <v>14</v>
      </c>
      <c r="E210" s="4">
        <v>5.2</v>
      </c>
      <c r="F210" s="4">
        <v>1.4</v>
      </c>
      <c r="G210">
        <v>2.62</v>
      </c>
      <c r="H210">
        <v>1.5</v>
      </c>
      <c r="I210" t="s">
        <v>19</v>
      </c>
      <c r="J210">
        <v>10</v>
      </c>
      <c r="K210">
        <v>7</v>
      </c>
      <c r="L210">
        <v>5</v>
      </c>
      <c r="M210">
        <v>0</v>
      </c>
      <c r="N210">
        <f>_xlfn.IFS(rounded[[#This Row],[social_interaction_level]] = "low", 1,rounded[[#This Row],[social_interaction_level]] = "medium", 2,rounded[[#This Row],[social_interaction_level]] = "high", 3)</f>
        <v>2</v>
      </c>
      <c r="O210">
        <f t="shared" si="3"/>
        <v>22</v>
      </c>
      <c r="P210" t="str" cm="1">
        <f t="array" ref="P210">_xlfn.SWITCH(rounded[[#This Row],[depression_label]], 0, "Not Depressed", 1, "Depressed")</f>
        <v>Not Depressed</v>
      </c>
      <c r="Q210" s="45" t="str" cm="1">
        <f t="array" ref="Q210">_xlfn.SWITCH(rounded[[#This Row],[gender]], "male", "Male", "female", "Female")</f>
        <v>Male</v>
      </c>
    </row>
    <row r="211" spans="1:17" x14ac:dyDescent="0.35">
      <c r="A211">
        <v>16</v>
      </c>
      <c r="B211" t="s">
        <v>13</v>
      </c>
      <c r="C211" s="4">
        <v>4.8</v>
      </c>
      <c r="D211" t="s">
        <v>20</v>
      </c>
      <c r="E211" s="4">
        <v>6.8</v>
      </c>
      <c r="F211" s="4">
        <v>1</v>
      </c>
      <c r="G211">
        <v>2.6</v>
      </c>
      <c r="H211">
        <v>1.1000000000000001</v>
      </c>
      <c r="I211" t="s">
        <v>19</v>
      </c>
      <c r="J211">
        <v>1</v>
      </c>
      <c r="K211">
        <v>5</v>
      </c>
      <c r="L211">
        <v>6</v>
      </c>
      <c r="M211">
        <v>0</v>
      </c>
      <c r="N211">
        <f>_xlfn.IFS(rounded[[#This Row],[social_interaction_level]] = "low", 1,rounded[[#This Row],[social_interaction_level]] = "medium", 2,rounded[[#This Row],[social_interaction_level]] = "high", 3)</f>
        <v>2</v>
      </c>
      <c r="O211">
        <f t="shared" si="3"/>
        <v>12</v>
      </c>
      <c r="P211" t="str" cm="1">
        <f t="array" ref="P211">_xlfn.SWITCH(rounded[[#This Row],[depression_label]], 0, "Not Depressed", 1, "Depressed")</f>
        <v>Not Depressed</v>
      </c>
      <c r="Q211" s="45" t="str" cm="1">
        <f t="array" ref="Q211">_xlfn.SWITCH(rounded[[#This Row],[gender]], "male", "Male", "female", "Female")</f>
        <v>Male</v>
      </c>
    </row>
    <row r="212" spans="1:17" x14ac:dyDescent="0.35">
      <c r="A212">
        <v>18</v>
      </c>
      <c r="B212" t="s">
        <v>16</v>
      </c>
      <c r="C212" s="4">
        <v>3.7</v>
      </c>
      <c r="D212" t="s">
        <v>20</v>
      </c>
      <c r="E212" s="4">
        <v>7.9</v>
      </c>
      <c r="F212" s="4">
        <v>2.7</v>
      </c>
      <c r="G212">
        <v>3.11</v>
      </c>
      <c r="H212">
        <v>0.3</v>
      </c>
      <c r="I212" t="s">
        <v>19</v>
      </c>
      <c r="J212">
        <v>6</v>
      </c>
      <c r="K212">
        <v>6</v>
      </c>
      <c r="L212">
        <v>5</v>
      </c>
      <c r="M212">
        <v>0</v>
      </c>
      <c r="N212">
        <f>_xlfn.IFS(rounded[[#This Row],[social_interaction_level]] = "low", 1,rounded[[#This Row],[social_interaction_level]] = "medium", 2,rounded[[#This Row],[social_interaction_level]] = "high", 3)</f>
        <v>2</v>
      </c>
      <c r="O212">
        <f t="shared" si="3"/>
        <v>17</v>
      </c>
      <c r="P212" t="str" cm="1">
        <f t="array" ref="P212">_xlfn.SWITCH(rounded[[#This Row],[depression_label]], 0, "Not Depressed", 1, "Depressed")</f>
        <v>Not Depressed</v>
      </c>
      <c r="Q212" s="45" t="str" cm="1">
        <f t="array" ref="Q212">_xlfn.SWITCH(rounded[[#This Row],[gender]], "male", "Male", "female", "Female")</f>
        <v>Female</v>
      </c>
    </row>
    <row r="213" spans="1:17" x14ac:dyDescent="0.35">
      <c r="A213">
        <v>16</v>
      </c>
      <c r="B213" t="s">
        <v>13</v>
      </c>
      <c r="C213" s="4">
        <v>5.5</v>
      </c>
      <c r="D213" t="s">
        <v>14</v>
      </c>
      <c r="E213" s="4">
        <v>8.3000000000000007</v>
      </c>
      <c r="F213" s="4">
        <v>2.2999999999999998</v>
      </c>
      <c r="G213">
        <v>3.47</v>
      </c>
      <c r="H213">
        <v>1.6</v>
      </c>
      <c r="I213" t="s">
        <v>19</v>
      </c>
      <c r="J213">
        <v>4</v>
      </c>
      <c r="K213">
        <v>8</v>
      </c>
      <c r="L213">
        <v>5</v>
      </c>
      <c r="M213">
        <v>0</v>
      </c>
      <c r="N213">
        <f>_xlfn.IFS(rounded[[#This Row],[social_interaction_level]] = "low", 1,rounded[[#This Row],[social_interaction_level]] = "medium", 2,rounded[[#This Row],[social_interaction_level]] = "high", 3)</f>
        <v>2</v>
      </c>
      <c r="O213">
        <f t="shared" si="3"/>
        <v>17</v>
      </c>
      <c r="P213" t="str" cm="1">
        <f t="array" ref="P213">_xlfn.SWITCH(rounded[[#This Row],[depression_label]], 0, "Not Depressed", 1, "Depressed")</f>
        <v>Not Depressed</v>
      </c>
      <c r="Q213" s="45" t="str" cm="1">
        <f t="array" ref="Q213">_xlfn.SWITCH(rounded[[#This Row],[gender]], "male", "Male", "female", "Female")</f>
        <v>Male</v>
      </c>
    </row>
    <row r="214" spans="1:17" x14ac:dyDescent="0.35">
      <c r="A214">
        <v>16</v>
      </c>
      <c r="B214" t="s">
        <v>13</v>
      </c>
      <c r="C214" s="4">
        <v>2.5</v>
      </c>
      <c r="D214" t="s">
        <v>14</v>
      </c>
      <c r="E214" s="4">
        <v>6.8</v>
      </c>
      <c r="F214" s="4">
        <v>1</v>
      </c>
      <c r="G214">
        <v>3.77</v>
      </c>
      <c r="H214">
        <v>1</v>
      </c>
      <c r="I214" t="s">
        <v>18</v>
      </c>
      <c r="J214">
        <v>3</v>
      </c>
      <c r="K214">
        <v>9</v>
      </c>
      <c r="L214">
        <v>9</v>
      </c>
      <c r="M214">
        <v>0</v>
      </c>
      <c r="N214">
        <f>_xlfn.IFS(rounded[[#This Row],[social_interaction_level]] = "low", 1,rounded[[#This Row],[social_interaction_level]] = "medium", 2,rounded[[#This Row],[social_interaction_level]] = "high", 3)</f>
        <v>3</v>
      </c>
      <c r="O214">
        <f t="shared" si="3"/>
        <v>21</v>
      </c>
      <c r="P214" t="str" cm="1">
        <f t="array" ref="P214">_xlfn.SWITCH(rounded[[#This Row],[depression_label]], 0, "Not Depressed", 1, "Depressed")</f>
        <v>Not Depressed</v>
      </c>
      <c r="Q214" s="45" t="str" cm="1">
        <f t="array" ref="Q214">_xlfn.SWITCH(rounded[[#This Row],[gender]], "male", "Male", "female", "Female")</f>
        <v>Male</v>
      </c>
    </row>
    <row r="215" spans="1:17" x14ac:dyDescent="0.35">
      <c r="A215">
        <v>18</v>
      </c>
      <c r="B215" t="s">
        <v>16</v>
      </c>
      <c r="C215" s="4">
        <v>1.9</v>
      </c>
      <c r="D215" t="s">
        <v>17</v>
      </c>
      <c r="E215" s="4">
        <v>5.8</v>
      </c>
      <c r="F215" s="4">
        <v>1.7</v>
      </c>
      <c r="G215">
        <v>3.52</v>
      </c>
      <c r="H215">
        <v>0.2</v>
      </c>
      <c r="I215" t="s">
        <v>15</v>
      </c>
      <c r="J215">
        <v>6</v>
      </c>
      <c r="K215">
        <v>5</v>
      </c>
      <c r="L215">
        <v>1</v>
      </c>
      <c r="M215">
        <v>0</v>
      </c>
      <c r="N215">
        <f>_xlfn.IFS(rounded[[#This Row],[social_interaction_level]] = "low", 1,rounded[[#This Row],[social_interaction_level]] = "medium", 2,rounded[[#This Row],[social_interaction_level]] = "high", 3)</f>
        <v>1</v>
      </c>
      <c r="O215">
        <f t="shared" si="3"/>
        <v>12</v>
      </c>
      <c r="P215" t="str" cm="1">
        <f t="array" ref="P215">_xlfn.SWITCH(rounded[[#This Row],[depression_label]], 0, "Not Depressed", 1, "Depressed")</f>
        <v>Not Depressed</v>
      </c>
      <c r="Q215" s="45" t="str" cm="1">
        <f t="array" ref="Q215">_xlfn.SWITCH(rounded[[#This Row],[gender]], "male", "Male", "female", "Female")</f>
        <v>Female</v>
      </c>
    </row>
    <row r="216" spans="1:17" x14ac:dyDescent="0.35">
      <c r="A216">
        <v>13</v>
      </c>
      <c r="B216" t="s">
        <v>13</v>
      </c>
      <c r="C216" s="4">
        <v>5.9</v>
      </c>
      <c r="D216" t="s">
        <v>14</v>
      </c>
      <c r="E216" s="4">
        <v>7.5</v>
      </c>
      <c r="F216" s="4">
        <v>1.4</v>
      </c>
      <c r="G216">
        <v>2.58</v>
      </c>
      <c r="H216">
        <v>1.2</v>
      </c>
      <c r="I216" t="s">
        <v>15</v>
      </c>
      <c r="J216">
        <v>6</v>
      </c>
      <c r="K216">
        <v>2</v>
      </c>
      <c r="L216">
        <v>8</v>
      </c>
      <c r="M216">
        <v>0</v>
      </c>
      <c r="N216">
        <f>_xlfn.IFS(rounded[[#This Row],[social_interaction_level]] = "low", 1,rounded[[#This Row],[social_interaction_level]] = "medium", 2,rounded[[#This Row],[social_interaction_level]] = "high", 3)</f>
        <v>1</v>
      </c>
      <c r="O216">
        <f t="shared" si="3"/>
        <v>16</v>
      </c>
      <c r="P216" t="str" cm="1">
        <f t="array" ref="P216">_xlfn.SWITCH(rounded[[#This Row],[depression_label]], 0, "Not Depressed", 1, "Depressed")</f>
        <v>Not Depressed</v>
      </c>
      <c r="Q216" s="45" t="str" cm="1">
        <f t="array" ref="Q216">_xlfn.SWITCH(rounded[[#This Row],[gender]], "male", "Male", "female", "Female")</f>
        <v>Male</v>
      </c>
    </row>
    <row r="217" spans="1:17" x14ac:dyDescent="0.35">
      <c r="A217">
        <v>13</v>
      </c>
      <c r="B217" t="s">
        <v>16</v>
      </c>
      <c r="C217" s="4">
        <v>6.5</v>
      </c>
      <c r="D217" t="s">
        <v>17</v>
      </c>
      <c r="E217" s="4">
        <v>8.3000000000000007</v>
      </c>
      <c r="F217" s="4">
        <v>0.6</v>
      </c>
      <c r="G217">
        <v>3.05</v>
      </c>
      <c r="H217">
        <v>0.3</v>
      </c>
      <c r="I217" t="s">
        <v>18</v>
      </c>
      <c r="J217">
        <v>2</v>
      </c>
      <c r="K217">
        <v>7</v>
      </c>
      <c r="L217">
        <v>8</v>
      </c>
      <c r="M217">
        <v>0</v>
      </c>
      <c r="N217">
        <f>_xlfn.IFS(rounded[[#This Row],[social_interaction_level]] = "low", 1,rounded[[#This Row],[social_interaction_level]] = "medium", 2,rounded[[#This Row],[social_interaction_level]] = "high", 3)</f>
        <v>3</v>
      </c>
      <c r="O217">
        <f t="shared" si="3"/>
        <v>17</v>
      </c>
      <c r="P217" t="str" cm="1">
        <f t="array" ref="P217">_xlfn.SWITCH(rounded[[#This Row],[depression_label]], 0, "Not Depressed", 1, "Depressed")</f>
        <v>Not Depressed</v>
      </c>
      <c r="Q217" s="45" t="str" cm="1">
        <f t="array" ref="Q217">_xlfn.SWITCH(rounded[[#This Row],[gender]], "male", "Male", "female", "Female")</f>
        <v>Female</v>
      </c>
    </row>
    <row r="218" spans="1:17" x14ac:dyDescent="0.35">
      <c r="A218">
        <v>15</v>
      </c>
      <c r="B218" t="s">
        <v>13</v>
      </c>
      <c r="C218" s="4">
        <v>7.5</v>
      </c>
      <c r="D218" t="s">
        <v>14</v>
      </c>
      <c r="E218" s="4">
        <v>8.1</v>
      </c>
      <c r="F218" s="4">
        <v>2.5</v>
      </c>
      <c r="G218">
        <v>3.56</v>
      </c>
      <c r="H218">
        <v>1.2</v>
      </c>
      <c r="I218" t="s">
        <v>19</v>
      </c>
      <c r="J218">
        <v>6</v>
      </c>
      <c r="K218">
        <v>8</v>
      </c>
      <c r="L218">
        <v>10</v>
      </c>
      <c r="M218">
        <v>0</v>
      </c>
      <c r="N218">
        <f>_xlfn.IFS(rounded[[#This Row],[social_interaction_level]] = "low", 1,rounded[[#This Row],[social_interaction_level]] = "medium", 2,rounded[[#This Row],[social_interaction_level]] = "high", 3)</f>
        <v>2</v>
      </c>
      <c r="O218">
        <f t="shared" si="3"/>
        <v>24</v>
      </c>
      <c r="P218" t="str" cm="1">
        <f t="array" ref="P218">_xlfn.SWITCH(rounded[[#This Row],[depression_label]], 0, "Not Depressed", 1, "Depressed")</f>
        <v>Not Depressed</v>
      </c>
      <c r="Q218" s="45" t="str" cm="1">
        <f t="array" ref="Q218">_xlfn.SWITCH(rounded[[#This Row],[gender]], "male", "Male", "female", "Female")</f>
        <v>Male</v>
      </c>
    </row>
    <row r="219" spans="1:17" x14ac:dyDescent="0.35">
      <c r="A219">
        <v>19</v>
      </c>
      <c r="B219" t="s">
        <v>13</v>
      </c>
      <c r="C219" s="4">
        <v>4.9000000000000004</v>
      </c>
      <c r="D219" t="s">
        <v>17</v>
      </c>
      <c r="E219" s="4">
        <v>4.5</v>
      </c>
      <c r="F219" s="4">
        <v>2.9</v>
      </c>
      <c r="G219">
        <v>3.88</v>
      </c>
      <c r="H219">
        <v>0.8</v>
      </c>
      <c r="I219" t="s">
        <v>15</v>
      </c>
      <c r="J219">
        <v>5</v>
      </c>
      <c r="K219">
        <v>5</v>
      </c>
      <c r="L219">
        <v>6</v>
      </c>
      <c r="M219">
        <v>0</v>
      </c>
      <c r="N219">
        <f>_xlfn.IFS(rounded[[#This Row],[social_interaction_level]] = "low", 1,rounded[[#This Row],[social_interaction_level]] = "medium", 2,rounded[[#This Row],[social_interaction_level]] = "high", 3)</f>
        <v>1</v>
      </c>
      <c r="O219">
        <f t="shared" si="3"/>
        <v>16</v>
      </c>
      <c r="P219" t="str" cm="1">
        <f t="array" ref="P219">_xlfn.SWITCH(rounded[[#This Row],[depression_label]], 0, "Not Depressed", 1, "Depressed")</f>
        <v>Not Depressed</v>
      </c>
      <c r="Q219" s="45" t="str" cm="1">
        <f t="array" ref="Q219">_xlfn.SWITCH(rounded[[#This Row],[gender]], "male", "Male", "female", "Female")</f>
        <v>Male</v>
      </c>
    </row>
    <row r="220" spans="1:17" x14ac:dyDescent="0.35">
      <c r="A220">
        <v>13</v>
      </c>
      <c r="B220" t="s">
        <v>13</v>
      </c>
      <c r="C220" s="4">
        <v>2.2000000000000002</v>
      </c>
      <c r="D220" t="s">
        <v>17</v>
      </c>
      <c r="E220" s="4">
        <v>5.3</v>
      </c>
      <c r="F220" s="4">
        <v>1.4</v>
      </c>
      <c r="G220">
        <v>3.97</v>
      </c>
      <c r="H220">
        <v>0</v>
      </c>
      <c r="I220" t="s">
        <v>15</v>
      </c>
      <c r="J220">
        <v>1</v>
      </c>
      <c r="K220">
        <v>10</v>
      </c>
      <c r="L220">
        <v>7</v>
      </c>
      <c r="M220">
        <v>0</v>
      </c>
      <c r="N220">
        <f>_xlfn.IFS(rounded[[#This Row],[social_interaction_level]] = "low", 1,rounded[[#This Row],[social_interaction_level]] = "medium", 2,rounded[[#This Row],[social_interaction_level]] = "high", 3)</f>
        <v>1</v>
      </c>
      <c r="O220">
        <f t="shared" si="3"/>
        <v>18</v>
      </c>
      <c r="P220" t="str" cm="1">
        <f t="array" ref="P220">_xlfn.SWITCH(rounded[[#This Row],[depression_label]], 0, "Not Depressed", 1, "Depressed")</f>
        <v>Not Depressed</v>
      </c>
      <c r="Q220" s="45" t="str" cm="1">
        <f t="array" ref="Q220">_xlfn.SWITCH(rounded[[#This Row],[gender]], "male", "Male", "female", "Female")</f>
        <v>Male</v>
      </c>
    </row>
    <row r="221" spans="1:17" x14ac:dyDescent="0.35">
      <c r="A221">
        <v>14</v>
      </c>
      <c r="B221" t="s">
        <v>13</v>
      </c>
      <c r="C221" s="4">
        <v>5.8</v>
      </c>
      <c r="D221" t="s">
        <v>20</v>
      </c>
      <c r="E221" s="4">
        <v>6.9</v>
      </c>
      <c r="F221" s="4">
        <v>0.7</v>
      </c>
      <c r="G221">
        <v>3.01</v>
      </c>
      <c r="H221">
        <v>1.9</v>
      </c>
      <c r="I221" t="s">
        <v>18</v>
      </c>
      <c r="J221">
        <v>9</v>
      </c>
      <c r="K221">
        <v>9</v>
      </c>
      <c r="L221">
        <v>4</v>
      </c>
      <c r="M221">
        <v>0</v>
      </c>
      <c r="N221">
        <f>_xlfn.IFS(rounded[[#This Row],[social_interaction_level]] = "low", 1,rounded[[#This Row],[social_interaction_level]] = "medium", 2,rounded[[#This Row],[social_interaction_level]] = "high", 3)</f>
        <v>3</v>
      </c>
      <c r="O221">
        <f t="shared" si="3"/>
        <v>22</v>
      </c>
      <c r="P221" t="str" cm="1">
        <f t="array" ref="P221">_xlfn.SWITCH(rounded[[#This Row],[depression_label]], 0, "Not Depressed", 1, "Depressed")</f>
        <v>Not Depressed</v>
      </c>
      <c r="Q221" s="45" t="str" cm="1">
        <f t="array" ref="Q221">_xlfn.SWITCH(rounded[[#This Row],[gender]], "male", "Male", "female", "Female")</f>
        <v>Male</v>
      </c>
    </row>
    <row r="222" spans="1:17" x14ac:dyDescent="0.35">
      <c r="A222">
        <v>14</v>
      </c>
      <c r="B222" t="s">
        <v>13</v>
      </c>
      <c r="C222" s="4">
        <v>1.3</v>
      </c>
      <c r="D222" t="s">
        <v>14</v>
      </c>
      <c r="E222" s="4">
        <v>8.5</v>
      </c>
      <c r="F222" s="4">
        <v>0.9</v>
      </c>
      <c r="G222">
        <v>3.71</v>
      </c>
      <c r="H222">
        <v>0.7</v>
      </c>
      <c r="I222" t="s">
        <v>18</v>
      </c>
      <c r="J222">
        <v>3</v>
      </c>
      <c r="K222">
        <v>3</v>
      </c>
      <c r="L222">
        <v>6</v>
      </c>
      <c r="M222">
        <v>0</v>
      </c>
      <c r="N222">
        <f>_xlfn.IFS(rounded[[#This Row],[social_interaction_level]] = "low", 1,rounded[[#This Row],[social_interaction_level]] = "medium", 2,rounded[[#This Row],[social_interaction_level]] = "high", 3)</f>
        <v>3</v>
      </c>
      <c r="O222">
        <f t="shared" si="3"/>
        <v>12</v>
      </c>
      <c r="P222" t="str" cm="1">
        <f t="array" ref="P222">_xlfn.SWITCH(rounded[[#This Row],[depression_label]], 0, "Not Depressed", 1, "Depressed")</f>
        <v>Not Depressed</v>
      </c>
      <c r="Q222" s="45" t="str" cm="1">
        <f t="array" ref="Q222">_xlfn.SWITCH(rounded[[#This Row],[gender]], "male", "Male", "female", "Female")</f>
        <v>Male</v>
      </c>
    </row>
    <row r="223" spans="1:17" x14ac:dyDescent="0.35">
      <c r="A223">
        <v>19</v>
      </c>
      <c r="B223" t="s">
        <v>16</v>
      </c>
      <c r="C223" s="4">
        <v>2.8</v>
      </c>
      <c r="D223" t="s">
        <v>17</v>
      </c>
      <c r="E223" s="4">
        <v>4.8</v>
      </c>
      <c r="F223" s="4">
        <v>1.7</v>
      </c>
      <c r="G223">
        <v>2.8</v>
      </c>
      <c r="H223">
        <v>0.6</v>
      </c>
      <c r="I223" t="s">
        <v>15</v>
      </c>
      <c r="J223">
        <v>5</v>
      </c>
      <c r="K223">
        <v>7</v>
      </c>
      <c r="L223">
        <v>4</v>
      </c>
      <c r="M223">
        <v>0</v>
      </c>
      <c r="N223">
        <f>_xlfn.IFS(rounded[[#This Row],[social_interaction_level]] = "low", 1,rounded[[#This Row],[social_interaction_level]] = "medium", 2,rounded[[#This Row],[social_interaction_level]] = "high", 3)</f>
        <v>1</v>
      </c>
      <c r="O223">
        <f t="shared" si="3"/>
        <v>16</v>
      </c>
      <c r="P223" t="str" cm="1">
        <f t="array" ref="P223">_xlfn.SWITCH(rounded[[#This Row],[depression_label]], 0, "Not Depressed", 1, "Depressed")</f>
        <v>Not Depressed</v>
      </c>
      <c r="Q223" s="45" t="str" cm="1">
        <f t="array" ref="Q223">_xlfn.SWITCH(rounded[[#This Row],[gender]], "male", "Male", "female", "Female")</f>
        <v>Female</v>
      </c>
    </row>
    <row r="224" spans="1:17" x14ac:dyDescent="0.35">
      <c r="A224">
        <v>19</v>
      </c>
      <c r="B224" t="s">
        <v>16</v>
      </c>
      <c r="C224" s="4">
        <v>4</v>
      </c>
      <c r="D224" t="s">
        <v>17</v>
      </c>
      <c r="E224" s="4">
        <v>6.5</v>
      </c>
      <c r="F224" s="4">
        <v>2.4</v>
      </c>
      <c r="G224">
        <v>3.67</v>
      </c>
      <c r="H224">
        <v>0.6</v>
      </c>
      <c r="I224" t="s">
        <v>15</v>
      </c>
      <c r="J224">
        <v>4</v>
      </c>
      <c r="K224">
        <v>6</v>
      </c>
      <c r="L224">
        <v>4</v>
      </c>
      <c r="M224">
        <v>0</v>
      </c>
      <c r="N224">
        <f>_xlfn.IFS(rounded[[#This Row],[social_interaction_level]] = "low", 1,rounded[[#This Row],[social_interaction_level]] = "medium", 2,rounded[[#This Row],[social_interaction_level]] = "high", 3)</f>
        <v>1</v>
      </c>
      <c r="O224">
        <f t="shared" si="3"/>
        <v>14</v>
      </c>
      <c r="P224" t="str" cm="1">
        <f t="array" ref="P224">_xlfn.SWITCH(rounded[[#This Row],[depression_label]], 0, "Not Depressed", 1, "Depressed")</f>
        <v>Not Depressed</v>
      </c>
      <c r="Q224" s="45" t="str" cm="1">
        <f t="array" ref="Q224">_xlfn.SWITCH(rounded[[#This Row],[gender]], "male", "Male", "female", "Female")</f>
        <v>Female</v>
      </c>
    </row>
    <row r="225" spans="1:17" x14ac:dyDescent="0.35">
      <c r="A225">
        <v>14</v>
      </c>
      <c r="B225" t="s">
        <v>16</v>
      </c>
      <c r="C225" s="4">
        <v>1.7</v>
      </c>
      <c r="D225" t="s">
        <v>17</v>
      </c>
      <c r="E225" s="4">
        <v>4.9000000000000004</v>
      </c>
      <c r="F225" s="4">
        <v>1.6</v>
      </c>
      <c r="G225">
        <v>2.36</v>
      </c>
      <c r="H225">
        <v>1.7</v>
      </c>
      <c r="I225" t="s">
        <v>18</v>
      </c>
      <c r="J225">
        <v>3</v>
      </c>
      <c r="K225">
        <v>1</v>
      </c>
      <c r="L225">
        <v>6</v>
      </c>
      <c r="M225">
        <v>0</v>
      </c>
      <c r="N225">
        <f>_xlfn.IFS(rounded[[#This Row],[social_interaction_level]] = "low", 1,rounded[[#This Row],[social_interaction_level]] = "medium", 2,rounded[[#This Row],[social_interaction_level]] = "high", 3)</f>
        <v>3</v>
      </c>
      <c r="O225">
        <f t="shared" si="3"/>
        <v>10</v>
      </c>
      <c r="P225" t="str" cm="1">
        <f t="array" ref="P225">_xlfn.SWITCH(rounded[[#This Row],[depression_label]], 0, "Not Depressed", 1, "Depressed")</f>
        <v>Not Depressed</v>
      </c>
      <c r="Q225" s="45" t="str" cm="1">
        <f t="array" ref="Q225">_xlfn.SWITCH(rounded[[#This Row],[gender]], "male", "Male", "female", "Female")</f>
        <v>Female</v>
      </c>
    </row>
    <row r="226" spans="1:17" x14ac:dyDescent="0.35">
      <c r="A226">
        <v>18</v>
      </c>
      <c r="B226" t="s">
        <v>16</v>
      </c>
      <c r="C226" s="4">
        <v>1.4</v>
      </c>
      <c r="D226" t="s">
        <v>17</v>
      </c>
      <c r="E226" s="4">
        <v>6.1</v>
      </c>
      <c r="F226" s="4">
        <v>1.6</v>
      </c>
      <c r="G226">
        <v>2.56</v>
      </c>
      <c r="H226">
        <v>1.2</v>
      </c>
      <c r="I226" t="s">
        <v>18</v>
      </c>
      <c r="J226">
        <v>2</v>
      </c>
      <c r="K226">
        <v>7</v>
      </c>
      <c r="L226">
        <v>8</v>
      </c>
      <c r="M226">
        <v>0</v>
      </c>
      <c r="N226">
        <f>_xlfn.IFS(rounded[[#This Row],[social_interaction_level]] = "low", 1,rounded[[#This Row],[social_interaction_level]] = "medium", 2,rounded[[#This Row],[social_interaction_level]] = "high", 3)</f>
        <v>3</v>
      </c>
      <c r="O226">
        <f t="shared" si="3"/>
        <v>17</v>
      </c>
      <c r="P226" t="str" cm="1">
        <f t="array" ref="P226">_xlfn.SWITCH(rounded[[#This Row],[depression_label]], 0, "Not Depressed", 1, "Depressed")</f>
        <v>Not Depressed</v>
      </c>
      <c r="Q226" s="45" t="str" cm="1">
        <f t="array" ref="Q226">_xlfn.SWITCH(rounded[[#This Row],[gender]], "male", "Male", "female", "Female")</f>
        <v>Female</v>
      </c>
    </row>
    <row r="227" spans="1:17" x14ac:dyDescent="0.35">
      <c r="A227">
        <v>19</v>
      </c>
      <c r="B227" t="s">
        <v>13</v>
      </c>
      <c r="C227" s="4">
        <v>2.2999999999999998</v>
      </c>
      <c r="D227" t="s">
        <v>17</v>
      </c>
      <c r="E227" s="4">
        <v>6.5</v>
      </c>
      <c r="F227" s="4">
        <v>3</v>
      </c>
      <c r="G227">
        <v>3.5</v>
      </c>
      <c r="H227">
        <v>0.1</v>
      </c>
      <c r="I227" t="s">
        <v>18</v>
      </c>
      <c r="J227">
        <v>9</v>
      </c>
      <c r="K227">
        <v>10</v>
      </c>
      <c r="L227">
        <v>8</v>
      </c>
      <c r="M227">
        <v>0</v>
      </c>
      <c r="N227">
        <f>_xlfn.IFS(rounded[[#This Row],[social_interaction_level]] = "low", 1,rounded[[#This Row],[social_interaction_level]] = "medium", 2,rounded[[#This Row],[social_interaction_level]] = "high", 3)</f>
        <v>3</v>
      </c>
      <c r="O227">
        <f t="shared" si="3"/>
        <v>27</v>
      </c>
      <c r="P227" t="str" cm="1">
        <f t="array" ref="P227">_xlfn.SWITCH(rounded[[#This Row],[depression_label]], 0, "Not Depressed", 1, "Depressed")</f>
        <v>Not Depressed</v>
      </c>
      <c r="Q227" s="45" t="str" cm="1">
        <f t="array" ref="Q227">_xlfn.SWITCH(rounded[[#This Row],[gender]], "male", "Male", "female", "Female")</f>
        <v>Male</v>
      </c>
    </row>
    <row r="228" spans="1:17" x14ac:dyDescent="0.35">
      <c r="A228">
        <v>14</v>
      </c>
      <c r="B228" t="s">
        <v>13</v>
      </c>
      <c r="C228" s="4">
        <v>3.8</v>
      </c>
      <c r="D228" t="s">
        <v>14</v>
      </c>
      <c r="E228" s="4">
        <v>5.3</v>
      </c>
      <c r="F228" s="4">
        <v>1</v>
      </c>
      <c r="G228">
        <v>2.2799999999999998</v>
      </c>
      <c r="H228">
        <v>1.2</v>
      </c>
      <c r="I228" t="s">
        <v>15</v>
      </c>
      <c r="J228">
        <v>9</v>
      </c>
      <c r="K228">
        <v>3</v>
      </c>
      <c r="L228">
        <v>1</v>
      </c>
      <c r="M228">
        <v>0</v>
      </c>
      <c r="N228">
        <f>_xlfn.IFS(rounded[[#This Row],[social_interaction_level]] = "low", 1,rounded[[#This Row],[social_interaction_level]] = "medium", 2,rounded[[#This Row],[social_interaction_level]] = "high", 3)</f>
        <v>1</v>
      </c>
      <c r="O228">
        <f t="shared" si="3"/>
        <v>13</v>
      </c>
      <c r="P228" t="str" cm="1">
        <f t="array" ref="P228">_xlfn.SWITCH(rounded[[#This Row],[depression_label]], 0, "Not Depressed", 1, "Depressed")</f>
        <v>Not Depressed</v>
      </c>
      <c r="Q228" s="45" t="str" cm="1">
        <f t="array" ref="Q228">_xlfn.SWITCH(rounded[[#This Row],[gender]], "male", "Male", "female", "Female")</f>
        <v>Male</v>
      </c>
    </row>
    <row r="229" spans="1:17" x14ac:dyDescent="0.35">
      <c r="A229">
        <v>13</v>
      </c>
      <c r="B229" t="s">
        <v>13</v>
      </c>
      <c r="C229" s="4">
        <v>6.4</v>
      </c>
      <c r="D229" t="s">
        <v>17</v>
      </c>
      <c r="E229" s="4">
        <v>5.0999999999999996</v>
      </c>
      <c r="F229" s="4">
        <v>2.5</v>
      </c>
      <c r="G229">
        <v>2.62</v>
      </c>
      <c r="H229">
        <v>1.3</v>
      </c>
      <c r="I229" t="s">
        <v>15</v>
      </c>
      <c r="J229">
        <v>5</v>
      </c>
      <c r="K229">
        <v>4</v>
      </c>
      <c r="L229">
        <v>7</v>
      </c>
      <c r="M229">
        <v>0</v>
      </c>
      <c r="N229">
        <f>_xlfn.IFS(rounded[[#This Row],[social_interaction_level]] = "low", 1,rounded[[#This Row],[social_interaction_level]] = "medium", 2,rounded[[#This Row],[social_interaction_level]] = "high", 3)</f>
        <v>1</v>
      </c>
      <c r="O229">
        <f t="shared" si="3"/>
        <v>16</v>
      </c>
      <c r="P229" t="str" cm="1">
        <f t="array" ref="P229">_xlfn.SWITCH(rounded[[#This Row],[depression_label]], 0, "Not Depressed", 1, "Depressed")</f>
        <v>Not Depressed</v>
      </c>
      <c r="Q229" s="45" t="str" cm="1">
        <f t="array" ref="Q229">_xlfn.SWITCH(rounded[[#This Row],[gender]], "male", "Male", "female", "Female")</f>
        <v>Male</v>
      </c>
    </row>
    <row r="230" spans="1:17" x14ac:dyDescent="0.35">
      <c r="A230">
        <v>19</v>
      </c>
      <c r="B230" t="s">
        <v>13</v>
      </c>
      <c r="C230" s="4">
        <v>6</v>
      </c>
      <c r="D230" t="s">
        <v>20</v>
      </c>
      <c r="E230" s="4">
        <v>7.1</v>
      </c>
      <c r="F230" s="4">
        <v>0.9</v>
      </c>
      <c r="G230">
        <v>2.98</v>
      </c>
      <c r="H230">
        <v>0.1</v>
      </c>
      <c r="I230" t="s">
        <v>15</v>
      </c>
      <c r="J230">
        <v>1</v>
      </c>
      <c r="K230">
        <v>6</v>
      </c>
      <c r="L230">
        <v>5</v>
      </c>
      <c r="M230">
        <v>0</v>
      </c>
      <c r="N230">
        <f>_xlfn.IFS(rounded[[#This Row],[social_interaction_level]] = "low", 1,rounded[[#This Row],[social_interaction_level]] = "medium", 2,rounded[[#This Row],[social_interaction_level]] = "high", 3)</f>
        <v>1</v>
      </c>
      <c r="O230">
        <f t="shared" si="3"/>
        <v>12</v>
      </c>
      <c r="P230" t="str" cm="1">
        <f t="array" ref="P230">_xlfn.SWITCH(rounded[[#This Row],[depression_label]], 0, "Not Depressed", 1, "Depressed")</f>
        <v>Not Depressed</v>
      </c>
      <c r="Q230" s="45" t="str" cm="1">
        <f t="array" ref="Q230">_xlfn.SWITCH(rounded[[#This Row],[gender]], "male", "Male", "female", "Female")</f>
        <v>Male</v>
      </c>
    </row>
    <row r="231" spans="1:17" x14ac:dyDescent="0.35">
      <c r="A231">
        <v>16</v>
      </c>
      <c r="B231" t="s">
        <v>13</v>
      </c>
      <c r="C231" s="4">
        <v>1.9</v>
      </c>
      <c r="D231" t="s">
        <v>14</v>
      </c>
      <c r="E231" s="4">
        <v>7.8</v>
      </c>
      <c r="F231" s="4">
        <v>2.1</v>
      </c>
      <c r="G231">
        <v>2.2599999999999998</v>
      </c>
      <c r="H231">
        <v>0.3</v>
      </c>
      <c r="I231" t="s">
        <v>18</v>
      </c>
      <c r="J231">
        <v>7</v>
      </c>
      <c r="K231">
        <v>7</v>
      </c>
      <c r="L231">
        <v>5</v>
      </c>
      <c r="M231">
        <v>0</v>
      </c>
      <c r="N231">
        <f>_xlfn.IFS(rounded[[#This Row],[social_interaction_level]] = "low", 1,rounded[[#This Row],[social_interaction_level]] = "medium", 2,rounded[[#This Row],[social_interaction_level]] = "high", 3)</f>
        <v>3</v>
      </c>
      <c r="O231">
        <f t="shared" si="3"/>
        <v>19</v>
      </c>
      <c r="P231" t="str" cm="1">
        <f t="array" ref="P231">_xlfn.SWITCH(rounded[[#This Row],[depression_label]], 0, "Not Depressed", 1, "Depressed")</f>
        <v>Not Depressed</v>
      </c>
      <c r="Q231" s="45" t="str" cm="1">
        <f t="array" ref="Q231">_xlfn.SWITCH(rounded[[#This Row],[gender]], "male", "Male", "female", "Female")</f>
        <v>Male</v>
      </c>
    </row>
    <row r="232" spans="1:17" x14ac:dyDescent="0.35">
      <c r="A232">
        <v>17</v>
      </c>
      <c r="B232" t="s">
        <v>13</v>
      </c>
      <c r="C232" s="4">
        <v>2.4</v>
      </c>
      <c r="D232" t="s">
        <v>17</v>
      </c>
      <c r="E232" s="4">
        <v>8.5</v>
      </c>
      <c r="F232" s="4">
        <v>2.4</v>
      </c>
      <c r="G232">
        <v>2.79</v>
      </c>
      <c r="H232">
        <v>1.1000000000000001</v>
      </c>
      <c r="I232" t="s">
        <v>15</v>
      </c>
      <c r="J232">
        <v>1</v>
      </c>
      <c r="K232">
        <v>6</v>
      </c>
      <c r="L232">
        <v>7</v>
      </c>
      <c r="M232">
        <v>0</v>
      </c>
      <c r="N232">
        <f>_xlfn.IFS(rounded[[#This Row],[social_interaction_level]] = "low", 1,rounded[[#This Row],[social_interaction_level]] = "medium", 2,rounded[[#This Row],[social_interaction_level]] = "high", 3)</f>
        <v>1</v>
      </c>
      <c r="O232">
        <f t="shared" si="3"/>
        <v>14</v>
      </c>
      <c r="P232" t="str" cm="1">
        <f t="array" ref="P232">_xlfn.SWITCH(rounded[[#This Row],[depression_label]], 0, "Not Depressed", 1, "Depressed")</f>
        <v>Not Depressed</v>
      </c>
      <c r="Q232" s="45" t="str" cm="1">
        <f t="array" ref="Q232">_xlfn.SWITCH(rounded[[#This Row],[gender]], "male", "Male", "female", "Female")</f>
        <v>Male</v>
      </c>
    </row>
    <row r="233" spans="1:17" x14ac:dyDescent="0.35">
      <c r="A233">
        <v>14</v>
      </c>
      <c r="B233" t="s">
        <v>16</v>
      </c>
      <c r="C233" s="4">
        <v>2.7</v>
      </c>
      <c r="D233" t="s">
        <v>14</v>
      </c>
      <c r="E233" s="4">
        <v>5.0999999999999996</v>
      </c>
      <c r="F233" s="4">
        <v>2.4</v>
      </c>
      <c r="G233">
        <v>2.17</v>
      </c>
      <c r="H233">
        <v>1.8</v>
      </c>
      <c r="I233" t="s">
        <v>18</v>
      </c>
      <c r="J233">
        <v>3</v>
      </c>
      <c r="K233">
        <v>10</v>
      </c>
      <c r="L233">
        <v>8</v>
      </c>
      <c r="M233">
        <v>0</v>
      </c>
      <c r="N233">
        <f>_xlfn.IFS(rounded[[#This Row],[social_interaction_level]] = "low", 1,rounded[[#This Row],[social_interaction_level]] = "medium", 2,rounded[[#This Row],[social_interaction_level]] = "high", 3)</f>
        <v>3</v>
      </c>
      <c r="O233">
        <f t="shared" si="3"/>
        <v>21</v>
      </c>
      <c r="P233" t="str" cm="1">
        <f t="array" ref="P233">_xlfn.SWITCH(rounded[[#This Row],[depression_label]], 0, "Not Depressed", 1, "Depressed")</f>
        <v>Not Depressed</v>
      </c>
      <c r="Q233" s="45" t="str" cm="1">
        <f t="array" ref="Q233">_xlfn.SWITCH(rounded[[#This Row],[gender]], "male", "Male", "female", "Female")</f>
        <v>Female</v>
      </c>
    </row>
    <row r="234" spans="1:17" x14ac:dyDescent="0.35">
      <c r="A234">
        <v>14</v>
      </c>
      <c r="B234" t="s">
        <v>13</v>
      </c>
      <c r="C234" s="4">
        <v>1.5</v>
      </c>
      <c r="D234" t="s">
        <v>20</v>
      </c>
      <c r="E234" s="4">
        <v>7.2</v>
      </c>
      <c r="F234" s="4">
        <v>1.7</v>
      </c>
      <c r="G234">
        <v>2.76</v>
      </c>
      <c r="H234">
        <v>0</v>
      </c>
      <c r="I234" t="s">
        <v>15</v>
      </c>
      <c r="J234">
        <v>10</v>
      </c>
      <c r="K234">
        <v>7</v>
      </c>
      <c r="L234">
        <v>10</v>
      </c>
      <c r="M234">
        <v>0</v>
      </c>
      <c r="N234">
        <f>_xlfn.IFS(rounded[[#This Row],[social_interaction_level]] = "low", 1,rounded[[#This Row],[social_interaction_level]] = "medium", 2,rounded[[#This Row],[social_interaction_level]] = "high", 3)</f>
        <v>1</v>
      </c>
      <c r="O234">
        <f t="shared" si="3"/>
        <v>27</v>
      </c>
      <c r="P234" t="str" cm="1">
        <f t="array" ref="P234">_xlfn.SWITCH(rounded[[#This Row],[depression_label]], 0, "Not Depressed", 1, "Depressed")</f>
        <v>Not Depressed</v>
      </c>
      <c r="Q234" s="45" t="str" cm="1">
        <f t="array" ref="Q234">_xlfn.SWITCH(rounded[[#This Row],[gender]], "male", "Male", "female", "Female")</f>
        <v>Male</v>
      </c>
    </row>
    <row r="235" spans="1:17" x14ac:dyDescent="0.35">
      <c r="A235">
        <v>18</v>
      </c>
      <c r="B235" t="s">
        <v>13</v>
      </c>
      <c r="C235" s="4">
        <v>7.7</v>
      </c>
      <c r="D235" t="s">
        <v>14</v>
      </c>
      <c r="E235" s="4">
        <v>7.3</v>
      </c>
      <c r="F235" s="4">
        <v>1.8</v>
      </c>
      <c r="G235">
        <v>3.13</v>
      </c>
      <c r="H235">
        <v>2</v>
      </c>
      <c r="I235" t="s">
        <v>19</v>
      </c>
      <c r="J235">
        <v>7</v>
      </c>
      <c r="K235">
        <v>9</v>
      </c>
      <c r="L235">
        <v>7</v>
      </c>
      <c r="M235">
        <v>0</v>
      </c>
      <c r="N235">
        <f>_xlfn.IFS(rounded[[#This Row],[social_interaction_level]] = "low", 1,rounded[[#This Row],[social_interaction_level]] = "medium", 2,rounded[[#This Row],[social_interaction_level]] = "high", 3)</f>
        <v>2</v>
      </c>
      <c r="O235">
        <f t="shared" si="3"/>
        <v>23</v>
      </c>
      <c r="P235" t="str" cm="1">
        <f t="array" ref="P235">_xlfn.SWITCH(rounded[[#This Row],[depression_label]], 0, "Not Depressed", 1, "Depressed")</f>
        <v>Not Depressed</v>
      </c>
      <c r="Q235" s="45" t="str" cm="1">
        <f t="array" ref="Q235">_xlfn.SWITCH(rounded[[#This Row],[gender]], "male", "Male", "female", "Female")</f>
        <v>Male</v>
      </c>
    </row>
    <row r="236" spans="1:17" x14ac:dyDescent="0.35">
      <c r="A236">
        <v>13</v>
      </c>
      <c r="B236" t="s">
        <v>13</v>
      </c>
      <c r="C236" s="4">
        <v>2.9</v>
      </c>
      <c r="D236" t="s">
        <v>17</v>
      </c>
      <c r="E236" s="4">
        <v>5.0999999999999996</v>
      </c>
      <c r="F236" s="4">
        <v>2.2000000000000002</v>
      </c>
      <c r="G236">
        <v>3.81</v>
      </c>
      <c r="H236">
        <v>0.7</v>
      </c>
      <c r="I236" t="s">
        <v>15</v>
      </c>
      <c r="J236">
        <v>6</v>
      </c>
      <c r="K236">
        <v>6</v>
      </c>
      <c r="L236">
        <v>10</v>
      </c>
      <c r="M236">
        <v>0</v>
      </c>
      <c r="N236">
        <f>_xlfn.IFS(rounded[[#This Row],[social_interaction_level]] = "low", 1,rounded[[#This Row],[social_interaction_level]] = "medium", 2,rounded[[#This Row],[social_interaction_level]] = "high", 3)</f>
        <v>1</v>
      </c>
      <c r="O236">
        <f t="shared" si="3"/>
        <v>22</v>
      </c>
      <c r="P236" t="str" cm="1">
        <f t="array" ref="P236">_xlfn.SWITCH(rounded[[#This Row],[depression_label]], 0, "Not Depressed", 1, "Depressed")</f>
        <v>Not Depressed</v>
      </c>
      <c r="Q236" s="45" t="str" cm="1">
        <f t="array" ref="Q236">_xlfn.SWITCH(rounded[[#This Row],[gender]], "male", "Male", "female", "Female")</f>
        <v>Male</v>
      </c>
    </row>
    <row r="237" spans="1:17" x14ac:dyDescent="0.35">
      <c r="A237">
        <v>16</v>
      </c>
      <c r="B237" t="s">
        <v>13</v>
      </c>
      <c r="C237" s="4">
        <v>7.6</v>
      </c>
      <c r="D237" t="s">
        <v>17</v>
      </c>
      <c r="E237" s="4">
        <v>4.3</v>
      </c>
      <c r="F237" s="4">
        <v>2.7</v>
      </c>
      <c r="G237">
        <v>2.5099999999999998</v>
      </c>
      <c r="H237">
        <v>0.3</v>
      </c>
      <c r="I237" t="s">
        <v>19</v>
      </c>
      <c r="J237">
        <v>3</v>
      </c>
      <c r="K237">
        <v>9</v>
      </c>
      <c r="L237">
        <v>10</v>
      </c>
      <c r="M237">
        <v>0</v>
      </c>
      <c r="N237">
        <f>_xlfn.IFS(rounded[[#This Row],[social_interaction_level]] = "low", 1,rounded[[#This Row],[social_interaction_level]] = "medium", 2,rounded[[#This Row],[social_interaction_level]] = "high", 3)</f>
        <v>2</v>
      </c>
      <c r="O237">
        <f t="shared" si="3"/>
        <v>22</v>
      </c>
      <c r="P237" t="str" cm="1">
        <f t="array" ref="P237">_xlfn.SWITCH(rounded[[#This Row],[depression_label]], 0, "Not Depressed", 1, "Depressed")</f>
        <v>Not Depressed</v>
      </c>
      <c r="Q237" s="45" t="str" cm="1">
        <f t="array" ref="Q237">_xlfn.SWITCH(rounded[[#This Row],[gender]], "male", "Male", "female", "Female")</f>
        <v>Male</v>
      </c>
    </row>
    <row r="238" spans="1:17" x14ac:dyDescent="0.35">
      <c r="A238">
        <v>18</v>
      </c>
      <c r="B238" t="s">
        <v>13</v>
      </c>
      <c r="C238" s="4">
        <v>5.7</v>
      </c>
      <c r="D238" t="s">
        <v>20</v>
      </c>
      <c r="E238" s="4">
        <v>8.4</v>
      </c>
      <c r="F238" s="4">
        <v>2.4</v>
      </c>
      <c r="G238">
        <v>2.84</v>
      </c>
      <c r="H238">
        <v>0.7</v>
      </c>
      <c r="I238" t="s">
        <v>15</v>
      </c>
      <c r="J238">
        <v>5</v>
      </c>
      <c r="K238">
        <v>4</v>
      </c>
      <c r="L238">
        <v>9</v>
      </c>
      <c r="M238">
        <v>0</v>
      </c>
      <c r="N238">
        <f>_xlfn.IFS(rounded[[#This Row],[social_interaction_level]] = "low", 1,rounded[[#This Row],[social_interaction_level]] = "medium", 2,rounded[[#This Row],[social_interaction_level]] = "high", 3)</f>
        <v>1</v>
      </c>
      <c r="O238">
        <f t="shared" si="3"/>
        <v>18</v>
      </c>
      <c r="P238" t="str" cm="1">
        <f t="array" ref="P238">_xlfn.SWITCH(rounded[[#This Row],[depression_label]], 0, "Not Depressed", 1, "Depressed")</f>
        <v>Not Depressed</v>
      </c>
      <c r="Q238" s="45" t="str" cm="1">
        <f t="array" ref="Q238">_xlfn.SWITCH(rounded[[#This Row],[gender]], "male", "Male", "female", "Female")</f>
        <v>Male</v>
      </c>
    </row>
    <row r="239" spans="1:17" x14ac:dyDescent="0.35">
      <c r="A239">
        <v>19</v>
      </c>
      <c r="B239" t="s">
        <v>13</v>
      </c>
      <c r="C239" s="4">
        <v>1.2</v>
      </c>
      <c r="D239" t="s">
        <v>17</v>
      </c>
      <c r="E239" s="4">
        <v>5</v>
      </c>
      <c r="F239" s="4">
        <v>1.5</v>
      </c>
      <c r="G239">
        <v>2.09</v>
      </c>
      <c r="H239">
        <v>0.6</v>
      </c>
      <c r="I239" t="s">
        <v>19</v>
      </c>
      <c r="J239">
        <v>5</v>
      </c>
      <c r="K239">
        <v>2</v>
      </c>
      <c r="L239">
        <v>1</v>
      </c>
      <c r="M239">
        <v>0</v>
      </c>
      <c r="N239">
        <f>_xlfn.IFS(rounded[[#This Row],[social_interaction_level]] = "low", 1,rounded[[#This Row],[social_interaction_level]] = "medium", 2,rounded[[#This Row],[social_interaction_level]] = "high", 3)</f>
        <v>2</v>
      </c>
      <c r="O239">
        <f t="shared" si="3"/>
        <v>8</v>
      </c>
      <c r="P239" t="str" cm="1">
        <f t="array" ref="P239">_xlfn.SWITCH(rounded[[#This Row],[depression_label]], 0, "Not Depressed", 1, "Depressed")</f>
        <v>Not Depressed</v>
      </c>
      <c r="Q239" s="45" t="str" cm="1">
        <f t="array" ref="Q239">_xlfn.SWITCH(rounded[[#This Row],[gender]], "male", "Male", "female", "Female")</f>
        <v>Male</v>
      </c>
    </row>
    <row r="240" spans="1:17" x14ac:dyDescent="0.35">
      <c r="A240">
        <v>16</v>
      </c>
      <c r="B240" t="s">
        <v>16</v>
      </c>
      <c r="C240" s="4">
        <v>2.4</v>
      </c>
      <c r="D240" t="s">
        <v>20</v>
      </c>
      <c r="E240" s="4">
        <v>6.2</v>
      </c>
      <c r="F240" s="4">
        <v>1.6</v>
      </c>
      <c r="G240">
        <v>2.38</v>
      </c>
      <c r="H240">
        <v>0</v>
      </c>
      <c r="I240" t="s">
        <v>19</v>
      </c>
      <c r="J240">
        <v>8</v>
      </c>
      <c r="K240">
        <v>4</v>
      </c>
      <c r="L240">
        <v>10</v>
      </c>
      <c r="M240">
        <v>0</v>
      </c>
      <c r="N240">
        <f>_xlfn.IFS(rounded[[#This Row],[social_interaction_level]] = "low", 1,rounded[[#This Row],[social_interaction_level]] = "medium", 2,rounded[[#This Row],[social_interaction_level]] = "high", 3)</f>
        <v>2</v>
      </c>
      <c r="O240">
        <f t="shared" si="3"/>
        <v>22</v>
      </c>
      <c r="P240" t="str" cm="1">
        <f t="array" ref="P240">_xlfn.SWITCH(rounded[[#This Row],[depression_label]], 0, "Not Depressed", 1, "Depressed")</f>
        <v>Not Depressed</v>
      </c>
      <c r="Q240" s="45" t="str" cm="1">
        <f t="array" ref="Q240">_xlfn.SWITCH(rounded[[#This Row],[gender]], "male", "Male", "female", "Female")</f>
        <v>Female</v>
      </c>
    </row>
    <row r="241" spans="1:17" x14ac:dyDescent="0.35">
      <c r="A241">
        <v>17</v>
      </c>
      <c r="B241" t="s">
        <v>16</v>
      </c>
      <c r="C241" s="4">
        <v>6.2</v>
      </c>
      <c r="D241" t="s">
        <v>20</v>
      </c>
      <c r="E241" s="4">
        <v>5.0999999999999996</v>
      </c>
      <c r="F241" s="4">
        <v>2</v>
      </c>
      <c r="G241">
        <v>3.82</v>
      </c>
      <c r="H241">
        <v>1.7</v>
      </c>
      <c r="I241" t="s">
        <v>19</v>
      </c>
      <c r="J241">
        <v>7</v>
      </c>
      <c r="K241">
        <v>3</v>
      </c>
      <c r="L241">
        <v>5</v>
      </c>
      <c r="M241">
        <v>0</v>
      </c>
      <c r="N241">
        <f>_xlfn.IFS(rounded[[#This Row],[social_interaction_level]] = "low", 1,rounded[[#This Row],[social_interaction_level]] = "medium", 2,rounded[[#This Row],[social_interaction_level]] = "high", 3)</f>
        <v>2</v>
      </c>
      <c r="O241">
        <f t="shared" si="3"/>
        <v>15</v>
      </c>
      <c r="P241" t="str" cm="1">
        <f t="array" ref="P241">_xlfn.SWITCH(rounded[[#This Row],[depression_label]], 0, "Not Depressed", 1, "Depressed")</f>
        <v>Not Depressed</v>
      </c>
      <c r="Q241" s="45" t="str" cm="1">
        <f t="array" ref="Q241">_xlfn.SWITCH(rounded[[#This Row],[gender]], "male", "Male", "female", "Female")</f>
        <v>Female</v>
      </c>
    </row>
    <row r="242" spans="1:17" x14ac:dyDescent="0.35">
      <c r="A242">
        <v>14</v>
      </c>
      <c r="B242" t="s">
        <v>16</v>
      </c>
      <c r="C242" s="4">
        <v>4.7</v>
      </c>
      <c r="D242" t="s">
        <v>14</v>
      </c>
      <c r="E242" s="4">
        <v>5.0999999999999996</v>
      </c>
      <c r="F242" s="4">
        <v>2.2000000000000002</v>
      </c>
      <c r="G242">
        <v>2.0299999999999998</v>
      </c>
      <c r="H242">
        <v>1.1000000000000001</v>
      </c>
      <c r="I242" t="s">
        <v>19</v>
      </c>
      <c r="J242">
        <v>2</v>
      </c>
      <c r="K242">
        <v>10</v>
      </c>
      <c r="L242">
        <v>7</v>
      </c>
      <c r="M242">
        <v>0</v>
      </c>
      <c r="N242">
        <f>_xlfn.IFS(rounded[[#This Row],[social_interaction_level]] = "low", 1,rounded[[#This Row],[social_interaction_level]] = "medium", 2,rounded[[#This Row],[social_interaction_level]] = "high", 3)</f>
        <v>2</v>
      </c>
      <c r="O242">
        <f t="shared" si="3"/>
        <v>19</v>
      </c>
      <c r="P242" t="str" cm="1">
        <f t="array" ref="P242">_xlfn.SWITCH(rounded[[#This Row],[depression_label]], 0, "Not Depressed", 1, "Depressed")</f>
        <v>Not Depressed</v>
      </c>
      <c r="Q242" s="45" t="str" cm="1">
        <f t="array" ref="Q242">_xlfn.SWITCH(rounded[[#This Row],[gender]], "male", "Male", "female", "Female")</f>
        <v>Female</v>
      </c>
    </row>
    <row r="243" spans="1:17" x14ac:dyDescent="0.35">
      <c r="A243">
        <v>19</v>
      </c>
      <c r="B243" t="s">
        <v>13</v>
      </c>
      <c r="C243" s="4">
        <v>5.3</v>
      </c>
      <c r="D243" t="s">
        <v>14</v>
      </c>
      <c r="E243" s="4">
        <v>6.7</v>
      </c>
      <c r="F243" s="4">
        <v>0.7</v>
      </c>
      <c r="G243">
        <v>3.59</v>
      </c>
      <c r="H243">
        <v>1.8</v>
      </c>
      <c r="I243" t="s">
        <v>18</v>
      </c>
      <c r="J243">
        <v>4</v>
      </c>
      <c r="K243">
        <v>8</v>
      </c>
      <c r="L243">
        <v>8</v>
      </c>
      <c r="M243">
        <v>0</v>
      </c>
      <c r="N243">
        <f>_xlfn.IFS(rounded[[#This Row],[social_interaction_level]] = "low", 1,rounded[[#This Row],[social_interaction_level]] = "medium", 2,rounded[[#This Row],[social_interaction_level]] = "high", 3)</f>
        <v>3</v>
      </c>
      <c r="O243">
        <f t="shared" si="3"/>
        <v>20</v>
      </c>
      <c r="P243" t="str" cm="1">
        <f t="array" ref="P243">_xlfn.SWITCH(rounded[[#This Row],[depression_label]], 0, "Not Depressed", 1, "Depressed")</f>
        <v>Not Depressed</v>
      </c>
      <c r="Q243" s="45" t="str" cm="1">
        <f t="array" ref="Q243">_xlfn.SWITCH(rounded[[#This Row],[gender]], "male", "Male", "female", "Female")</f>
        <v>Male</v>
      </c>
    </row>
    <row r="244" spans="1:17" x14ac:dyDescent="0.35">
      <c r="A244">
        <v>19</v>
      </c>
      <c r="B244" t="s">
        <v>16</v>
      </c>
      <c r="C244" s="4">
        <v>6</v>
      </c>
      <c r="D244" t="s">
        <v>17</v>
      </c>
      <c r="E244" s="4">
        <v>6</v>
      </c>
      <c r="F244" s="4">
        <v>0.7</v>
      </c>
      <c r="G244">
        <v>3.29</v>
      </c>
      <c r="H244">
        <v>1.4</v>
      </c>
      <c r="I244" t="s">
        <v>15</v>
      </c>
      <c r="J244">
        <v>4</v>
      </c>
      <c r="K244">
        <v>5</v>
      </c>
      <c r="L244">
        <v>1</v>
      </c>
      <c r="M244">
        <v>0</v>
      </c>
      <c r="N244">
        <f>_xlfn.IFS(rounded[[#This Row],[social_interaction_level]] = "low", 1,rounded[[#This Row],[social_interaction_level]] = "medium", 2,rounded[[#This Row],[social_interaction_level]] = "high", 3)</f>
        <v>1</v>
      </c>
      <c r="O244">
        <f t="shared" si="3"/>
        <v>10</v>
      </c>
      <c r="P244" t="str" cm="1">
        <f t="array" ref="P244">_xlfn.SWITCH(rounded[[#This Row],[depression_label]], 0, "Not Depressed", 1, "Depressed")</f>
        <v>Not Depressed</v>
      </c>
      <c r="Q244" s="45" t="str" cm="1">
        <f t="array" ref="Q244">_xlfn.SWITCH(rounded[[#This Row],[gender]], "male", "Male", "female", "Female")</f>
        <v>Female</v>
      </c>
    </row>
    <row r="245" spans="1:17" x14ac:dyDescent="0.35">
      <c r="A245">
        <v>16</v>
      </c>
      <c r="B245" t="s">
        <v>16</v>
      </c>
      <c r="C245" s="4">
        <v>7.8</v>
      </c>
      <c r="D245" t="s">
        <v>17</v>
      </c>
      <c r="E245" s="4">
        <v>4.7</v>
      </c>
      <c r="F245" s="4">
        <v>2.1</v>
      </c>
      <c r="G245">
        <v>2.48</v>
      </c>
      <c r="H245">
        <v>2</v>
      </c>
      <c r="I245" t="s">
        <v>15</v>
      </c>
      <c r="J245">
        <v>8</v>
      </c>
      <c r="K245">
        <v>3</v>
      </c>
      <c r="L245">
        <v>1</v>
      </c>
      <c r="M245">
        <v>0</v>
      </c>
      <c r="N245">
        <f>_xlfn.IFS(rounded[[#This Row],[social_interaction_level]] = "low", 1,rounded[[#This Row],[social_interaction_level]] = "medium", 2,rounded[[#This Row],[social_interaction_level]] = "high", 3)</f>
        <v>1</v>
      </c>
      <c r="O245">
        <f t="shared" si="3"/>
        <v>12</v>
      </c>
      <c r="P245" t="str" cm="1">
        <f t="array" ref="P245">_xlfn.SWITCH(rounded[[#This Row],[depression_label]], 0, "Not Depressed", 1, "Depressed")</f>
        <v>Not Depressed</v>
      </c>
      <c r="Q245" s="45" t="str" cm="1">
        <f t="array" ref="Q245">_xlfn.SWITCH(rounded[[#This Row],[gender]], "male", "Male", "female", "Female")</f>
        <v>Female</v>
      </c>
    </row>
    <row r="246" spans="1:17" x14ac:dyDescent="0.35">
      <c r="A246">
        <v>14</v>
      </c>
      <c r="B246" t="s">
        <v>16</v>
      </c>
      <c r="C246" s="4">
        <v>4.4000000000000004</v>
      </c>
      <c r="D246" t="s">
        <v>20</v>
      </c>
      <c r="E246" s="4">
        <v>4.2</v>
      </c>
      <c r="F246" s="4">
        <v>2.6</v>
      </c>
      <c r="G246">
        <v>2.2799999999999998</v>
      </c>
      <c r="H246">
        <v>1.3</v>
      </c>
      <c r="I246" t="s">
        <v>19</v>
      </c>
      <c r="J246">
        <v>8</v>
      </c>
      <c r="K246">
        <v>10</v>
      </c>
      <c r="L246">
        <v>4</v>
      </c>
      <c r="M246">
        <v>0</v>
      </c>
      <c r="N246">
        <f>_xlfn.IFS(rounded[[#This Row],[social_interaction_level]] = "low", 1,rounded[[#This Row],[social_interaction_level]] = "medium", 2,rounded[[#This Row],[social_interaction_level]] = "high", 3)</f>
        <v>2</v>
      </c>
      <c r="O246">
        <f t="shared" si="3"/>
        <v>22</v>
      </c>
      <c r="P246" t="str" cm="1">
        <f t="array" ref="P246">_xlfn.SWITCH(rounded[[#This Row],[depression_label]], 0, "Not Depressed", 1, "Depressed")</f>
        <v>Not Depressed</v>
      </c>
      <c r="Q246" s="45" t="str" cm="1">
        <f t="array" ref="Q246">_xlfn.SWITCH(rounded[[#This Row],[gender]], "male", "Male", "female", "Female")</f>
        <v>Female</v>
      </c>
    </row>
    <row r="247" spans="1:17" x14ac:dyDescent="0.35">
      <c r="A247">
        <v>17</v>
      </c>
      <c r="B247" t="s">
        <v>13</v>
      </c>
      <c r="C247" s="4">
        <v>6.7</v>
      </c>
      <c r="D247" t="s">
        <v>14</v>
      </c>
      <c r="E247" s="4">
        <v>7.6</v>
      </c>
      <c r="F247" s="4">
        <v>2.4</v>
      </c>
      <c r="G247">
        <v>3.59</v>
      </c>
      <c r="H247">
        <v>0.4</v>
      </c>
      <c r="I247" t="s">
        <v>19</v>
      </c>
      <c r="J247">
        <v>9</v>
      </c>
      <c r="K247">
        <v>5</v>
      </c>
      <c r="L247">
        <v>5</v>
      </c>
      <c r="M247">
        <v>0</v>
      </c>
      <c r="N247">
        <f>_xlfn.IFS(rounded[[#This Row],[social_interaction_level]] = "low", 1,rounded[[#This Row],[social_interaction_level]] = "medium", 2,rounded[[#This Row],[social_interaction_level]] = "high", 3)</f>
        <v>2</v>
      </c>
      <c r="O247">
        <f t="shared" si="3"/>
        <v>19</v>
      </c>
      <c r="P247" t="str" cm="1">
        <f t="array" ref="P247">_xlfn.SWITCH(rounded[[#This Row],[depression_label]], 0, "Not Depressed", 1, "Depressed")</f>
        <v>Not Depressed</v>
      </c>
      <c r="Q247" s="45" t="str" cm="1">
        <f t="array" ref="Q247">_xlfn.SWITCH(rounded[[#This Row],[gender]], "male", "Male", "female", "Female")</f>
        <v>Male</v>
      </c>
    </row>
    <row r="248" spans="1:17" x14ac:dyDescent="0.35">
      <c r="A248">
        <v>13</v>
      </c>
      <c r="B248" t="s">
        <v>16</v>
      </c>
      <c r="C248" s="4">
        <v>7.2</v>
      </c>
      <c r="D248" t="s">
        <v>17</v>
      </c>
      <c r="E248" s="4">
        <v>7.4</v>
      </c>
      <c r="F248" s="4">
        <v>2.2000000000000002</v>
      </c>
      <c r="G248">
        <v>3.42</v>
      </c>
      <c r="H248">
        <v>0.1</v>
      </c>
      <c r="I248" t="s">
        <v>15</v>
      </c>
      <c r="J248">
        <v>8</v>
      </c>
      <c r="K248">
        <v>9</v>
      </c>
      <c r="L248">
        <v>6</v>
      </c>
      <c r="M248">
        <v>0</v>
      </c>
      <c r="N248">
        <f>_xlfn.IFS(rounded[[#This Row],[social_interaction_level]] = "low", 1,rounded[[#This Row],[social_interaction_level]] = "medium", 2,rounded[[#This Row],[social_interaction_level]] = "high", 3)</f>
        <v>1</v>
      </c>
      <c r="O248">
        <f t="shared" si="3"/>
        <v>23</v>
      </c>
      <c r="P248" t="str" cm="1">
        <f t="array" ref="P248">_xlfn.SWITCH(rounded[[#This Row],[depression_label]], 0, "Not Depressed", 1, "Depressed")</f>
        <v>Not Depressed</v>
      </c>
      <c r="Q248" s="45" t="str" cm="1">
        <f t="array" ref="Q248">_xlfn.SWITCH(rounded[[#This Row],[gender]], "male", "Male", "female", "Female")</f>
        <v>Female</v>
      </c>
    </row>
    <row r="249" spans="1:17" x14ac:dyDescent="0.35">
      <c r="A249">
        <v>18</v>
      </c>
      <c r="B249" t="s">
        <v>13</v>
      </c>
      <c r="C249" s="4">
        <v>6.1</v>
      </c>
      <c r="D249" t="s">
        <v>20</v>
      </c>
      <c r="E249" s="4">
        <v>4.4000000000000004</v>
      </c>
      <c r="F249" s="4">
        <v>2.1</v>
      </c>
      <c r="G249">
        <v>2.23</v>
      </c>
      <c r="H249">
        <v>1</v>
      </c>
      <c r="I249" t="s">
        <v>15</v>
      </c>
      <c r="J249">
        <v>8</v>
      </c>
      <c r="K249">
        <v>2</v>
      </c>
      <c r="L249">
        <v>5</v>
      </c>
      <c r="M249">
        <v>0</v>
      </c>
      <c r="N249">
        <f>_xlfn.IFS(rounded[[#This Row],[social_interaction_level]] = "low", 1,rounded[[#This Row],[social_interaction_level]] = "medium", 2,rounded[[#This Row],[social_interaction_level]] = "high", 3)</f>
        <v>1</v>
      </c>
      <c r="O249">
        <f t="shared" si="3"/>
        <v>15</v>
      </c>
      <c r="P249" t="str" cm="1">
        <f t="array" ref="P249">_xlfn.SWITCH(rounded[[#This Row],[depression_label]], 0, "Not Depressed", 1, "Depressed")</f>
        <v>Not Depressed</v>
      </c>
      <c r="Q249" s="45" t="str" cm="1">
        <f t="array" ref="Q249">_xlfn.SWITCH(rounded[[#This Row],[gender]], "male", "Male", "female", "Female")</f>
        <v>Male</v>
      </c>
    </row>
    <row r="250" spans="1:17" x14ac:dyDescent="0.35">
      <c r="A250">
        <v>16</v>
      </c>
      <c r="B250" t="s">
        <v>13</v>
      </c>
      <c r="C250" s="4">
        <v>5.4</v>
      </c>
      <c r="D250" t="s">
        <v>17</v>
      </c>
      <c r="E250" s="4">
        <v>8.6999999999999993</v>
      </c>
      <c r="F250" s="4">
        <v>1.9</v>
      </c>
      <c r="G250">
        <v>2.67</v>
      </c>
      <c r="H250">
        <v>1.3</v>
      </c>
      <c r="I250" t="s">
        <v>15</v>
      </c>
      <c r="J250">
        <v>1</v>
      </c>
      <c r="K250">
        <v>5</v>
      </c>
      <c r="L250">
        <v>7</v>
      </c>
      <c r="M250">
        <v>0</v>
      </c>
      <c r="N250">
        <f>_xlfn.IFS(rounded[[#This Row],[social_interaction_level]] = "low", 1,rounded[[#This Row],[social_interaction_level]] = "medium", 2,rounded[[#This Row],[social_interaction_level]] = "high", 3)</f>
        <v>1</v>
      </c>
      <c r="O250">
        <f t="shared" si="3"/>
        <v>13</v>
      </c>
      <c r="P250" t="str" cm="1">
        <f t="array" ref="P250">_xlfn.SWITCH(rounded[[#This Row],[depression_label]], 0, "Not Depressed", 1, "Depressed")</f>
        <v>Not Depressed</v>
      </c>
      <c r="Q250" s="45" t="str" cm="1">
        <f t="array" ref="Q250">_xlfn.SWITCH(rounded[[#This Row],[gender]], "male", "Male", "female", "Female")</f>
        <v>Male</v>
      </c>
    </row>
    <row r="251" spans="1:17" x14ac:dyDescent="0.35">
      <c r="A251">
        <v>19</v>
      </c>
      <c r="B251" t="s">
        <v>13</v>
      </c>
      <c r="C251" s="4">
        <v>2.7</v>
      </c>
      <c r="D251" t="s">
        <v>20</v>
      </c>
      <c r="E251" s="4">
        <v>7.7</v>
      </c>
      <c r="F251" s="4">
        <v>0.7</v>
      </c>
      <c r="G251">
        <v>2.2200000000000002</v>
      </c>
      <c r="H251">
        <v>0.4</v>
      </c>
      <c r="I251" t="s">
        <v>19</v>
      </c>
      <c r="J251">
        <v>10</v>
      </c>
      <c r="K251">
        <v>8</v>
      </c>
      <c r="L251">
        <v>7</v>
      </c>
      <c r="M251">
        <v>0</v>
      </c>
      <c r="N251">
        <f>_xlfn.IFS(rounded[[#This Row],[social_interaction_level]] = "low", 1,rounded[[#This Row],[social_interaction_level]] = "medium", 2,rounded[[#This Row],[social_interaction_level]] = "high", 3)</f>
        <v>2</v>
      </c>
      <c r="O251">
        <f t="shared" si="3"/>
        <v>25</v>
      </c>
      <c r="P251" t="str" cm="1">
        <f t="array" ref="P251">_xlfn.SWITCH(rounded[[#This Row],[depression_label]], 0, "Not Depressed", 1, "Depressed")</f>
        <v>Not Depressed</v>
      </c>
      <c r="Q251" s="45" t="str" cm="1">
        <f t="array" ref="Q251">_xlfn.SWITCH(rounded[[#This Row],[gender]], "male", "Male", "female", "Female")</f>
        <v>Male</v>
      </c>
    </row>
    <row r="252" spans="1:17" x14ac:dyDescent="0.35">
      <c r="A252">
        <v>13</v>
      </c>
      <c r="B252" t="s">
        <v>16</v>
      </c>
      <c r="C252" s="4">
        <v>7.9</v>
      </c>
      <c r="D252" t="s">
        <v>14</v>
      </c>
      <c r="E252" s="4">
        <v>7.2</v>
      </c>
      <c r="F252" s="4">
        <v>1.5</v>
      </c>
      <c r="G252">
        <v>2.36</v>
      </c>
      <c r="H252">
        <v>0.2</v>
      </c>
      <c r="I252" t="s">
        <v>19</v>
      </c>
      <c r="J252">
        <v>2</v>
      </c>
      <c r="K252">
        <v>6</v>
      </c>
      <c r="L252">
        <v>8</v>
      </c>
      <c r="M252">
        <v>0</v>
      </c>
      <c r="N252">
        <f>_xlfn.IFS(rounded[[#This Row],[social_interaction_level]] = "low", 1,rounded[[#This Row],[social_interaction_level]] = "medium", 2,rounded[[#This Row],[social_interaction_level]] = "high", 3)</f>
        <v>2</v>
      </c>
      <c r="O252">
        <f t="shared" si="3"/>
        <v>16</v>
      </c>
      <c r="P252" t="str" cm="1">
        <f t="array" ref="P252">_xlfn.SWITCH(rounded[[#This Row],[depression_label]], 0, "Not Depressed", 1, "Depressed")</f>
        <v>Not Depressed</v>
      </c>
      <c r="Q252" s="45" t="str" cm="1">
        <f t="array" ref="Q252">_xlfn.SWITCH(rounded[[#This Row],[gender]], "male", "Male", "female", "Female")</f>
        <v>Female</v>
      </c>
    </row>
    <row r="253" spans="1:17" x14ac:dyDescent="0.35">
      <c r="A253">
        <v>13</v>
      </c>
      <c r="B253" t="s">
        <v>13</v>
      </c>
      <c r="C253" s="4">
        <v>4.5999999999999996</v>
      </c>
      <c r="D253" t="s">
        <v>17</v>
      </c>
      <c r="E253" s="4">
        <v>7.3</v>
      </c>
      <c r="F253" s="4">
        <v>1.6</v>
      </c>
      <c r="G253">
        <v>2.91</v>
      </c>
      <c r="H253">
        <v>0.4</v>
      </c>
      <c r="I253" t="s">
        <v>15</v>
      </c>
      <c r="J253">
        <v>10</v>
      </c>
      <c r="K253">
        <v>5</v>
      </c>
      <c r="L253">
        <v>7</v>
      </c>
      <c r="M253">
        <v>0</v>
      </c>
      <c r="N253">
        <f>_xlfn.IFS(rounded[[#This Row],[social_interaction_level]] = "low", 1,rounded[[#This Row],[social_interaction_level]] = "medium", 2,rounded[[#This Row],[social_interaction_level]] = "high", 3)</f>
        <v>1</v>
      </c>
      <c r="O253">
        <f t="shared" si="3"/>
        <v>22</v>
      </c>
      <c r="P253" t="str" cm="1">
        <f t="array" ref="P253">_xlfn.SWITCH(rounded[[#This Row],[depression_label]], 0, "Not Depressed", 1, "Depressed")</f>
        <v>Not Depressed</v>
      </c>
      <c r="Q253" s="45" t="str" cm="1">
        <f t="array" ref="Q253">_xlfn.SWITCH(rounded[[#This Row],[gender]], "male", "Male", "female", "Female")</f>
        <v>Male</v>
      </c>
    </row>
    <row r="254" spans="1:17" x14ac:dyDescent="0.35">
      <c r="A254">
        <v>13</v>
      </c>
      <c r="B254" t="s">
        <v>13</v>
      </c>
      <c r="C254" s="4">
        <v>5.6</v>
      </c>
      <c r="D254" t="s">
        <v>14</v>
      </c>
      <c r="E254" s="4">
        <v>4.5999999999999996</v>
      </c>
      <c r="F254" s="4">
        <v>1.9</v>
      </c>
      <c r="G254">
        <v>2.54</v>
      </c>
      <c r="H254">
        <v>0.1</v>
      </c>
      <c r="I254" t="s">
        <v>15</v>
      </c>
      <c r="J254">
        <v>5</v>
      </c>
      <c r="K254">
        <v>5</v>
      </c>
      <c r="L254">
        <v>6</v>
      </c>
      <c r="M254">
        <v>0</v>
      </c>
      <c r="N254">
        <f>_xlfn.IFS(rounded[[#This Row],[social_interaction_level]] = "low", 1,rounded[[#This Row],[social_interaction_level]] = "medium", 2,rounded[[#This Row],[social_interaction_level]] = "high", 3)</f>
        <v>1</v>
      </c>
      <c r="O254">
        <f t="shared" si="3"/>
        <v>16</v>
      </c>
      <c r="P254" t="str" cm="1">
        <f t="array" ref="P254">_xlfn.SWITCH(rounded[[#This Row],[depression_label]], 0, "Not Depressed", 1, "Depressed")</f>
        <v>Not Depressed</v>
      </c>
      <c r="Q254" s="45" t="str" cm="1">
        <f t="array" ref="Q254">_xlfn.SWITCH(rounded[[#This Row],[gender]], "male", "Male", "female", "Female")</f>
        <v>Male</v>
      </c>
    </row>
    <row r="255" spans="1:17" x14ac:dyDescent="0.35">
      <c r="A255">
        <v>17</v>
      </c>
      <c r="B255" t="s">
        <v>16</v>
      </c>
      <c r="C255" s="4">
        <v>6.5</v>
      </c>
      <c r="D255" t="s">
        <v>17</v>
      </c>
      <c r="E255" s="4">
        <v>6.4</v>
      </c>
      <c r="F255" s="4">
        <v>0.7</v>
      </c>
      <c r="G255">
        <v>3.57</v>
      </c>
      <c r="H255">
        <v>1.1000000000000001</v>
      </c>
      <c r="I255" t="s">
        <v>15</v>
      </c>
      <c r="J255">
        <v>2</v>
      </c>
      <c r="K255">
        <v>9</v>
      </c>
      <c r="L255">
        <v>6</v>
      </c>
      <c r="M255">
        <v>0</v>
      </c>
      <c r="N255">
        <f>_xlfn.IFS(rounded[[#This Row],[social_interaction_level]] = "low", 1,rounded[[#This Row],[social_interaction_level]] = "medium", 2,rounded[[#This Row],[social_interaction_level]] = "high", 3)</f>
        <v>1</v>
      </c>
      <c r="O255">
        <f t="shared" si="3"/>
        <v>17</v>
      </c>
      <c r="P255" t="str" cm="1">
        <f t="array" ref="P255">_xlfn.SWITCH(rounded[[#This Row],[depression_label]], 0, "Not Depressed", 1, "Depressed")</f>
        <v>Not Depressed</v>
      </c>
      <c r="Q255" s="45" t="str" cm="1">
        <f t="array" ref="Q255">_xlfn.SWITCH(rounded[[#This Row],[gender]], "male", "Male", "female", "Female")</f>
        <v>Female</v>
      </c>
    </row>
    <row r="256" spans="1:17" x14ac:dyDescent="0.35">
      <c r="A256">
        <v>19</v>
      </c>
      <c r="B256" t="s">
        <v>13</v>
      </c>
      <c r="C256" s="4">
        <v>5.9</v>
      </c>
      <c r="D256" t="s">
        <v>20</v>
      </c>
      <c r="E256" s="4">
        <v>7.2</v>
      </c>
      <c r="F256" s="4">
        <v>0.9</v>
      </c>
      <c r="G256">
        <v>3.99</v>
      </c>
      <c r="H256">
        <v>1.7</v>
      </c>
      <c r="I256" t="s">
        <v>15</v>
      </c>
      <c r="J256">
        <v>7</v>
      </c>
      <c r="K256">
        <v>9</v>
      </c>
      <c r="L256">
        <v>3</v>
      </c>
      <c r="M256">
        <v>0</v>
      </c>
      <c r="N256">
        <f>_xlfn.IFS(rounded[[#This Row],[social_interaction_level]] = "low", 1,rounded[[#This Row],[social_interaction_level]] = "medium", 2,rounded[[#This Row],[social_interaction_level]] = "high", 3)</f>
        <v>1</v>
      </c>
      <c r="O256">
        <f t="shared" si="3"/>
        <v>19</v>
      </c>
      <c r="P256" t="str" cm="1">
        <f t="array" ref="P256">_xlfn.SWITCH(rounded[[#This Row],[depression_label]], 0, "Not Depressed", 1, "Depressed")</f>
        <v>Not Depressed</v>
      </c>
      <c r="Q256" s="45" t="str" cm="1">
        <f t="array" ref="Q256">_xlfn.SWITCH(rounded[[#This Row],[gender]], "male", "Male", "female", "Female")</f>
        <v>Male</v>
      </c>
    </row>
    <row r="257" spans="1:17" x14ac:dyDescent="0.35">
      <c r="A257">
        <v>19</v>
      </c>
      <c r="B257" t="s">
        <v>16</v>
      </c>
      <c r="C257" s="4">
        <v>1.1000000000000001</v>
      </c>
      <c r="D257" t="s">
        <v>17</v>
      </c>
      <c r="E257" s="4">
        <v>5.0999999999999996</v>
      </c>
      <c r="F257" s="4">
        <v>2.2000000000000002</v>
      </c>
      <c r="G257">
        <v>2.13</v>
      </c>
      <c r="H257">
        <v>0.9</v>
      </c>
      <c r="I257" t="s">
        <v>15</v>
      </c>
      <c r="J257">
        <v>7</v>
      </c>
      <c r="K257">
        <v>7</v>
      </c>
      <c r="L257">
        <v>2</v>
      </c>
      <c r="M257">
        <v>0</v>
      </c>
      <c r="N257">
        <f>_xlfn.IFS(rounded[[#This Row],[social_interaction_level]] = "low", 1,rounded[[#This Row],[social_interaction_level]] = "medium", 2,rounded[[#This Row],[social_interaction_level]] = "high", 3)</f>
        <v>1</v>
      </c>
      <c r="O257">
        <f t="shared" si="3"/>
        <v>16</v>
      </c>
      <c r="P257" t="str" cm="1">
        <f t="array" ref="P257">_xlfn.SWITCH(rounded[[#This Row],[depression_label]], 0, "Not Depressed", 1, "Depressed")</f>
        <v>Not Depressed</v>
      </c>
      <c r="Q257" s="45" t="str" cm="1">
        <f t="array" ref="Q257">_xlfn.SWITCH(rounded[[#This Row],[gender]], "male", "Male", "female", "Female")</f>
        <v>Female</v>
      </c>
    </row>
    <row r="258" spans="1:17" x14ac:dyDescent="0.35">
      <c r="A258">
        <v>18</v>
      </c>
      <c r="B258" t="s">
        <v>13</v>
      </c>
      <c r="C258" s="4">
        <v>3.2</v>
      </c>
      <c r="D258" t="s">
        <v>17</v>
      </c>
      <c r="E258" s="4">
        <v>5.0999999999999996</v>
      </c>
      <c r="F258" s="4">
        <v>1.2</v>
      </c>
      <c r="G258">
        <v>3.54</v>
      </c>
      <c r="H258">
        <v>1.3</v>
      </c>
      <c r="I258" t="s">
        <v>15</v>
      </c>
      <c r="J258">
        <v>6</v>
      </c>
      <c r="K258">
        <v>2</v>
      </c>
      <c r="L258">
        <v>8</v>
      </c>
      <c r="M258">
        <v>0</v>
      </c>
      <c r="N258">
        <f>_xlfn.IFS(rounded[[#This Row],[social_interaction_level]] = "low", 1,rounded[[#This Row],[social_interaction_level]] = "medium", 2,rounded[[#This Row],[social_interaction_level]] = "high", 3)</f>
        <v>1</v>
      </c>
      <c r="O258">
        <f t="shared" ref="O258:O321" si="4">SUM(J258+K258+L258)</f>
        <v>16</v>
      </c>
      <c r="P258" t="str" cm="1">
        <f t="array" ref="P258">_xlfn.SWITCH(rounded[[#This Row],[depression_label]], 0, "Not Depressed", 1, "Depressed")</f>
        <v>Not Depressed</v>
      </c>
      <c r="Q258" s="45" t="str" cm="1">
        <f t="array" ref="Q258">_xlfn.SWITCH(rounded[[#This Row],[gender]], "male", "Male", "female", "Female")</f>
        <v>Male</v>
      </c>
    </row>
    <row r="259" spans="1:17" x14ac:dyDescent="0.35">
      <c r="A259">
        <v>14</v>
      </c>
      <c r="B259" t="s">
        <v>13</v>
      </c>
      <c r="C259" s="4">
        <v>6.5</v>
      </c>
      <c r="D259" t="s">
        <v>14</v>
      </c>
      <c r="E259" s="4">
        <v>5.3</v>
      </c>
      <c r="F259" s="4">
        <v>2.7</v>
      </c>
      <c r="G259">
        <v>3.79</v>
      </c>
      <c r="H259">
        <v>0.8</v>
      </c>
      <c r="I259" t="s">
        <v>15</v>
      </c>
      <c r="J259">
        <v>8</v>
      </c>
      <c r="K259">
        <v>6</v>
      </c>
      <c r="L259">
        <v>4</v>
      </c>
      <c r="M259">
        <v>0</v>
      </c>
      <c r="N259">
        <f>_xlfn.IFS(rounded[[#This Row],[social_interaction_level]] = "low", 1,rounded[[#This Row],[social_interaction_level]] = "medium", 2,rounded[[#This Row],[social_interaction_level]] = "high", 3)</f>
        <v>1</v>
      </c>
      <c r="O259">
        <f t="shared" si="4"/>
        <v>18</v>
      </c>
      <c r="P259" t="str" cm="1">
        <f t="array" ref="P259">_xlfn.SWITCH(rounded[[#This Row],[depression_label]], 0, "Not Depressed", 1, "Depressed")</f>
        <v>Not Depressed</v>
      </c>
      <c r="Q259" s="45" t="str" cm="1">
        <f t="array" ref="Q259">_xlfn.SWITCH(rounded[[#This Row],[gender]], "male", "Male", "female", "Female")</f>
        <v>Male</v>
      </c>
    </row>
    <row r="260" spans="1:17" x14ac:dyDescent="0.35">
      <c r="A260">
        <v>17</v>
      </c>
      <c r="B260" t="s">
        <v>16</v>
      </c>
      <c r="C260" s="4">
        <v>7.3</v>
      </c>
      <c r="D260" t="s">
        <v>14</v>
      </c>
      <c r="E260" s="4">
        <v>6.2</v>
      </c>
      <c r="F260" s="4">
        <v>1</v>
      </c>
      <c r="G260">
        <v>2.02</v>
      </c>
      <c r="H260">
        <v>0.2</v>
      </c>
      <c r="I260" t="s">
        <v>15</v>
      </c>
      <c r="J260">
        <v>1</v>
      </c>
      <c r="K260">
        <v>6</v>
      </c>
      <c r="L260">
        <v>3</v>
      </c>
      <c r="M260">
        <v>0</v>
      </c>
      <c r="N260">
        <f>_xlfn.IFS(rounded[[#This Row],[social_interaction_level]] = "low", 1,rounded[[#This Row],[social_interaction_level]] = "medium", 2,rounded[[#This Row],[social_interaction_level]] = "high", 3)</f>
        <v>1</v>
      </c>
      <c r="O260">
        <f t="shared" si="4"/>
        <v>10</v>
      </c>
      <c r="P260" t="str" cm="1">
        <f t="array" ref="P260">_xlfn.SWITCH(rounded[[#This Row],[depression_label]], 0, "Not Depressed", 1, "Depressed")</f>
        <v>Not Depressed</v>
      </c>
      <c r="Q260" s="45" t="str" cm="1">
        <f t="array" ref="Q260">_xlfn.SWITCH(rounded[[#This Row],[gender]], "male", "Male", "female", "Female")</f>
        <v>Female</v>
      </c>
    </row>
    <row r="261" spans="1:17" x14ac:dyDescent="0.35">
      <c r="A261">
        <v>17</v>
      </c>
      <c r="B261" t="s">
        <v>13</v>
      </c>
      <c r="C261" s="4">
        <v>1.5</v>
      </c>
      <c r="D261" t="s">
        <v>17</v>
      </c>
      <c r="E261" s="4">
        <v>5.5</v>
      </c>
      <c r="F261" s="4">
        <v>1.7</v>
      </c>
      <c r="G261">
        <v>2.93</v>
      </c>
      <c r="H261">
        <v>0.7</v>
      </c>
      <c r="I261" t="s">
        <v>15</v>
      </c>
      <c r="J261">
        <v>4</v>
      </c>
      <c r="K261">
        <v>9</v>
      </c>
      <c r="L261">
        <v>9</v>
      </c>
      <c r="M261">
        <v>0</v>
      </c>
      <c r="N261">
        <f>_xlfn.IFS(rounded[[#This Row],[social_interaction_level]] = "low", 1,rounded[[#This Row],[social_interaction_level]] = "medium", 2,rounded[[#This Row],[social_interaction_level]] = "high", 3)</f>
        <v>1</v>
      </c>
      <c r="O261">
        <f t="shared" si="4"/>
        <v>22</v>
      </c>
      <c r="P261" t="str" cm="1">
        <f t="array" ref="P261">_xlfn.SWITCH(rounded[[#This Row],[depression_label]], 0, "Not Depressed", 1, "Depressed")</f>
        <v>Not Depressed</v>
      </c>
      <c r="Q261" s="45" t="str" cm="1">
        <f t="array" ref="Q261">_xlfn.SWITCH(rounded[[#This Row],[gender]], "male", "Male", "female", "Female")</f>
        <v>Male</v>
      </c>
    </row>
    <row r="262" spans="1:17" x14ac:dyDescent="0.35">
      <c r="A262">
        <v>16</v>
      </c>
      <c r="B262" t="s">
        <v>13</v>
      </c>
      <c r="C262" s="4">
        <v>3.8</v>
      </c>
      <c r="D262" t="s">
        <v>14</v>
      </c>
      <c r="E262" s="4">
        <v>6.8</v>
      </c>
      <c r="F262" s="4">
        <v>2.4</v>
      </c>
      <c r="G262">
        <v>3.1</v>
      </c>
      <c r="H262">
        <v>1.6</v>
      </c>
      <c r="I262" t="s">
        <v>15</v>
      </c>
      <c r="J262">
        <v>6</v>
      </c>
      <c r="K262">
        <v>10</v>
      </c>
      <c r="L262">
        <v>4</v>
      </c>
      <c r="M262">
        <v>0</v>
      </c>
      <c r="N262">
        <f>_xlfn.IFS(rounded[[#This Row],[social_interaction_level]] = "low", 1,rounded[[#This Row],[social_interaction_level]] = "medium", 2,rounded[[#This Row],[social_interaction_level]] = "high", 3)</f>
        <v>1</v>
      </c>
      <c r="O262">
        <f t="shared" si="4"/>
        <v>20</v>
      </c>
      <c r="P262" t="str" cm="1">
        <f t="array" ref="P262">_xlfn.SWITCH(rounded[[#This Row],[depression_label]], 0, "Not Depressed", 1, "Depressed")</f>
        <v>Not Depressed</v>
      </c>
      <c r="Q262" s="45" t="str" cm="1">
        <f t="array" ref="Q262">_xlfn.SWITCH(rounded[[#This Row],[gender]], "male", "Male", "female", "Female")</f>
        <v>Male</v>
      </c>
    </row>
    <row r="263" spans="1:17" x14ac:dyDescent="0.35">
      <c r="A263">
        <v>13</v>
      </c>
      <c r="B263" t="s">
        <v>16</v>
      </c>
      <c r="C263" s="4">
        <v>3.6</v>
      </c>
      <c r="D263" t="s">
        <v>17</v>
      </c>
      <c r="E263" s="4">
        <v>8.6</v>
      </c>
      <c r="F263" s="4">
        <v>2.8</v>
      </c>
      <c r="G263">
        <v>3.28</v>
      </c>
      <c r="H263">
        <v>0.7</v>
      </c>
      <c r="I263" t="s">
        <v>18</v>
      </c>
      <c r="J263">
        <v>10</v>
      </c>
      <c r="K263">
        <v>3</v>
      </c>
      <c r="L263">
        <v>5</v>
      </c>
      <c r="M263">
        <v>0</v>
      </c>
      <c r="N263">
        <f>_xlfn.IFS(rounded[[#This Row],[social_interaction_level]] = "low", 1,rounded[[#This Row],[social_interaction_level]] = "medium", 2,rounded[[#This Row],[social_interaction_level]] = "high", 3)</f>
        <v>3</v>
      </c>
      <c r="O263">
        <f t="shared" si="4"/>
        <v>18</v>
      </c>
      <c r="P263" t="str" cm="1">
        <f t="array" ref="P263">_xlfn.SWITCH(rounded[[#This Row],[depression_label]], 0, "Not Depressed", 1, "Depressed")</f>
        <v>Not Depressed</v>
      </c>
      <c r="Q263" s="45" t="str" cm="1">
        <f t="array" ref="Q263">_xlfn.SWITCH(rounded[[#This Row],[gender]], "male", "Male", "female", "Female")</f>
        <v>Female</v>
      </c>
    </row>
    <row r="264" spans="1:17" x14ac:dyDescent="0.35">
      <c r="A264">
        <v>15</v>
      </c>
      <c r="B264" t="s">
        <v>13</v>
      </c>
      <c r="C264" s="4">
        <v>3.6</v>
      </c>
      <c r="D264" t="s">
        <v>17</v>
      </c>
      <c r="E264" s="4">
        <v>4.3</v>
      </c>
      <c r="F264" s="4">
        <v>2.9</v>
      </c>
      <c r="G264">
        <v>2.2000000000000002</v>
      </c>
      <c r="H264">
        <v>1</v>
      </c>
      <c r="I264" t="s">
        <v>18</v>
      </c>
      <c r="J264">
        <v>10</v>
      </c>
      <c r="K264">
        <v>9</v>
      </c>
      <c r="L264">
        <v>7</v>
      </c>
      <c r="M264">
        <v>0</v>
      </c>
      <c r="N264">
        <f>_xlfn.IFS(rounded[[#This Row],[social_interaction_level]] = "low", 1,rounded[[#This Row],[social_interaction_level]] = "medium", 2,rounded[[#This Row],[social_interaction_level]] = "high", 3)</f>
        <v>3</v>
      </c>
      <c r="O264">
        <f t="shared" si="4"/>
        <v>26</v>
      </c>
      <c r="P264" t="str" cm="1">
        <f t="array" ref="P264">_xlfn.SWITCH(rounded[[#This Row],[depression_label]], 0, "Not Depressed", 1, "Depressed")</f>
        <v>Not Depressed</v>
      </c>
      <c r="Q264" s="45" t="str" cm="1">
        <f t="array" ref="Q264">_xlfn.SWITCH(rounded[[#This Row],[gender]], "male", "Male", "female", "Female")</f>
        <v>Male</v>
      </c>
    </row>
    <row r="265" spans="1:17" x14ac:dyDescent="0.35">
      <c r="A265">
        <v>17</v>
      </c>
      <c r="B265" t="s">
        <v>16</v>
      </c>
      <c r="C265" s="4">
        <v>5.3</v>
      </c>
      <c r="D265" t="s">
        <v>14</v>
      </c>
      <c r="E265" s="4">
        <v>7.4</v>
      </c>
      <c r="F265" s="4">
        <v>1.2</v>
      </c>
      <c r="G265">
        <v>3.41</v>
      </c>
      <c r="H265">
        <v>1.1000000000000001</v>
      </c>
      <c r="I265" t="s">
        <v>18</v>
      </c>
      <c r="J265">
        <v>6</v>
      </c>
      <c r="K265">
        <v>3</v>
      </c>
      <c r="L265">
        <v>7</v>
      </c>
      <c r="M265">
        <v>0</v>
      </c>
      <c r="N265">
        <f>_xlfn.IFS(rounded[[#This Row],[social_interaction_level]] = "low", 1,rounded[[#This Row],[social_interaction_level]] = "medium", 2,rounded[[#This Row],[social_interaction_level]] = "high", 3)</f>
        <v>3</v>
      </c>
      <c r="O265">
        <f t="shared" si="4"/>
        <v>16</v>
      </c>
      <c r="P265" t="str" cm="1">
        <f t="array" ref="P265">_xlfn.SWITCH(rounded[[#This Row],[depression_label]], 0, "Not Depressed", 1, "Depressed")</f>
        <v>Not Depressed</v>
      </c>
      <c r="Q265" s="45" t="str" cm="1">
        <f t="array" ref="Q265">_xlfn.SWITCH(rounded[[#This Row],[gender]], "male", "Male", "female", "Female")</f>
        <v>Female</v>
      </c>
    </row>
    <row r="266" spans="1:17" x14ac:dyDescent="0.35">
      <c r="A266">
        <v>19</v>
      </c>
      <c r="B266" t="s">
        <v>13</v>
      </c>
      <c r="C266" s="4">
        <v>4.4000000000000004</v>
      </c>
      <c r="D266" t="s">
        <v>17</v>
      </c>
      <c r="E266" s="4">
        <v>4.3</v>
      </c>
      <c r="F266" s="4">
        <v>0.8</v>
      </c>
      <c r="G266">
        <v>2.44</v>
      </c>
      <c r="H266">
        <v>1</v>
      </c>
      <c r="I266" t="s">
        <v>18</v>
      </c>
      <c r="J266">
        <v>9</v>
      </c>
      <c r="K266">
        <v>9</v>
      </c>
      <c r="L266">
        <v>7</v>
      </c>
      <c r="M266">
        <v>0</v>
      </c>
      <c r="N266">
        <f>_xlfn.IFS(rounded[[#This Row],[social_interaction_level]] = "low", 1,rounded[[#This Row],[social_interaction_level]] = "medium", 2,rounded[[#This Row],[social_interaction_level]] = "high", 3)</f>
        <v>3</v>
      </c>
      <c r="O266">
        <f t="shared" si="4"/>
        <v>25</v>
      </c>
      <c r="P266" t="str" cm="1">
        <f t="array" ref="P266">_xlfn.SWITCH(rounded[[#This Row],[depression_label]], 0, "Not Depressed", 1, "Depressed")</f>
        <v>Not Depressed</v>
      </c>
      <c r="Q266" s="45" t="str" cm="1">
        <f t="array" ref="Q266">_xlfn.SWITCH(rounded[[#This Row],[gender]], "male", "Male", "female", "Female")</f>
        <v>Male</v>
      </c>
    </row>
    <row r="267" spans="1:17" x14ac:dyDescent="0.35">
      <c r="A267">
        <v>18</v>
      </c>
      <c r="B267" t="s">
        <v>13</v>
      </c>
      <c r="C267" s="4">
        <v>7.7</v>
      </c>
      <c r="D267" t="s">
        <v>17</v>
      </c>
      <c r="E267" s="4">
        <v>4.7</v>
      </c>
      <c r="F267" s="4">
        <v>1.4</v>
      </c>
      <c r="G267">
        <v>3.04</v>
      </c>
      <c r="H267">
        <v>0.6</v>
      </c>
      <c r="I267" t="s">
        <v>19</v>
      </c>
      <c r="J267">
        <v>9</v>
      </c>
      <c r="K267">
        <v>6</v>
      </c>
      <c r="L267">
        <v>6</v>
      </c>
      <c r="M267">
        <v>0</v>
      </c>
      <c r="N267">
        <f>_xlfn.IFS(rounded[[#This Row],[social_interaction_level]] = "low", 1,rounded[[#This Row],[social_interaction_level]] = "medium", 2,rounded[[#This Row],[social_interaction_level]] = "high", 3)</f>
        <v>2</v>
      </c>
      <c r="O267">
        <f t="shared" si="4"/>
        <v>21</v>
      </c>
      <c r="P267" t="str" cm="1">
        <f t="array" ref="P267">_xlfn.SWITCH(rounded[[#This Row],[depression_label]], 0, "Not Depressed", 1, "Depressed")</f>
        <v>Not Depressed</v>
      </c>
      <c r="Q267" s="45" t="str" cm="1">
        <f t="array" ref="Q267">_xlfn.SWITCH(rounded[[#This Row],[gender]], "male", "Male", "female", "Female")</f>
        <v>Male</v>
      </c>
    </row>
    <row r="268" spans="1:17" x14ac:dyDescent="0.35">
      <c r="A268">
        <v>14</v>
      </c>
      <c r="B268" t="s">
        <v>16</v>
      </c>
      <c r="C268" s="4">
        <v>7.1</v>
      </c>
      <c r="D268" t="s">
        <v>17</v>
      </c>
      <c r="E268" s="4">
        <v>4.5</v>
      </c>
      <c r="F268" s="4">
        <v>2.4</v>
      </c>
      <c r="G268">
        <v>3.53</v>
      </c>
      <c r="H268">
        <v>0.4</v>
      </c>
      <c r="I268" t="s">
        <v>18</v>
      </c>
      <c r="J268">
        <v>3</v>
      </c>
      <c r="K268">
        <v>4</v>
      </c>
      <c r="L268">
        <v>4</v>
      </c>
      <c r="M268">
        <v>0</v>
      </c>
      <c r="N268">
        <f>_xlfn.IFS(rounded[[#This Row],[social_interaction_level]] = "low", 1,rounded[[#This Row],[social_interaction_level]] = "medium", 2,rounded[[#This Row],[social_interaction_level]] = "high", 3)</f>
        <v>3</v>
      </c>
      <c r="O268">
        <f t="shared" si="4"/>
        <v>11</v>
      </c>
      <c r="P268" t="str" cm="1">
        <f t="array" ref="P268">_xlfn.SWITCH(rounded[[#This Row],[depression_label]], 0, "Not Depressed", 1, "Depressed")</f>
        <v>Not Depressed</v>
      </c>
      <c r="Q268" s="45" t="str" cm="1">
        <f t="array" ref="Q268">_xlfn.SWITCH(rounded[[#This Row],[gender]], "male", "Male", "female", "Female")</f>
        <v>Female</v>
      </c>
    </row>
    <row r="269" spans="1:17" x14ac:dyDescent="0.35">
      <c r="A269">
        <v>16</v>
      </c>
      <c r="B269" t="s">
        <v>13</v>
      </c>
      <c r="C269" s="4">
        <v>4.9000000000000004</v>
      </c>
      <c r="D269" t="s">
        <v>14</v>
      </c>
      <c r="E269" s="4">
        <v>6.8</v>
      </c>
      <c r="F269" s="4">
        <v>1</v>
      </c>
      <c r="G269">
        <v>3.18</v>
      </c>
      <c r="H269">
        <v>1.9</v>
      </c>
      <c r="I269" t="s">
        <v>18</v>
      </c>
      <c r="J269">
        <v>7</v>
      </c>
      <c r="K269">
        <v>4</v>
      </c>
      <c r="L269">
        <v>8</v>
      </c>
      <c r="M269">
        <v>0</v>
      </c>
      <c r="N269">
        <f>_xlfn.IFS(rounded[[#This Row],[social_interaction_level]] = "low", 1,rounded[[#This Row],[social_interaction_level]] = "medium", 2,rounded[[#This Row],[social_interaction_level]] = "high", 3)</f>
        <v>3</v>
      </c>
      <c r="O269">
        <f t="shared" si="4"/>
        <v>19</v>
      </c>
      <c r="P269" t="str" cm="1">
        <f t="array" ref="P269">_xlfn.SWITCH(rounded[[#This Row],[depression_label]], 0, "Not Depressed", 1, "Depressed")</f>
        <v>Not Depressed</v>
      </c>
      <c r="Q269" s="45" t="str" cm="1">
        <f t="array" ref="Q269">_xlfn.SWITCH(rounded[[#This Row],[gender]], "male", "Male", "female", "Female")</f>
        <v>Male</v>
      </c>
    </row>
    <row r="270" spans="1:17" x14ac:dyDescent="0.35">
      <c r="A270">
        <v>19</v>
      </c>
      <c r="B270" t="s">
        <v>13</v>
      </c>
      <c r="C270" s="4">
        <v>4.5999999999999996</v>
      </c>
      <c r="D270" t="s">
        <v>20</v>
      </c>
      <c r="E270" s="4">
        <v>8.9</v>
      </c>
      <c r="F270" s="4">
        <v>1.9</v>
      </c>
      <c r="G270">
        <v>2.5</v>
      </c>
      <c r="H270">
        <v>0.4</v>
      </c>
      <c r="I270" t="s">
        <v>19</v>
      </c>
      <c r="J270">
        <v>8</v>
      </c>
      <c r="K270">
        <v>1</v>
      </c>
      <c r="L270">
        <v>3</v>
      </c>
      <c r="M270">
        <v>0</v>
      </c>
      <c r="N270">
        <f>_xlfn.IFS(rounded[[#This Row],[social_interaction_level]] = "low", 1,rounded[[#This Row],[social_interaction_level]] = "medium", 2,rounded[[#This Row],[social_interaction_level]] = "high", 3)</f>
        <v>2</v>
      </c>
      <c r="O270">
        <f t="shared" si="4"/>
        <v>12</v>
      </c>
      <c r="P270" t="str" cm="1">
        <f t="array" ref="P270">_xlfn.SWITCH(rounded[[#This Row],[depression_label]], 0, "Not Depressed", 1, "Depressed")</f>
        <v>Not Depressed</v>
      </c>
      <c r="Q270" s="45" t="str" cm="1">
        <f t="array" ref="Q270">_xlfn.SWITCH(rounded[[#This Row],[gender]], "male", "Male", "female", "Female")</f>
        <v>Male</v>
      </c>
    </row>
    <row r="271" spans="1:17" x14ac:dyDescent="0.35">
      <c r="A271">
        <v>19</v>
      </c>
      <c r="B271" t="s">
        <v>13</v>
      </c>
      <c r="C271" s="4">
        <v>1.8</v>
      </c>
      <c r="D271" t="s">
        <v>14</v>
      </c>
      <c r="E271" s="4">
        <v>6.5</v>
      </c>
      <c r="F271" s="4">
        <v>2.6</v>
      </c>
      <c r="G271">
        <v>2.75</v>
      </c>
      <c r="H271">
        <v>1.7</v>
      </c>
      <c r="I271" t="s">
        <v>18</v>
      </c>
      <c r="J271">
        <v>7</v>
      </c>
      <c r="K271">
        <v>6</v>
      </c>
      <c r="L271">
        <v>1</v>
      </c>
      <c r="M271">
        <v>0</v>
      </c>
      <c r="N271">
        <f>_xlfn.IFS(rounded[[#This Row],[social_interaction_level]] = "low", 1,rounded[[#This Row],[social_interaction_level]] = "medium", 2,rounded[[#This Row],[social_interaction_level]] = "high", 3)</f>
        <v>3</v>
      </c>
      <c r="O271">
        <f t="shared" si="4"/>
        <v>14</v>
      </c>
      <c r="P271" t="str" cm="1">
        <f t="array" ref="P271">_xlfn.SWITCH(rounded[[#This Row],[depression_label]], 0, "Not Depressed", 1, "Depressed")</f>
        <v>Not Depressed</v>
      </c>
      <c r="Q271" s="45" t="str" cm="1">
        <f t="array" ref="Q271">_xlfn.SWITCH(rounded[[#This Row],[gender]], "male", "Male", "female", "Female")</f>
        <v>Male</v>
      </c>
    </row>
    <row r="272" spans="1:17" x14ac:dyDescent="0.35">
      <c r="A272">
        <v>16</v>
      </c>
      <c r="B272" t="s">
        <v>13</v>
      </c>
      <c r="C272" s="4">
        <v>4.2</v>
      </c>
      <c r="D272" t="s">
        <v>20</v>
      </c>
      <c r="E272" s="4">
        <v>5.7</v>
      </c>
      <c r="F272" s="4">
        <v>1</v>
      </c>
      <c r="G272">
        <v>2.77</v>
      </c>
      <c r="H272">
        <v>0.1</v>
      </c>
      <c r="I272" t="s">
        <v>18</v>
      </c>
      <c r="J272">
        <v>10</v>
      </c>
      <c r="K272">
        <v>5</v>
      </c>
      <c r="L272">
        <v>9</v>
      </c>
      <c r="M272">
        <v>0</v>
      </c>
      <c r="N272">
        <f>_xlfn.IFS(rounded[[#This Row],[social_interaction_level]] = "low", 1,rounded[[#This Row],[social_interaction_level]] = "medium", 2,rounded[[#This Row],[social_interaction_level]] = "high", 3)</f>
        <v>3</v>
      </c>
      <c r="O272">
        <f t="shared" si="4"/>
        <v>24</v>
      </c>
      <c r="P272" t="str" cm="1">
        <f t="array" ref="P272">_xlfn.SWITCH(rounded[[#This Row],[depression_label]], 0, "Not Depressed", 1, "Depressed")</f>
        <v>Not Depressed</v>
      </c>
      <c r="Q272" s="45" t="str" cm="1">
        <f t="array" ref="Q272">_xlfn.SWITCH(rounded[[#This Row],[gender]], "male", "Male", "female", "Female")</f>
        <v>Male</v>
      </c>
    </row>
    <row r="273" spans="1:17" x14ac:dyDescent="0.35">
      <c r="A273">
        <v>16</v>
      </c>
      <c r="B273" t="s">
        <v>13</v>
      </c>
      <c r="C273" s="4">
        <v>1.5</v>
      </c>
      <c r="D273" t="s">
        <v>17</v>
      </c>
      <c r="E273" s="4">
        <v>6.7</v>
      </c>
      <c r="F273" s="4">
        <v>0.5</v>
      </c>
      <c r="G273">
        <v>2.78</v>
      </c>
      <c r="H273">
        <v>1.2</v>
      </c>
      <c r="I273" t="s">
        <v>15</v>
      </c>
      <c r="J273">
        <v>1</v>
      </c>
      <c r="K273">
        <v>9</v>
      </c>
      <c r="L273">
        <v>6</v>
      </c>
      <c r="M273">
        <v>0</v>
      </c>
      <c r="N273">
        <f>_xlfn.IFS(rounded[[#This Row],[social_interaction_level]] = "low", 1,rounded[[#This Row],[social_interaction_level]] = "medium", 2,rounded[[#This Row],[social_interaction_level]] = "high", 3)</f>
        <v>1</v>
      </c>
      <c r="O273">
        <f t="shared" si="4"/>
        <v>16</v>
      </c>
      <c r="P273" t="str" cm="1">
        <f t="array" ref="P273">_xlfn.SWITCH(rounded[[#This Row],[depression_label]], 0, "Not Depressed", 1, "Depressed")</f>
        <v>Not Depressed</v>
      </c>
      <c r="Q273" s="45" t="str" cm="1">
        <f t="array" ref="Q273">_xlfn.SWITCH(rounded[[#This Row],[gender]], "male", "Male", "female", "Female")</f>
        <v>Male</v>
      </c>
    </row>
    <row r="274" spans="1:17" x14ac:dyDescent="0.35">
      <c r="A274">
        <v>19</v>
      </c>
      <c r="B274" t="s">
        <v>13</v>
      </c>
      <c r="C274" s="4">
        <v>7</v>
      </c>
      <c r="D274" t="s">
        <v>14</v>
      </c>
      <c r="E274" s="4">
        <v>8.9</v>
      </c>
      <c r="F274" s="4">
        <v>2.8</v>
      </c>
      <c r="G274">
        <v>2.84</v>
      </c>
      <c r="H274">
        <v>0.4</v>
      </c>
      <c r="I274" t="s">
        <v>18</v>
      </c>
      <c r="J274">
        <v>6</v>
      </c>
      <c r="K274">
        <v>8</v>
      </c>
      <c r="L274">
        <v>6</v>
      </c>
      <c r="M274">
        <v>0</v>
      </c>
      <c r="N274">
        <f>_xlfn.IFS(rounded[[#This Row],[social_interaction_level]] = "low", 1,rounded[[#This Row],[social_interaction_level]] = "medium", 2,rounded[[#This Row],[social_interaction_level]] = "high", 3)</f>
        <v>3</v>
      </c>
      <c r="O274">
        <f t="shared" si="4"/>
        <v>20</v>
      </c>
      <c r="P274" t="str" cm="1">
        <f t="array" ref="P274">_xlfn.SWITCH(rounded[[#This Row],[depression_label]], 0, "Not Depressed", 1, "Depressed")</f>
        <v>Not Depressed</v>
      </c>
      <c r="Q274" s="45" t="str" cm="1">
        <f t="array" ref="Q274">_xlfn.SWITCH(rounded[[#This Row],[gender]], "male", "Male", "female", "Female")</f>
        <v>Male</v>
      </c>
    </row>
    <row r="275" spans="1:17" x14ac:dyDescent="0.35">
      <c r="A275">
        <v>14</v>
      </c>
      <c r="B275" t="s">
        <v>16</v>
      </c>
      <c r="C275" s="4">
        <v>6.5</v>
      </c>
      <c r="D275" t="s">
        <v>20</v>
      </c>
      <c r="E275" s="4">
        <v>7.8</v>
      </c>
      <c r="F275" s="4">
        <v>1.5</v>
      </c>
      <c r="G275">
        <v>3.26</v>
      </c>
      <c r="H275">
        <v>0.8</v>
      </c>
      <c r="I275" t="s">
        <v>19</v>
      </c>
      <c r="J275">
        <v>9</v>
      </c>
      <c r="K275">
        <v>2</v>
      </c>
      <c r="L275">
        <v>3</v>
      </c>
      <c r="M275">
        <v>0</v>
      </c>
      <c r="N275">
        <f>_xlfn.IFS(rounded[[#This Row],[social_interaction_level]] = "low", 1,rounded[[#This Row],[social_interaction_level]] = "medium", 2,rounded[[#This Row],[social_interaction_level]] = "high", 3)</f>
        <v>2</v>
      </c>
      <c r="O275">
        <f t="shared" si="4"/>
        <v>14</v>
      </c>
      <c r="P275" t="str" cm="1">
        <f t="array" ref="P275">_xlfn.SWITCH(rounded[[#This Row],[depression_label]], 0, "Not Depressed", 1, "Depressed")</f>
        <v>Not Depressed</v>
      </c>
      <c r="Q275" s="45" t="str" cm="1">
        <f t="array" ref="Q275">_xlfn.SWITCH(rounded[[#This Row],[gender]], "male", "Male", "female", "Female")</f>
        <v>Female</v>
      </c>
    </row>
    <row r="276" spans="1:17" x14ac:dyDescent="0.35">
      <c r="A276">
        <v>19</v>
      </c>
      <c r="B276" t="s">
        <v>16</v>
      </c>
      <c r="C276" s="4">
        <v>4.3</v>
      </c>
      <c r="D276" t="s">
        <v>14</v>
      </c>
      <c r="E276" s="4">
        <v>5.9</v>
      </c>
      <c r="F276" s="4">
        <v>2.1</v>
      </c>
      <c r="G276">
        <v>2.85</v>
      </c>
      <c r="H276">
        <v>1.7</v>
      </c>
      <c r="I276" t="s">
        <v>18</v>
      </c>
      <c r="J276">
        <v>9</v>
      </c>
      <c r="K276">
        <v>9</v>
      </c>
      <c r="L276">
        <v>8</v>
      </c>
      <c r="M276">
        <v>0</v>
      </c>
      <c r="N276">
        <f>_xlfn.IFS(rounded[[#This Row],[social_interaction_level]] = "low", 1,rounded[[#This Row],[social_interaction_level]] = "medium", 2,rounded[[#This Row],[social_interaction_level]] = "high", 3)</f>
        <v>3</v>
      </c>
      <c r="O276">
        <f t="shared" si="4"/>
        <v>26</v>
      </c>
      <c r="P276" t="str" cm="1">
        <f t="array" ref="P276">_xlfn.SWITCH(rounded[[#This Row],[depression_label]], 0, "Not Depressed", 1, "Depressed")</f>
        <v>Not Depressed</v>
      </c>
      <c r="Q276" s="45" t="str" cm="1">
        <f t="array" ref="Q276">_xlfn.SWITCH(rounded[[#This Row],[gender]], "male", "Male", "female", "Female")</f>
        <v>Female</v>
      </c>
    </row>
    <row r="277" spans="1:17" x14ac:dyDescent="0.35">
      <c r="A277">
        <v>16</v>
      </c>
      <c r="B277" t="s">
        <v>13</v>
      </c>
      <c r="C277" s="4">
        <v>7.2</v>
      </c>
      <c r="D277" t="s">
        <v>20</v>
      </c>
      <c r="E277" s="4">
        <v>7.7</v>
      </c>
      <c r="F277" s="4">
        <v>2.5</v>
      </c>
      <c r="G277">
        <v>2.56</v>
      </c>
      <c r="H277">
        <v>1.7</v>
      </c>
      <c r="I277" t="s">
        <v>18</v>
      </c>
      <c r="J277">
        <v>8</v>
      </c>
      <c r="K277">
        <v>7</v>
      </c>
      <c r="L277">
        <v>6</v>
      </c>
      <c r="M277">
        <v>0</v>
      </c>
      <c r="N277">
        <f>_xlfn.IFS(rounded[[#This Row],[social_interaction_level]] = "low", 1,rounded[[#This Row],[social_interaction_level]] = "medium", 2,rounded[[#This Row],[social_interaction_level]] = "high", 3)</f>
        <v>3</v>
      </c>
      <c r="O277">
        <f t="shared" si="4"/>
        <v>21</v>
      </c>
      <c r="P277" t="str" cm="1">
        <f t="array" ref="P277">_xlfn.SWITCH(rounded[[#This Row],[depression_label]], 0, "Not Depressed", 1, "Depressed")</f>
        <v>Not Depressed</v>
      </c>
      <c r="Q277" s="45" t="str" cm="1">
        <f t="array" ref="Q277">_xlfn.SWITCH(rounded[[#This Row],[gender]], "male", "Male", "female", "Female")</f>
        <v>Male</v>
      </c>
    </row>
    <row r="278" spans="1:17" x14ac:dyDescent="0.35">
      <c r="A278">
        <v>13</v>
      </c>
      <c r="B278" t="s">
        <v>13</v>
      </c>
      <c r="C278" s="4">
        <v>7</v>
      </c>
      <c r="D278" t="s">
        <v>20</v>
      </c>
      <c r="E278" s="4">
        <v>4.0999999999999996</v>
      </c>
      <c r="F278" s="4">
        <v>1.9</v>
      </c>
      <c r="G278">
        <v>2.2999999999999998</v>
      </c>
      <c r="H278">
        <v>0.3</v>
      </c>
      <c r="I278" t="s">
        <v>19</v>
      </c>
      <c r="J278">
        <v>3</v>
      </c>
      <c r="K278">
        <v>10</v>
      </c>
      <c r="L278">
        <v>6</v>
      </c>
      <c r="M278">
        <v>0</v>
      </c>
      <c r="N278">
        <f>_xlfn.IFS(rounded[[#This Row],[social_interaction_level]] = "low", 1,rounded[[#This Row],[social_interaction_level]] = "medium", 2,rounded[[#This Row],[social_interaction_level]] = "high", 3)</f>
        <v>2</v>
      </c>
      <c r="O278">
        <f t="shared" si="4"/>
        <v>19</v>
      </c>
      <c r="P278" t="str" cm="1">
        <f t="array" ref="P278">_xlfn.SWITCH(rounded[[#This Row],[depression_label]], 0, "Not Depressed", 1, "Depressed")</f>
        <v>Not Depressed</v>
      </c>
      <c r="Q278" s="45" t="str" cm="1">
        <f t="array" ref="Q278">_xlfn.SWITCH(rounded[[#This Row],[gender]], "male", "Male", "female", "Female")</f>
        <v>Male</v>
      </c>
    </row>
    <row r="279" spans="1:17" x14ac:dyDescent="0.35">
      <c r="A279">
        <v>18</v>
      </c>
      <c r="B279" t="s">
        <v>16</v>
      </c>
      <c r="C279" s="4">
        <v>3.8</v>
      </c>
      <c r="D279" t="s">
        <v>20</v>
      </c>
      <c r="E279" s="4">
        <v>5.4</v>
      </c>
      <c r="F279" s="4">
        <v>1.7</v>
      </c>
      <c r="G279">
        <v>3.06</v>
      </c>
      <c r="H279">
        <v>1.9</v>
      </c>
      <c r="I279" t="s">
        <v>19</v>
      </c>
      <c r="J279">
        <v>5</v>
      </c>
      <c r="K279">
        <v>10</v>
      </c>
      <c r="L279">
        <v>3</v>
      </c>
      <c r="M279">
        <v>0</v>
      </c>
      <c r="N279">
        <f>_xlfn.IFS(rounded[[#This Row],[social_interaction_level]] = "low", 1,rounded[[#This Row],[social_interaction_level]] = "medium", 2,rounded[[#This Row],[social_interaction_level]] = "high", 3)</f>
        <v>2</v>
      </c>
      <c r="O279">
        <f t="shared" si="4"/>
        <v>18</v>
      </c>
      <c r="P279" t="str" cm="1">
        <f t="array" ref="P279">_xlfn.SWITCH(rounded[[#This Row],[depression_label]], 0, "Not Depressed", 1, "Depressed")</f>
        <v>Not Depressed</v>
      </c>
      <c r="Q279" s="45" t="str" cm="1">
        <f t="array" ref="Q279">_xlfn.SWITCH(rounded[[#This Row],[gender]], "male", "Male", "female", "Female")</f>
        <v>Female</v>
      </c>
    </row>
    <row r="280" spans="1:17" x14ac:dyDescent="0.35">
      <c r="A280">
        <v>17</v>
      </c>
      <c r="B280" t="s">
        <v>16</v>
      </c>
      <c r="C280" s="4">
        <v>3</v>
      </c>
      <c r="D280" t="s">
        <v>14</v>
      </c>
      <c r="E280" s="4">
        <v>6.9</v>
      </c>
      <c r="F280" s="4">
        <v>2.2999999999999998</v>
      </c>
      <c r="G280">
        <v>3.34</v>
      </c>
      <c r="H280">
        <v>0.6</v>
      </c>
      <c r="I280" t="s">
        <v>15</v>
      </c>
      <c r="J280">
        <v>5</v>
      </c>
      <c r="K280">
        <v>2</v>
      </c>
      <c r="L280">
        <v>9</v>
      </c>
      <c r="M280">
        <v>0</v>
      </c>
      <c r="N280">
        <f>_xlfn.IFS(rounded[[#This Row],[social_interaction_level]] = "low", 1,rounded[[#This Row],[social_interaction_level]] = "medium", 2,rounded[[#This Row],[social_interaction_level]] = "high", 3)</f>
        <v>1</v>
      </c>
      <c r="O280">
        <f t="shared" si="4"/>
        <v>16</v>
      </c>
      <c r="P280" t="str" cm="1">
        <f t="array" ref="P280">_xlfn.SWITCH(rounded[[#This Row],[depression_label]], 0, "Not Depressed", 1, "Depressed")</f>
        <v>Not Depressed</v>
      </c>
      <c r="Q280" s="45" t="str" cm="1">
        <f t="array" ref="Q280">_xlfn.SWITCH(rounded[[#This Row],[gender]], "male", "Male", "female", "Female")</f>
        <v>Female</v>
      </c>
    </row>
    <row r="281" spans="1:17" x14ac:dyDescent="0.35">
      <c r="A281">
        <v>14</v>
      </c>
      <c r="B281" t="s">
        <v>16</v>
      </c>
      <c r="C281" s="4">
        <v>7</v>
      </c>
      <c r="D281" t="s">
        <v>17</v>
      </c>
      <c r="E281" s="4">
        <v>7.8</v>
      </c>
      <c r="F281" s="4">
        <v>1.1000000000000001</v>
      </c>
      <c r="G281">
        <v>3.81</v>
      </c>
      <c r="H281">
        <v>1.4</v>
      </c>
      <c r="I281" t="s">
        <v>19</v>
      </c>
      <c r="J281">
        <v>10</v>
      </c>
      <c r="K281">
        <v>4</v>
      </c>
      <c r="L281">
        <v>2</v>
      </c>
      <c r="M281">
        <v>0</v>
      </c>
      <c r="N281">
        <f>_xlfn.IFS(rounded[[#This Row],[social_interaction_level]] = "low", 1,rounded[[#This Row],[social_interaction_level]] = "medium", 2,rounded[[#This Row],[social_interaction_level]] = "high", 3)</f>
        <v>2</v>
      </c>
      <c r="O281">
        <f t="shared" si="4"/>
        <v>16</v>
      </c>
      <c r="P281" t="str" cm="1">
        <f t="array" ref="P281">_xlfn.SWITCH(rounded[[#This Row],[depression_label]], 0, "Not Depressed", 1, "Depressed")</f>
        <v>Not Depressed</v>
      </c>
      <c r="Q281" s="45" t="str" cm="1">
        <f t="array" ref="Q281">_xlfn.SWITCH(rounded[[#This Row],[gender]], "male", "Male", "female", "Female")</f>
        <v>Female</v>
      </c>
    </row>
    <row r="282" spans="1:17" x14ac:dyDescent="0.35">
      <c r="A282">
        <v>13</v>
      </c>
      <c r="B282" t="s">
        <v>13</v>
      </c>
      <c r="C282" s="4">
        <v>4.5999999999999996</v>
      </c>
      <c r="D282" t="s">
        <v>17</v>
      </c>
      <c r="E282" s="4">
        <v>5.3</v>
      </c>
      <c r="F282" s="4">
        <v>2.2999999999999998</v>
      </c>
      <c r="G282">
        <v>2.42</v>
      </c>
      <c r="H282">
        <v>0.2</v>
      </c>
      <c r="I282" t="s">
        <v>15</v>
      </c>
      <c r="J282">
        <v>5</v>
      </c>
      <c r="K282">
        <v>9</v>
      </c>
      <c r="L282">
        <v>5</v>
      </c>
      <c r="M282">
        <v>0</v>
      </c>
      <c r="N282">
        <f>_xlfn.IFS(rounded[[#This Row],[social_interaction_level]] = "low", 1,rounded[[#This Row],[social_interaction_level]] = "medium", 2,rounded[[#This Row],[social_interaction_level]] = "high", 3)</f>
        <v>1</v>
      </c>
      <c r="O282">
        <f t="shared" si="4"/>
        <v>19</v>
      </c>
      <c r="P282" t="str" cm="1">
        <f t="array" ref="P282">_xlfn.SWITCH(rounded[[#This Row],[depression_label]], 0, "Not Depressed", 1, "Depressed")</f>
        <v>Not Depressed</v>
      </c>
      <c r="Q282" s="45" t="str" cm="1">
        <f t="array" ref="Q282">_xlfn.SWITCH(rounded[[#This Row],[gender]], "male", "Male", "female", "Female")</f>
        <v>Male</v>
      </c>
    </row>
    <row r="283" spans="1:17" x14ac:dyDescent="0.35">
      <c r="A283">
        <v>16</v>
      </c>
      <c r="B283" t="s">
        <v>13</v>
      </c>
      <c r="C283" s="4">
        <v>3.4</v>
      </c>
      <c r="D283" t="s">
        <v>20</v>
      </c>
      <c r="E283" s="4">
        <v>8.9</v>
      </c>
      <c r="F283" s="4">
        <v>2.6</v>
      </c>
      <c r="G283">
        <v>2.54</v>
      </c>
      <c r="H283">
        <v>1.8</v>
      </c>
      <c r="I283" t="s">
        <v>18</v>
      </c>
      <c r="J283">
        <v>6</v>
      </c>
      <c r="K283">
        <v>2</v>
      </c>
      <c r="L283">
        <v>5</v>
      </c>
      <c r="M283">
        <v>0</v>
      </c>
      <c r="N283">
        <f>_xlfn.IFS(rounded[[#This Row],[social_interaction_level]] = "low", 1,rounded[[#This Row],[social_interaction_level]] = "medium", 2,rounded[[#This Row],[social_interaction_level]] = "high", 3)</f>
        <v>3</v>
      </c>
      <c r="O283">
        <f t="shared" si="4"/>
        <v>13</v>
      </c>
      <c r="P283" t="str" cm="1">
        <f t="array" ref="P283">_xlfn.SWITCH(rounded[[#This Row],[depression_label]], 0, "Not Depressed", 1, "Depressed")</f>
        <v>Not Depressed</v>
      </c>
      <c r="Q283" s="45" t="str" cm="1">
        <f t="array" ref="Q283">_xlfn.SWITCH(rounded[[#This Row],[gender]], "male", "Male", "female", "Female")</f>
        <v>Male</v>
      </c>
    </row>
    <row r="284" spans="1:17" x14ac:dyDescent="0.35">
      <c r="A284">
        <v>19</v>
      </c>
      <c r="B284" t="s">
        <v>16</v>
      </c>
      <c r="C284" s="4">
        <v>3.5</v>
      </c>
      <c r="D284" t="s">
        <v>17</v>
      </c>
      <c r="E284" s="4">
        <v>6.7</v>
      </c>
      <c r="F284" s="4">
        <v>2.7</v>
      </c>
      <c r="G284">
        <v>3.4</v>
      </c>
      <c r="H284">
        <v>1.2</v>
      </c>
      <c r="I284" t="s">
        <v>15</v>
      </c>
      <c r="J284">
        <v>4</v>
      </c>
      <c r="K284">
        <v>6</v>
      </c>
      <c r="L284">
        <v>7</v>
      </c>
      <c r="M284">
        <v>0</v>
      </c>
      <c r="N284">
        <f>_xlfn.IFS(rounded[[#This Row],[social_interaction_level]] = "low", 1,rounded[[#This Row],[social_interaction_level]] = "medium", 2,rounded[[#This Row],[social_interaction_level]] = "high", 3)</f>
        <v>1</v>
      </c>
      <c r="O284">
        <f t="shared" si="4"/>
        <v>17</v>
      </c>
      <c r="P284" t="str" cm="1">
        <f t="array" ref="P284">_xlfn.SWITCH(rounded[[#This Row],[depression_label]], 0, "Not Depressed", 1, "Depressed")</f>
        <v>Not Depressed</v>
      </c>
      <c r="Q284" s="45" t="str" cm="1">
        <f t="array" ref="Q284">_xlfn.SWITCH(rounded[[#This Row],[gender]], "male", "Male", "female", "Female")</f>
        <v>Female</v>
      </c>
    </row>
    <row r="285" spans="1:17" x14ac:dyDescent="0.35">
      <c r="A285">
        <v>14</v>
      </c>
      <c r="B285" t="s">
        <v>16</v>
      </c>
      <c r="C285" s="4">
        <v>4.4000000000000004</v>
      </c>
      <c r="D285" t="s">
        <v>20</v>
      </c>
      <c r="E285" s="4">
        <v>7.3</v>
      </c>
      <c r="F285" s="4">
        <v>2.7</v>
      </c>
      <c r="G285">
        <v>3.3</v>
      </c>
      <c r="H285">
        <v>1.1000000000000001</v>
      </c>
      <c r="I285" t="s">
        <v>15</v>
      </c>
      <c r="J285">
        <v>2</v>
      </c>
      <c r="K285">
        <v>1</v>
      </c>
      <c r="L285">
        <v>9</v>
      </c>
      <c r="M285">
        <v>0</v>
      </c>
      <c r="N285">
        <f>_xlfn.IFS(rounded[[#This Row],[social_interaction_level]] = "low", 1,rounded[[#This Row],[social_interaction_level]] = "medium", 2,rounded[[#This Row],[social_interaction_level]] = "high", 3)</f>
        <v>1</v>
      </c>
      <c r="O285">
        <f t="shared" si="4"/>
        <v>12</v>
      </c>
      <c r="P285" t="str" cm="1">
        <f t="array" ref="P285">_xlfn.SWITCH(rounded[[#This Row],[depression_label]], 0, "Not Depressed", 1, "Depressed")</f>
        <v>Not Depressed</v>
      </c>
      <c r="Q285" s="45" t="str" cm="1">
        <f t="array" ref="Q285">_xlfn.SWITCH(rounded[[#This Row],[gender]], "male", "Male", "female", "Female")</f>
        <v>Female</v>
      </c>
    </row>
    <row r="286" spans="1:17" x14ac:dyDescent="0.35">
      <c r="A286">
        <v>14</v>
      </c>
      <c r="B286" t="s">
        <v>16</v>
      </c>
      <c r="C286" s="4">
        <v>1.8</v>
      </c>
      <c r="D286" t="s">
        <v>20</v>
      </c>
      <c r="E286" s="4">
        <v>8.1999999999999993</v>
      </c>
      <c r="F286" s="4">
        <v>2.2000000000000002</v>
      </c>
      <c r="G286">
        <v>3.36</v>
      </c>
      <c r="H286">
        <v>1.7</v>
      </c>
      <c r="I286" t="s">
        <v>18</v>
      </c>
      <c r="J286">
        <v>9</v>
      </c>
      <c r="K286">
        <v>5</v>
      </c>
      <c r="L286">
        <v>10</v>
      </c>
      <c r="M286">
        <v>0</v>
      </c>
      <c r="N286">
        <f>_xlfn.IFS(rounded[[#This Row],[social_interaction_level]] = "low", 1,rounded[[#This Row],[social_interaction_level]] = "medium", 2,rounded[[#This Row],[social_interaction_level]] = "high", 3)</f>
        <v>3</v>
      </c>
      <c r="O286">
        <f t="shared" si="4"/>
        <v>24</v>
      </c>
      <c r="P286" t="str" cm="1">
        <f t="array" ref="P286">_xlfn.SWITCH(rounded[[#This Row],[depression_label]], 0, "Not Depressed", 1, "Depressed")</f>
        <v>Not Depressed</v>
      </c>
      <c r="Q286" s="45" t="str" cm="1">
        <f t="array" ref="Q286">_xlfn.SWITCH(rounded[[#This Row],[gender]], "male", "Male", "female", "Female")</f>
        <v>Female</v>
      </c>
    </row>
    <row r="287" spans="1:17" x14ac:dyDescent="0.35">
      <c r="A287">
        <v>17</v>
      </c>
      <c r="B287" t="s">
        <v>13</v>
      </c>
      <c r="C287" s="4">
        <v>3.9</v>
      </c>
      <c r="D287" t="s">
        <v>20</v>
      </c>
      <c r="E287" s="4">
        <v>7.7</v>
      </c>
      <c r="F287" s="4">
        <v>1</v>
      </c>
      <c r="G287">
        <v>2.1</v>
      </c>
      <c r="H287">
        <v>1.8</v>
      </c>
      <c r="I287" t="s">
        <v>18</v>
      </c>
      <c r="J287">
        <v>7</v>
      </c>
      <c r="K287">
        <v>4</v>
      </c>
      <c r="L287">
        <v>5</v>
      </c>
      <c r="M287">
        <v>0</v>
      </c>
      <c r="N287">
        <f>_xlfn.IFS(rounded[[#This Row],[social_interaction_level]] = "low", 1,rounded[[#This Row],[social_interaction_level]] = "medium", 2,rounded[[#This Row],[social_interaction_level]] = "high", 3)</f>
        <v>3</v>
      </c>
      <c r="O287">
        <f t="shared" si="4"/>
        <v>16</v>
      </c>
      <c r="P287" t="str" cm="1">
        <f t="array" ref="P287">_xlfn.SWITCH(rounded[[#This Row],[depression_label]], 0, "Not Depressed", 1, "Depressed")</f>
        <v>Not Depressed</v>
      </c>
      <c r="Q287" s="45" t="str" cm="1">
        <f t="array" ref="Q287">_xlfn.SWITCH(rounded[[#This Row],[gender]], "male", "Male", "female", "Female")</f>
        <v>Male</v>
      </c>
    </row>
    <row r="288" spans="1:17" x14ac:dyDescent="0.35">
      <c r="A288">
        <v>14</v>
      </c>
      <c r="B288" t="s">
        <v>16</v>
      </c>
      <c r="C288" s="4">
        <v>4.4000000000000004</v>
      </c>
      <c r="D288" t="s">
        <v>17</v>
      </c>
      <c r="E288" s="4">
        <v>5.7</v>
      </c>
      <c r="F288" s="4">
        <v>1</v>
      </c>
      <c r="G288">
        <v>3.2</v>
      </c>
      <c r="H288">
        <v>1.9</v>
      </c>
      <c r="I288" t="s">
        <v>18</v>
      </c>
      <c r="J288">
        <v>4</v>
      </c>
      <c r="K288">
        <v>2</v>
      </c>
      <c r="L288">
        <v>2</v>
      </c>
      <c r="M288">
        <v>0</v>
      </c>
      <c r="N288">
        <f>_xlfn.IFS(rounded[[#This Row],[social_interaction_level]] = "low", 1,rounded[[#This Row],[social_interaction_level]] = "medium", 2,rounded[[#This Row],[social_interaction_level]] = "high", 3)</f>
        <v>3</v>
      </c>
      <c r="O288">
        <f t="shared" si="4"/>
        <v>8</v>
      </c>
      <c r="P288" t="str" cm="1">
        <f t="array" ref="P288">_xlfn.SWITCH(rounded[[#This Row],[depression_label]], 0, "Not Depressed", 1, "Depressed")</f>
        <v>Not Depressed</v>
      </c>
      <c r="Q288" s="45" t="str" cm="1">
        <f t="array" ref="Q288">_xlfn.SWITCH(rounded[[#This Row],[gender]], "male", "Male", "female", "Female")</f>
        <v>Female</v>
      </c>
    </row>
    <row r="289" spans="1:17" x14ac:dyDescent="0.35">
      <c r="A289">
        <v>13</v>
      </c>
      <c r="B289" t="s">
        <v>16</v>
      </c>
      <c r="C289" s="4">
        <v>2</v>
      </c>
      <c r="D289" t="s">
        <v>14</v>
      </c>
      <c r="E289" s="4">
        <v>8.6999999999999993</v>
      </c>
      <c r="F289" s="4">
        <v>1.9</v>
      </c>
      <c r="G289">
        <v>2.2799999999999998</v>
      </c>
      <c r="H289">
        <v>1.2</v>
      </c>
      <c r="I289" t="s">
        <v>19</v>
      </c>
      <c r="J289">
        <v>7</v>
      </c>
      <c r="K289">
        <v>7</v>
      </c>
      <c r="L289">
        <v>9</v>
      </c>
      <c r="M289">
        <v>0</v>
      </c>
      <c r="N289">
        <f>_xlfn.IFS(rounded[[#This Row],[social_interaction_level]] = "low", 1,rounded[[#This Row],[social_interaction_level]] = "medium", 2,rounded[[#This Row],[social_interaction_level]] = "high", 3)</f>
        <v>2</v>
      </c>
      <c r="O289">
        <f t="shared" si="4"/>
        <v>23</v>
      </c>
      <c r="P289" t="str" cm="1">
        <f t="array" ref="P289">_xlfn.SWITCH(rounded[[#This Row],[depression_label]], 0, "Not Depressed", 1, "Depressed")</f>
        <v>Not Depressed</v>
      </c>
      <c r="Q289" s="45" t="str" cm="1">
        <f t="array" ref="Q289">_xlfn.SWITCH(rounded[[#This Row],[gender]], "male", "Male", "female", "Female")</f>
        <v>Female</v>
      </c>
    </row>
    <row r="290" spans="1:17" x14ac:dyDescent="0.35">
      <c r="A290">
        <v>17</v>
      </c>
      <c r="B290" t="s">
        <v>13</v>
      </c>
      <c r="C290" s="4">
        <v>7.2</v>
      </c>
      <c r="D290" t="s">
        <v>17</v>
      </c>
      <c r="E290" s="4">
        <v>8.8000000000000007</v>
      </c>
      <c r="F290" s="4">
        <v>2.5</v>
      </c>
      <c r="G290">
        <v>3.97</v>
      </c>
      <c r="H290">
        <v>1.9</v>
      </c>
      <c r="I290" t="s">
        <v>15</v>
      </c>
      <c r="J290">
        <v>1</v>
      </c>
      <c r="K290">
        <v>3</v>
      </c>
      <c r="L290">
        <v>9</v>
      </c>
      <c r="M290">
        <v>0</v>
      </c>
      <c r="N290">
        <f>_xlfn.IFS(rounded[[#This Row],[social_interaction_level]] = "low", 1,rounded[[#This Row],[social_interaction_level]] = "medium", 2,rounded[[#This Row],[social_interaction_level]] = "high", 3)</f>
        <v>1</v>
      </c>
      <c r="O290">
        <f t="shared" si="4"/>
        <v>13</v>
      </c>
      <c r="P290" t="str" cm="1">
        <f t="array" ref="P290">_xlfn.SWITCH(rounded[[#This Row],[depression_label]], 0, "Not Depressed", 1, "Depressed")</f>
        <v>Not Depressed</v>
      </c>
      <c r="Q290" s="45" t="str" cm="1">
        <f t="array" ref="Q290">_xlfn.SWITCH(rounded[[#This Row],[gender]], "male", "Male", "female", "Female")</f>
        <v>Male</v>
      </c>
    </row>
    <row r="291" spans="1:17" x14ac:dyDescent="0.35">
      <c r="A291">
        <v>19</v>
      </c>
      <c r="B291" t="s">
        <v>13</v>
      </c>
      <c r="C291" s="4">
        <v>4.4000000000000004</v>
      </c>
      <c r="D291" t="s">
        <v>20</v>
      </c>
      <c r="E291" s="4">
        <v>6.4</v>
      </c>
      <c r="F291" s="4">
        <v>0.9</v>
      </c>
      <c r="G291">
        <v>2.72</v>
      </c>
      <c r="H291">
        <v>0.2</v>
      </c>
      <c r="I291" t="s">
        <v>19</v>
      </c>
      <c r="J291">
        <v>6</v>
      </c>
      <c r="K291">
        <v>9</v>
      </c>
      <c r="L291">
        <v>8</v>
      </c>
      <c r="M291">
        <v>0</v>
      </c>
      <c r="N291">
        <f>_xlfn.IFS(rounded[[#This Row],[social_interaction_level]] = "low", 1,rounded[[#This Row],[social_interaction_level]] = "medium", 2,rounded[[#This Row],[social_interaction_level]] = "high", 3)</f>
        <v>2</v>
      </c>
      <c r="O291">
        <f t="shared" si="4"/>
        <v>23</v>
      </c>
      <c r="P291" t="str" cm="1">
        <f t="array" ref="P291">_xlfn.SWITCH(rounded[[#This Row],[depression_label]], 0, "Not Depressed", 1, "Depressed")</f>
        <v>Not Depressed</v>
      </c>
      <c r="Q291" s="45" t="str" cm="1">
        <f t="array" ref="Q291">_xlfn.SWITCH(rounded[[#This Row],[gender]], "male", "Male", "female", "Female")</f>
        <v>Male</v>
      </c>
    </row>
    <row r="292" spans="1:17" x14ac:dyDescent="0.35">
      <c r="A292">
        <v>14</v>
      </c>
      <c r="B292" t="s">
        <v>13</v>
      </c>
      <c r="C292" s="4">
        <v>7.2</v>
      </c>
      <c r="D292" t="s">
        <v>17</v>
      </c>
      <c r="E292" s="4">
        <v>4.8</v>
      </c>
      <c r="F292" s="4">
        <v>1.4</v>
      </c>
      <c r="G292">
        <v>2.36</v>
      </c>
      <c r="H292">
        <v>0.1</v>
      </c>
      <c r="I292" t="s">
        <v>15</v>
      </c>
      <c r="J292">
        <v>5</v>
      </c>
      <c r="K292">
        <v>7</v>
      </c>
      <c r="L292">
        <v>1</v>
      </c>
      <c r="M292">
        <v>0</v>
      </c>
      <c r="N292">
        <f>_xlfn.IFS(rounded[[#This Row],[social_interaction_level]] = "low", 1,rounded[[#This Row],[social_interaction_level]] = "medium", 2,rounded[[#This Row],[social_interaction_level]] = "high", 3)</f>
        <v>1</v>
      </c>
      <c r="O292">
        <f t="shared" si="4"/>
        <v>13</v>
      </c>
      <c r="P292" t="str" cm="1">
        <f t="array" ref="P292">_xlfn.SWITCH(rounded[[#This Row],[depression_label]], 0, "Not Depressed", 1, "Depressed")</f>
        <v>Not Depressed</v>
      </c>
      <c r="Q292" s="45" t="str" cm="1">
        <f t="array" ref="Q292">_xlfn.SWITCH(rounded[[#This Row],[gender]], "male", "Male", "female", "Female")</f>
        <v>Male</v>
      </c>
    </row>
    <row r="293" spans="1:17" x14ac:dyDescent="0.35">
      <c r="A293">
        <v>13</v>
      </c>
      <c r="B293" t="s">
        <v>13</v>
      </c>
      <c r="C293" s="4">
        <v>5.4</v>
      </c>
      <c r="D293" t="s">
        <v>14</v>
      </c>
      <c r="E293" s="4">
        <v>6.5</v>
      </c>
      <c r="F293" s="4">
        <v>0.8</v>
      </c>
      <c r="G293">
        <v>3.17</v>
      </c>
      <c r="H293">
        <v>0.3</v>
      </c>
      <c r="I293" t="s">
        <v>19</v>
      </c>
      <c r="J293">
        <v>10</v>
      </c>
      <c r="K293">
        <v>3</v>
      </c>
      <c r="L293">
        <v>3</v>
      </c>
      <c r="M293">
        <v>0</v>
      </c>
      <c r="N293">
        <f>_xlfn.IFS(rounded[[#This Row],[social_interaction_level]] = "low", 1,rounded[[#This Row],[social_interaction_level]] = "medium", 2,rounded[[#This Row],[social_interaction_level]] = "high", 3)</f>
        <v>2</v>
      </c>
      <c r="O293">
        <f t="shared" si="4"/>
        <v>16</v>
      </c>
      <c r="P293" t="str" cm="1">
        <f t="array" ref="P293">_xlfn.SWITCH(rounded[[#This Row],[depression_label]], 0, "Not Depressed", 1, "Depressed")</f>
        <v>Not Depressed</v>
      </c>
      <c r="Q293" s="45" t="str" cm="1">
        <f t="array" ref="Q293">_xlfn.SWITCH(rounded[[#This Row],[gender]], "male", "Male", "female", "Female")</f>
        <v>Male</v>
      </c>
    </row>
    <row r="294" spans="1:17" x14ac:dyDescent="0.35">
      <c r="A294">
        <v>16</v>
      </c>
      <c r="B294" t="s">
        <v>13</v>
      </c>
      <c r="C294" s="4">
        <v>1.5</v>
      </c>
      <c r="D294" t="s">
        <v>17</v>
      </c>
      <c r="E294" s="4">
        <v>4.0999999999999996</v>
      </c>
      <c r="F294" s="4">
        <v>1.3</v>
      </c>
      <c r="G294">
        <v>3.67</v>
      </c>
      <c r="H294">
        <v>1.2</v>
      </c>
      <c r="I294" t="s">
        <v>18</v>
      </c>
      <c r="J294">
        <v>10</v>
      </c>
      <c r="K294">
        <v>6</v>
      </c>
      <c r="L294">
        <v>6</v>
      </c>
      <c r="M294">
        <v>0</v>
      </c>
      <c r="N294">
        <f>_xlfn.IFS(rounded[[#This Row],[social_interaction_level]] = "low", 1,rounded[[#This Row],[social_interaction_level]] = "medium", 2,rounded[[#This Row],[social_interaction_level]] = "high", 3)</f>
        <v>3</v>
      </c>
      <c r="O294">
        <f t="shared" si="4"/>
        <v>22</v>
      </c>
      <c r="P294" t="str" cm="1">
        <f t="array" ref="P294">_xlfn.SWITCH(rounded[[#This Row],[depression_label]], 0, "Not Depressed", 1, "Depressed")</f>
        <v>Not Depressed</v>
      </c>
      <c r="Q294" s="45" t="str" cm="1">
        <f t="array" ref="Q294">_xlfn.SWITCH(rounded[[#This Row],[gender]], "male", "Male", "female", "Female")</f>
        <v>Male</v>
      </c>
    </row>
    <row r="295" spans="1:17" x14ac:dyDescent="0.35">
      <c r="A295">
        <v>15</v>
      </c>
      <c r="B295" t="s">
        <v>16</v>
      </c>
      <c r="C295" s="4">
        <v>1.8</v>
      </c>
      <c r="D295" t="s">
        <v>14</v>
      </c>
      <c r="E295" s="4">
        <v>8</v>
      </c>
      <c r="F295" s="4">
        <v>2.8</v>
      </c>
      <c r="G295">
        <v>3.49</v>
      </c>
      <c r="H295">
        <v>0.6</v>
      </c>
      <c r="I295" t="s">
        <v>15</v>
      </c>
      <c r="J295">
        <v>9</v>
      </c>
      <c r="K295">
        <v>8</v>
      </c>
      <c r="L295">
        <v>8</v>
      </c>
      <c r="M295">
        <v>0</v>
      </c>
      <c r="N295">
        <f>_xlfn.IFS(rounded[[#This Row],[social_interaction_level]] = "low", 1,rounded[[#This Row],[social_interaction_level]] = "medium", 2,rounded[[#This Row],[social_interaction_level]] = "high", 3)</f>
        <v>1</v>
      </c>
      <c r="O295">
        <f t="shared" si="4"/>
        <v>25</v>
      </c>
      <c r="P295" t="str" cm="1">
        <f t="array" ref="P295">_xlfn.SWITCH(rounded[[#This Row],[depression_label]], 0, "Not Depressed", 1, "Depressed")</f>
        <v>Not Depressed</v>
      </c>
      <c r="Q295" s="45" t="str" cm="1">
        <f t="array" ref="Q295">_xlfn.SWITCH(rounded[[#This Row],[gender]], "male", "Male", "female", "Female")</f>
        <v>Female</v>
      </c>
    </row>
    <row r="296" spans="1:17" x14ac:dyDescent="0.35">
      <c r="A296">
        <v>17</v>
      </c>
      <c r="B296" t="s">
        <v>16</v>
      </c>
      <c r="C296" s="4">
        <v>3.7</v>
      </c>
      <c r="D296" t="s">
        <v>17</v>
      </c>
      <c r="E296" s="4">
        <v>5.3</v>
      </c>
      <c r="F296" s="4">
        <v>0.7</v>
      </c>
      <c r="G296">
        <v>2.09</v>
      </c>
      <c r="H296">
        <v>0.8</v>
      </c>
      <c r="I296" t="s">
        <v>18</v>
      </c>
      <c r="J296">
        <v>8</v>
      </c>
      <c r="K296">
        <v>8</v>
      </c>
      <c r="L296">
        <v>10</v>
      </c>
      <c r="M296">
        <v>0</v>
      </c>
      <c r="N296">
        <f>_xlfn.IFS(rounded[[#This Row],[social_interaction_level]] = "low", 1,rounded[[#This Row],[social_interaction_level]] = "medium", 2,rounded[[#This Row],[social_interaction_level]] = "high", 3)</f>
        <v>3</v>
      </c>
      <c r="O296">
        <f t="shared" si="4"/>
        <v>26</v>
      </c>
      <c r="P296" t="str" cm="1">
        <f t="array" ref="P296">_xlfn.SWITCH(rounded[[#This Row],[depression_label]], 0, "Not Depressed", 1, "Depressed")</f>
        <v>Not Depressed</v>
      </c>
      <c r="Q296" s="45" t="str" cm="1">
        <f t="array" ref="Q296">_xlfn.SWITCH(rounded[[#This Row],[gender]], "male", "Male", "female", "Female")</f>
        <v>Female</v>
      </c>
    </row>
    <row r="297" spans="1:17" x14ac:dyDescent="0.35">
      <c r="A297">
        <v>13</v>
      </c>
      <c r="B297" t="s">
        <v>13</v>
      </c>
      <c r="C297" s="4">
        <v>6.4</v>
      </c>
      <c r="D297" t="s">
        <v>20</v>
      </c>
      <c r="E297" s="4">
        <v>8.3000000000000007</v>
      </c>
      <c r="F297" s="4">
        <v>1.3</v>
      </c>
      <c r="G297">
        <v>2.21</v>
      </c>
      <c r="H297">
        <v>1.2</v>
      </c>
      <c r="I297" t="s">
        <v>18</v>
      </c>
      <c r="J297">
        <v>4</v>
      </c>
      <c r="K297">
        <v>5</v>
      </c>
      <c r="L297">
        <v>9</v>
      </c>
      <c r="M297">
        <v>0</v>
      </c>
      <c r="N297">
        <f>_xlfn.IFS(rounded[[#This Row],[social_interaction_level]] = "low", 1,rounded[[#This Row],[social_interaction_level]] = "medium", 2,rounded[[#This Row],[social_interaction_level]] = "high", 3)</f>
        <v>3</v>
      </c>
      <c r="O297">
        <f t="shared" si="4"/>
        <v>18</v>
      </c>
      <c r="P297" t="str" cm="1">
        <f t="array" ref="P297">_xlfn.SWITCH(rounded[[#This Row],[depression_label]], 0, "Not Depressed", 1, "Depressed")</f>
        <v>Not Depressed</v>
      </c>
      <c r="Q297" s="45" t="str" cm="1">
        <f t="array" ref="Q297">_xlfn.SWITCH(rounded[[#This Row],[gender]], "male", "Male", "female", "Female")</f>
        <v>Male</v>
      </c>
    </row>
    <row r="298" spans="1:17" x14ac:dyDescent="0.35">
      <c r="A298">
        <v>19</v>
      </c>
      <c r="B298" t="s">
        <v>13</v>
      </c>
      <c r="C298" s="4">
        <v>6.4</v>
      </c>
      <c r="D298" t="s">
        <v>20</v>
      </c>
      <c r="E298" s="4">
        <v>6.7</v>
      </c>
      <c r="F298" s="4">
        <v>2.4</v>
      </c>
      <c r="G298">
        <v>2.2000000000000002</v>
      </c>
      <c r="H298">
        <v>1.3</v>
      </c>
      <c r="I298" t="s">
        <v>15</v>
      </c>
      <c r="J298">
        <v>5</v>
      </c>
      <c r="K298">
        <v>2</v>
      </c>
      <c r="L298">
        <v>2</v>
      </c>
      <c r="M298">
        <v>0</v>
      </c>
      <c r="N298">
        <f>_xlfn.IFS(rounded[[#This Row],[social_interaction_level]] = "low", 1,rounded[[#This Row],[social_interaction_level]] = "medium", 2,rounded[[#This Row],[social_interaction_level]] = "high", 3)</f>
        <v>1</v>
      </c>
      <c r="O298">
        <f t="shared" si="4"/>
        <v>9</v>
      </c>
      <c r="P298" t="str" cm="1">
        <f t="array" ref="P298">_xlfn.SWITCH(rounded[[#This Row],[depression_label]], 0, "Not Depressed", 1, "Depressed")</f>
        <v>Not Depressed</v>
      </c>
      <c r="Q298" s="45" t="str" cm="1">
        <f t="array" ref="Q298">_xlfn.SWITCH(rounded[[#This Row],[gender]], "male", "Male", "female", "Female")</f>
        <v>Male</v>
      </c>
    </row>
    <row r="299" spans="1:17" x14ac:dyDescent="0.35">
      <c r="A299">
        <v>17</v>
      </c>
      <c r="B299" t="s">
        <v>16</v>
      </c>
      <c r="C299" s="4">
        <v>1.1000000000000001</v>
      </c>
      <c r="D299" t="s">
        <v>14</v>
      </c>
      <c r="E299" s="4">
        <v>9</v>
      </c>
      <c r="F299" s="4">
        <v>2.9</v>
      </c>
      <c r="G299">
        <v>2.74</v>
      </c>
      <c r="H299">
        <v>1</v>
      </c>
      <c r="I299" t="s">
        <v>19</v>
      </c>
      <c r="J299">
        <v>2</v>
      </c>
      <c r="K299">
        <v>8</v>
      </c>
      <c r="L299">
        <v>2</v>
      </c>
      <c r="M299">
        <v>0</v>
      </c>
      <c r="N299">
        <f>_xlfn.IFS(rounded[[#This Row],[social_interaction_level]] = "low", 1,rounded[[#This Row],[social_interaction_level]] = "medium", 2,rounded[[#This Row],[social_interaction_level]] = "high", 3)</f>
        <v>2</v>
      </c>
      <c r="O299">
        <f t="shared" si="4"/>
        <v>12</v>
      </c>
      <c r="P299" t="str" cm="1">
        <f t="array" ref="P299">_xlfn.SWITCH(rounded[[#This Row],[depression_label]], 0, "Not Depressed", 1, "Depressed")</f>
        <v>Not Depressed</v>
      </c>
      <c r="Q299" s="45" t="str" cm="1">
        <f t="array" ref="Q299">_xlfn.SWITCH(rounded[[#This Row],[gender]], "male", "Male", "female", "Female")</f>
        <v>Female</v>
      </c>
    </row>
    <row r="300" spans="1:17" x14ac:dyDescent="0.35">
      <c r="A300">
        <v>13</v>
      </c>
      <c r="B300" t="s">
        <v>13</v>
      </c>
      <c r="C300" s="4">
        <v>1.3</v>
      </c>
      <c r="D300" t="s">
        <v>17</v>
      </c>
      <c r="E300" s="4">
        <v>7.8</v>
      </c>
      <c r="F300" s="4">
        <v>2.6</v>
      </c>
      <c r="G300">
        <v>3.01</v>
      </c>
      <c r="H300">
        <v>0.3</v>
      </c>
      <c r="I300" t="s">
        <v>15</v>
      </c>
      <c r="J300">
        <v>2</v>
      </c>
      <c r="K300">
        <v>9</v>
      </c>
      <c r="L300">
        <v>10</v>
      </c>
      <c r="M300">
        <v>0</v>
      </c>
      <c r="N300">
        <f>_xlfn.IFS(rounded[[#This Row],[social_interaction_level]] = "low", 1,rounded[[#This Row],[social_interaction_level]] = "medium", 2,rounded[[#This Row],[social_interaction_level]] = "high", 3)</f>
        <v>1</v>
      </c>
      <c r="O300">
        <f t="shared" si="4"/>
        <v>21</v>
      </c>
      <c r="P300" t="str" cm="1">
        <f t="array" ref="P300">_xlfn.SWITCH(rounded[[#This Row],[depression_label]], 0, "Not Depressed", 1, "Depressed")</f>
        <v>Not Depressed</v>
      </c>
      <c r="Q300" s="45" t="str" cm="1">
        <f t="array" ref="Q300">_xlfn.SWITCH(rounded[[#This Row],[gender]], "male", "Male", "female", "Female")</f>
        <v>Male</v>
      </c>
    </row>
    <row r="301" spans="1:17" x14ac:dyDescent="0.35">
      <c r="A301">
        <v>17</v>
      </c>
      <c r="B301" t="s">
        <v>16</v>
      </c>
      <c r="C301" s="4">
        <v>4.4000000000000004</v>
      </c>
      <c r="D301" t="s">
        <v>14</v>
      </c>
      <c r="E301" s="4">
        <v>6</v>
      </c>
      <c r="F301" s="4">
        <v>1.2</v>
      </c>
      <c r="G301">
        <v>2.48</v>
      </c>
      <c r="H301">
        <v>0.9</v>
      </c>
      <c r="I301" t="s">
        <v>19</v>
      </c>
      <c r="J301">
        <v>6</v>
      </c>
      <c r="K301">
        <v>2</v>
      </c>
      <c r="L301">
        <v>6</v>
      </c>
      <c r="M301">
        <v>0</v>
      </c>
      <c r="N301">
        <f>_xlfn.IFS(rounded[[#This Row],[social_interaction_level]] = "low", 1,rounded[[#This Row],[social_interaction_level]] = "medium", 2,rounded[[#This Row],[social_interaction_level]] = "high", 3)</f>
        <v>2</v>
      </c>
      <c r="O301">
        <f t="shared" si="4"/>
        <v>14</v>
      </c>
      <c r="P301" t="str" cm="1">
        <f t="array" ref="P301">_xlfn.SWITCH(rounded[[#This Row],[depression_label]], 0, "Not Depressed", 1, "Depressed")</f>
        <v>Not Depressed</v>
      </c>
      <c r="Q301" s="45" t="str" cm="1">
        <f t="array" ref="Q301">_xlfn.SWITCH(rounded[[#This Row],[gender]], "male", "Male", "female", "Female")</f>
        <v>Female</v>
      </c>
    </row>
    <row r="302" spans="1:17" x14ac:dyDescent="0.35">
      <c r="A302">
        <v>13</v>
      </c>
      <c r="B302" t="s">
        <v>13</v>
      </c>
      <c r="C302" s="4">
        <v>7.8</v>
      </c>
      <c r="D302" t="s">
        <v>14</v>
      </c>
      <c r="E302" s="4">
        <v>5</v>
      </c>
      <c r="F302" s="4">
        <v>1.8</v>
      </c>
      <c r="G302">
        <v>3.57</v>
      </c>
      <c r="H302">
        <v>1.5</v>
      </c>
      <c r="I302" t="s">
        <v>19</v>
      </c>
      <c r="J302">
        <v>8</v>
      </c>
      <c r="K302">
        <v>10</v>
      </c>
      <c r="L302">
        <v>3</v>
      </c>
      <c r="M302">
        <v>1</v>
      </c>
      <c r="N302">
        <f>_xlfn.IFS(rounded[[#This Row],[social_interaction_level]] = "low", 1,rounded[[#This Row],[social_interaction_level]] = "medium", 2,rounded[[#This Row],[social_interaction_level]] = "high", 3)</f>
        <v>2</v>
      </c>
      <c r="O302">
        <f t="shared" si="4"/>
        <v>21</v>
      </c>
      <c r="P302" t="str" cm="1">
        <f t="array" ref="P302">_xlfn.SWITCH(rounded[[#This Row],[depression_label]], 0, "Not Depressed", 1, "Depressed")</f>
        <v>Depressed</v>
      </c>
      <c r="Q302" s="45" t="str" cm="1">
        <f t="array" ref="Q302">_xlfn.SWITCH(rounded[[#This Row],[gender]], "male", "Male", "female", "Female")</f>
        <v>Male</v>
      </c>
    </row>
    <row r="303" spans="1:17" x14ac:dyDescent="0.35">
      <c r="A303">
        <v>14</v>
      </c>
      <c r="B303" t="s">
        <v>16</v>
      </c>
      <c r="C303" s="4">
        <v>6.9</v>
      </c>
      <c r="D303" t="s">
        <v>17</v>
      </c>
      <c r="E303" s="4">
        <v>6.4</v>
      </c>
      <c r="F303" s="4">
        <v>0.9</v>
      </c>
      <c r="G303">
        <v>2.04</v>
      </c>
      <c r="H303">
        <v>1.3</v>
      </c>
      <c r="I303" t="s">
        <v>19</v>
      </c>
      <c r="J303">
        <v>5</v>
      </c>
      <c r="K303">
        <v>5</v>
      </c>
      <c r="L303">
        <v>9</v>
      </c>
      <c r="M303">
        <v>0</v>
      </c>
      <c r="N303">
        <f>_xlfn.IFS(rounded[[#This Row],[social_interaction_level]] = "low", 1,rounded[[#This Row],[social_interaction_level]] = "medium", 2,rounded[[#This Row],[social_interaction_level]] = "high", 3)</f>
        <v>2</v>
      </c>
      <c r="O303">
        <f t="shared" si="4"/>
        <v>19</v>
      </c>
      <c r="P303" t="str" cm="1">
        <f t="array" ref="P303">_xlfn.SWITCH(rounded[[#This Row],[depression_label]], 0, "Not Depressed", 1, "Depressed")</f>
        <v>Not Depressed</v>
      </c>
      <c r="Q303" s="45" t="str" cm="1">
        <f t="array" ref="Q303">_xlfn.SWITCH(rounded[[#This Row],[gender]], "male", "Male", "female", "Female")</f>
        <v>Female</v>
      </c>
    </row>
    <row r="304" spans="1:17" x14ac:dyDescent="0.35">
      <c r="A304">
        <v>14</v>
      </c>
      <c r="B304" t="s">
        <v>16</v>
      </c>
      <c r="C304" s="4">
        <v>4.8</v>
      </c>
      <c r="D304" t="s">
        <v>14</v>
      </c>
      <c r="E304" s="4">
        <v>6.8</v>
      </c>
      <c r="F304" s="4">
        <v>0.8</v>
      </c>
      <c r="G304">
        <v>3</v>
      </c>
      <c r="H304">
        <v>0.9</v>
      </c>
      <c r="I304" t="s">
        <v>15</v>
      </c>
      <c r="J304">
        <v>4</v>
      </c>
      <c r="K304">
        <v>3</v>
      </c>
      <c r="L304">
        <v>4</v>
      </c>
      <c r="M304">
        <v>0</v>
      </c>
      <c r="N304">
        <f>_xlfn.IFS(rounded[[#This Row],[social_interaction_level]] = "low", 1,rounded[[#This Row],[social_interaction_level]] = "medium", 2,rounded[[#This Row],[social_interaction_level]] = "high", 3)</f>
        <v>1</v>
      </c>
      <c r="O304">
        <f t="shared" si="4"/>
        <v>11</v>
      </c>
      <c r="P304" t="str" cm="1">
        <f t="array" ref="P304">_xlfn.SWITCH(rounded[[#This Row],[depression_label]], 0, "Not Depressed", 1, "Depressed")</f>
        <v>Not Depressed</v>
      </c>
      <c r="Q304" s="45" t="str" cm="1">
        <f t="array" ref="Q304">_xlfn.SWITCH(rounded[[#This Row],[gender]], "male", "Male", "female", "Female")</f>
        <v>Female</v>
      </c>
    </row>
    <row r="305" spans="1:17" x14ac:dyDescent="0.35">
      <c r="A305">
        <v>13</v>
      </c>
      <c r="B305" t="s">
        <v>13</v>
      </c>
      <c r="C305" s="4">
        <v>7.5</v>
      </c>
      <c r="D305" t="s">
        <v>14</v>
      </c>
      <c r="E305" s="4">
        <v>8.6</v>
      </c>
      <c r="F305" s="4">
        <v>1.9</v>
      </c>
      <c r="G305">
        <v>3.33</v>
      </c>
      <c r="H305">
        <v>0.9</v>
      </c>
      <c r="I305" t="s">
        <v>19</v>
      </c>
      <c r="J305">
        <v>7</v>
      </c>
      <c r="K305">
        <v>3</v>
      </c>
      <c r="L305">
        <v>10</v>
      </c>
      <c r="M305">
        <v>0</v>
      </c>
      <c r="N305">
        <f>_xlfn.IFS(rounded[[#This Row],[social_interaction_level]] = "low", 1,rounded[[#This Row],[social_interaction_level]] = "medium", 2,rounded[[#This Row],[social_interaction_level]] = "high", 3)</f>
        <v>2</v>
      </c>
      <c r="O305">
        <f t="shared" si="4"/>
        <v>20</v>
      </c>
      <c r="P305" t="str" cm="1">
        <f t="array" ref="P305">_xlfn.SWITCH(rounded[[#This Row],[depression_label]], 0, "Not Depressed", 1, "Depressed")</f>
        <v>Not Depressed</v>
      </c>
      <c r="Q305" s="45" t="str" cm="1">
        <f t="array" ref="Q305">_xlfn.SWITCH(rounded[[#This Row],[gender]], "male", "Male", "female", "Female")</f>
        <v>Male</v>
      </c>
    </row>
    <row r="306" spans="1:17" x14ac:dyDescent="0.35">
      <c r="A306">
        <v>15</v>
      </c>
      <c r="B306" t="s">
        <v>16</v>
      </c>
      <c r="C306" s="4">
        <v>6.7</v>
      </c>
      <c r="D306" t="s">
        <v>14</v>
      </c>
      <c r="E306" s="4">
        <v>7</v>
      </c>
      <c r="F306" s="4">
        <v>2.2000000000000002</v>
      </c>
      <c r="G306">
        <v>2.61</v>
      </c>
      <c r="H306">
        <v>0.7</v>
      </c>
      <c r="I306" t="s">
        <v>18</v>
      </c>
      <c r="J306">
        <v>2</v>
      </c>
      <c r="K306">
        <v>7</v>
      </c>
      <c r="L306">
        <v>8</v>
      </c>
      <c r="M306">
        <v>0</v>
      </c>
      <c r="N306">
        <f>_xlfn.IFS(rounded[[#This Row],[social_interaction_level]] = "low", 1,rounded[[#This Row],[social_interaction_level]] = "medium", 2,rounded[[#This Row],[social_interaction_level]] = "high", 3)</f>
        <v>3</v>
      </c>
      <c r="O306">
        <f t="shared" si="4"/>
        <v>17</v>
      </c>
      <c r="P306" t="str" cm="1">
        <f t="array" ref="P306">_xlfn.SWITCH(rounded[[#This Row],[depression_label]], 0, "Not Depressed", 1, "Depressed")</f>
        <v>Not Depressed</v>
      </c>
      <c r="Q306" s="45" t="str" cm="1">
        <f t="array" ref="Q306">_xlfn.SWITCH(rounded[[#This Row],[gender]], "male", "Male", "female", "Female")</f>
        <v>Female</v>
      </c>
    </row>
    <row r="307" spans="1:17" x14ac:dyDescent="0.35">
      <c r="A307">
        <v>14</v>
      </c>
      <c r="B307" t="s">
        <v>13</v>
      </c>
      <c r="C307" s="4">
        <v>3.8</v>
      </c>
      <c r="D307" t="s">
        <v>14</v>
      </c>
      <c r="E307" s="4">
        <v>4.8</v>
      </c>
      <c r="F307" s="4">
        <v>1.9</v>
      </c>
      <c r="G307">
        <v>3.97</v>
      </c>
      <c r="H307">
        <v>0.2</v>
      </c>
      <c r="I307" t="s">
        <v>18</v>
      </c>
      <c r="J307">
        <v>4</v>
      </c>
      <c r="K307">
        <v>6</v>
      </c>
      <c r="L307">
        <v>6</v>
      </c>
      <c r="M307">
        <v>0</v>
      </c>
      <c r="N307">
        <f>_xlfn.IFS(rounded[[#This Row],[social_interaction_level]] = "low", 1,rounded[[#This Row],[social_interaction_level]] = "medium", 2,rounded[[#This Row],[social_interaction_level]] = "high", 3)</f>
        <v>3</v>
      </c>
      <c r="O307">
        <f t="shared" si="4"/>
        <v>16</v>
      </c>
      <c r="P307" t="str" cm="1">
        <f t="array" ref="P307">_xlfn.SWITCH(rounded[[#This Row],[depression_label]], 0, "Not Depressed", 1, "Depressed")</f>
        <v>Not Depressed</v>
      </c>
      <c r="Q307" s="45" t="str" cm="1">
        <f t="array" ref="Q307">_xlfn.SWITCH(rounded[[#This Row],[gender]], "male", "Male", "female", "Female")</f>
        <v>Male</v>
      </c>
    </row>
    <row r="308" spans="1:17" x14ac:dyDescent="0.35">
      <c r="A308">
        <v>15</v>
      </c>
      <c r="B308" t="s">
        <v>13</v>
      </c>
      <c r="C308" s="4">
        <v>3</v>
      </c>
      <c r="D308" t="s">
        <v>14</v>
      </c>
      <c r="E308" s="4">
        <v>8.6</v>
      </c>
      <c r="F308" s="4">
        <v>1.5</v>
      </c>
      <c r="G308">
        <v>3.27</v>
      </c>
      <c r="H308">
        <v>0.8</v>
      </c>
      <c r="I308" t="s">
        <v>19</v>
      </c>
      <c r="J308">
        <v>10</v>
      </c>
      <c r="K308">
        <v>10</v>
      </c>
      <c r="L308">
        <v>4</v>
      </c>
      <c r="M308">
        <v>0</v>
      </c>
      <c r="N308">
        <f>_xlfn.IFS(rounded[[#This Row],[social_interaction_level]] = "low", 1,rounded[[#This Row],[social_interaction_level]] = "medium", 2,rounded[[#This Row],[social_interaction_level]] = "high", 3)</f>
        <v>2</v>
      </c>
      <c r="O308">
        <f t="shared" si="4"/>
        <v>24</v>
      </c>
      <c r="P308" t="str" cm="1">
        <f t="array" ref="P308">_xlfn.SWITCH(rounded[[#This Row],[depression_label]], 0, "Not Depressed", 1, "Depressed")</f>
        <v>Not Depressed</v>
      </c>
      <c r="Q308" s="45" t="str" cm="1">
        <f t="array" ref="Q308">_xlfn.SWITCH(rounded[[#This Row],[gender]], "male", "Male", "female", "Female")</f>
        <v>Male</v>
      </c>
    </row>
    <row r="309" spans="1:17" x14ac:dyDescent="0.35">
      <c r="A309">
        <v>17</v>
      </c>
      <c r="B309" t="s">
        <v>13</v>
      </c>
      <c r="C309" s="4">
        <v>7.8</v>
      </c>
      <c r="D309" t="s">
        <v>17</v>
      </c>
      <c r="E309" s="4">
        <v>7.1</v>
      </c>
      <c r="F309" s="4">
        <v>0.8</v>
      </c>
      <c r="G309">
        <v>2.79</v>
      </c>
      <c r="H309">
        <v>1.4</v>
      </c>
      <c r="I309" t="s">
        <v>19</v>
      </c>
      <c r="J309">
        <v>9</v>
      </c>
      <c r="K309">
        <v>4</v>
      </c>
      <c r="L309">
        <v>2</v>
      </c>
      <c r="M309">
        <v>0</v>
      </c>
      <c r="N309">
        <f>_xlfn.IFS(rounded[[#This Row],[social_interaction_level]] = "low", 1,rounded[[#This Row],[social_interaction_level]] = "medium", 2,rounded[[#This Row],[social_interaction_level]] = "high", 3)</f>
        <v>2</v>
      </c>
      <c r="O309">
        <f t="shared" si="4"/>
        <v>15</v>
      </c>
      <c r="P309" t="str" cm="1">
        <f t="array" ref="P309">_xlfn.SWITCH(rounded[[#This Row],[depression_label]], 0, "Not Depressed", 1, "Depressed")</f>
        <v>Not Depressed</v>
      </c>
      <c r="Q309" s="45" t="str" cm="1">
        <f t="array" ref="Q309">_xlfn.SWITCH(rounded[[#This Row],[gender]], "male", "Male", "female", "Female")</f>
        <v>Male</v>
      </c>
    </row>
    <row r="310" spans="1:17" x14ac:dyDescent="0.35">
      <c r="A310">
        <v>14</v>
      </c>
      <c r="B310" t="s">
        <v>16</v>
      </c>
      <c r="C310" s="4">
        <v>7.8</v>
      </c>
      <c r="D310" t="s">
        <v>14</v>
      </c>
      <c r="E310" s="4">
        <v>4.3</v>
      </c>
      <c r="F310" s="4">
        <v>2.6</v>
      </c>
      <c r="G310">
        <v>3.33</v>
      </c>
      <c r="H310">
        <v>2</v>
      </c>
      <c r="I310" t="s">
        <v>18</v>
      </c>
      <c r="J310">
        <v>3</v>
      </c>
      <c r="K310">
        <v>7</v>
      </c>
      <c r="L310">
        <v>3</v>
      </c>
      <c r="M310">
        <v>0</v>
      </c>
      <c r="N310">
        <f>_xlfn.IFS(rounded[[#This Row],[social_interaction_level]] = "low", 1,rounded[[#This Row],[social_interaction_level]] = "medium", 2,rounded[[#This Row],[social_interaction_level]] = "high", 3)</f>
        <v>3</v>
      </c>
      <c r="O310">
        <f t="shared" si="4"/>
        <v>13</v>
      </c>
      <c r="P310" t="str" cm="1">
        <f t="array" ref="P310">_xlfn.SWITCH(rounded[[#This Row],[depression_label]], 0, "Not Depressed", 1, "Depressed")</f>
        <v>Not Depressed</v>
      </c>
      <c r="Q310" s="45" t="str" cm="1">
        <f t="array" ref="Q310">_xlfn.SWITCH(rounded[[#This Row],[gender]], "male", "Male", "female", "Female")</f>
        <v>Female</v>
      </c>
    </row>
    <row r="311" spans="1:17" x14ac:dyDescent="0.35">
      <c r="A311">
        <v>15</v>
      </c>
      <c r="B311" t="s">
        <v>16</v>
      </c>
      <c r="C311" s="4">
        <v>6.6</v>
      </c>
      <c r="D311" t="s">
        <v>17</v>
      </c>
      <c r="E311" s="4">
        <v>9</v>
      </c>
      <c r="F311" s="4">
        <v>1.5</v>
      </c>
      <c r="G311">
        <v>3.04</v>
      </c>
      <c r="H311">
        <v>1.5</v>
      </c>
      <c r="I311" t="s">
        <v>15</v>
      </c>
      <c r="J311">
        <v>4</v>
      </c>
      <c r="K311">
        <v>2</v>
      </c>
      <c r="L311">
        <v>7</v>
      </c>
      <c r="M311">
        <v>0</v>
      </c>
      <c r="N311">
        <f>_xlfn.IFS(rounded[[#This Row],[social_interaction_level]] = "low", 1,rounded[[#This Row],[social_interaction_level]] = "medium", 2,rounded[[#This Row],[social_interaction_level]] = "high", 3)</f>
        <v>1</v>
      </c>
      <c r="O311">
        <f t="shared" si="4"/>
        <v>13</v>
      </c>
      <c r="P311" t="str" cm="1">
        <f t="array" ref="P311">_xlfn.SWITCH(rounded[[#This Row],[depression_label]], 0, "Not Depressed", 1, "Depressed")</f>
        <v>Not Depressed</v>
      </c>
      <c r="Q311" s="45" t="str" cm="1">
        <f t="array" ref="Q311">_xlfn.SWITCH(rounded[[#This Row],[gender]], "male", "Male", "female", "Female")</f>
        <v>Female</v>
      </c>
    </row>
    <row r="312" spans="1:17" x14ac:dyDescent="0.35">
      <c r="A312">
        <v>13</v>
      </c>
      <c r="B312" t="s">
        <v>16</v>
      </c>
      <c r="C312" s="4">
        <v>7.3</v>
      </c>
      <c r="D312" t="s">
        <v>14</v>
      </c>
      <c r="E312" s="4">
        <v>6.4</v>
      </c>
      <c r="F312" s="4">
        <v>2.2999999999999998</v>
      </c>
      <c r="G312">
        <v>2.5299999999999998</v>
      </c>
      <c r="H312">
        <v>0.7</v>
      </c>
      <c r="I312" t="s">
        <v>15</v>
      </c>
      <c r="J312">
        <v>9</v>
      </c>
      <c r="K312">
        <v>9</v>
      </c>
      <c r="L312">
        <v>4</v>
      </c>
      <c r="M312">
        <v>0</v>
      </c>
      <c r="N312">
        <f>_xlfn.IFS(rounded[[#This Row],[social_interaction_level]] = "low", 1,rounded[[#This Row],[social_interaction_level]] = "medium", 2,rounded[[#This Row],[social_interaction_level]] = "high", 3)</f>
        <v>1</v>
      </c>
      <c r="O312">
        <f t="shared" si="4"/>
        <v>22</v>
      </c>
      <c r="P312" t="str" cm="1">
        <f t="array" ref="P312">_xlfn.SWITCH(rounded[[#This Row],[depression_label]], 0, "Not Depressed", 1, "Depressed")</f>
        <v>Not Depressed</v>
      </c>
      <c r="Q312" s="45" t="str" cm="1">
        <f t="array" ref="Q312">_xlfn.SWITCH(rounded[[#This Row],[gender]], "male", "Male", "female", "Female")</f>
        <v>Female</v>
      </c>
    </row>
    <row r="313" spans="1:17" x14ac:dyDescent="0.35">
      <c r="A313">
        <v>19</v>
      </c>
      <c r="B313" t="s">
        <v>13</v>
      </c>
      <c r="C313" s="4">
        <v>6.6</v>
      </c>
      <c r="D313" t="s">
        <v>14</v>
      </c>
      <c r="E313" s="4">
        <v>4.4000000000000004</v>
      </c>
      <c r="F313" s="4">
        <v>1.1000000000000001</v>
      </c>
      <c r="G313">
        <v>2.29</v>
      </c>
      <c r="H313">
        <v>1</v>
      </c>
      <c r="I313" t="s">
        <v>15</v>
      </c>
      <c r="J313">
        <v>6</v>
      </c>
      <c r="K313">
        <v>8</v>
      </c>
      <c r="L313">
        <v>5</v>
      </c>
      <c r="M313">
        <v>0</v>
      </c>
      <c r="N313">
        <f>_xlfn.IFS(rounded[[#This Row],[social_interaction_level]] = "low", 1,rounded[[#This Row],[social_interaction_level]] = "medium", 2,rounded[[#This Row],[social_interaction_level]] = "high", 3)</f>
        <v>1</v>
      </c>
      <c r="O313">
        <f t="shared" si="4"/>
        <v>19</v>
      </c>
      <c r="P313" t="str" cm="1">
        <f t="array" ref="P313">_xlfn.SWITCH(rounded[[#This Row],[depression_label]], 0, "Not Depressed", 1, "Depressed")</f>
        <v>Not Depressed</v>
      </c>
      <c r="Q313" s="45" t="str" cm="1">
        <f t="array" ref="Q313">_xlfn.SWITCH(rounded[[#This Row],[gender]], "male", "Male", "female", "Female")</f>
        <v>Male</v>
      </c>
    </row>
    <row r="314" spans="1:17" x14ac:dyDescent="0.35">
      <c r="A314">
        <v>19</v>
      </c>
      <c r="B314" t="s">
        <v>16</v>
      </c>
      <c r="C314" s="4">
        <v>5.6</v>
      </c>
      <c r="D314" t="s">
        <v>17</v>
      </c>
      <c r="E314" s="4">
        <v>8.1</v>
      </c>
      <c r="F314" s="4">
        <v>3</v>
      </c>
      <c r="G314">
        <v>2.75</v>
      </c>
      <c r="H314">
        <v>0.7</v>
      </c>
      <c r="I314" t="s">
        <v>19</v>
      </c>
      <c r="J314">
        <v>6</v>
      </c>
      <c r="K314">
        <v>3</v>
      </c>
      <c r="L314">
        <v>4</v>
      </c>
      <c r="M314">
        <v>0</v>
      </c>
      <c r="N314">
        <f>_xlfn.IFS(rounded[[#This Row],[social_interaction_level]] = "low", 1,rounded[[#This Row],[social_interaction_level]] = "medium", 2,rounded[[#This Row],[social_interaction_level]] = "high", 3)</f>
        <v>2</v>
      </c>
      <c r="O314">
        <f t="shared" si="4"/>
        <v>13</v>
      </c>
      <c r="P314" t="str" cm="1">
        <f t="array" ref="P314">_xlfn.SWITCH(rounded[[#This Row],[depression_label]], 0, "Not Depressed", 1, "Depressed")</f>
        <v>Not Depressed</v>
      </c>
      <c r="Q314" s="45" t="str" cm="1">
        <f t="array" ref="Q314">_xlfn.SWITCH(rounded[[#This Row],[gender]], "male", "Male", "female", "Female")</f>
        <v>Female</v>
      </c>
    </row>
    <row r="315" spans="1:17" x14ac:dyDescent="0.35">
      <c r="A315">
        <v>13</v>
      </c>
      <c r="B315" t="s">
        <v>16</v>
      </c>
      <c r="C315" s="4">
        <v>8</v>
      </c>
      <c r="D315" t="s">
        <v>14</v>
      </c>
      <c r="E315" s="4">
        <v>5.4</v>
      </c>
      <c r="F315" s="4">
        <v>2.8</v>
      </c>
      <c r="G315">
        <v>3.1</v>
      </c>
      <c r="H315">
        <v>1.9</v>
      </c>
      <c r="I315" t="s">
        <v>18</v>
      </c>
      <c r="J315">
        <v>6</v>
      </c>
      <c r="K315">
        <v>10</v>
      </c>
      <c r="L315">
        <v>10</v>
      </c>
      <c r="M315">
        <v>0</v>
      </c>
      <c r="N315">
        <f>_xlfn.IFS(rounded[[#This Row],[social_interaction_level]] = "low", 1,rounded[[#This Row],[social_interaction_level]] = "medium", 2,rounded[[#This Row],[social_interaction_level]] = "high", 3)</f>
        <v>3</v>
      </c>
      <c r="O315">
        <f t="shared" si="4"/>
        <v>26</v>
      </c>
      <c r="P315" t="str" cm="1">
        <f t="array" ref="P315">_xlfn.SWITCH(rounded[[#This Row],[depression_label]], 0, "Not Depressed", 1, "Depressed")</f>
        <v>Not Depressed</v>
      </c>
      <c r="Q315" s="45" t="str" cm="1">
        <f t="array" ref="Q315">_xlfn.SWITCH(rounded[[#This Row],[gender]], "male", "Male", "female", "Female")</f>
        <v>Female</v>
      </c>
    </row>
    <row r="316" spans="1:17" x14ac:dyDescent="0.35">
      <c r="A316">
        <v>13</v>
      </c>
      <c r="B316" t="s">
        <v>16</v>
      </c>
      <c r="C316" s="4">
        <v>1.3</v>
      </c>
      <c r="D316" t="s">
        <v>14</v>
      </c>
      <c r="E316" s="4">
        <v>8.9</v>
      </c>
      <c r="F316" s="4">
        <v>2.6</v>
      </c>
      <c r="G316">
        <v>3.54</v>
      </c>
      <c r="H316">
        <v>1.2</v>
      </c>
      <c r="I316" t="s">
        <v>18</v>
      </c>
      <c r="J316">
        <v>8</v>
      </c>
      <c r="K316">
        <v>5</v>
      </c>
      <c r="L316">
        <v>2</v>
      </c>
      <c r="M316">
        <v>0</v>
      </c>
      <c r="N316">
        <f>_xlfn.IFS(rounded[[#This Row],[social_interaction_level]] = "low", 1,rounded[[#This Row],[social_interaction_level]] = "medium", 2,rounded[[#This Row],[social_interaction_level]] = "high", 3)</f>
        <v>3</v>
      </c>
      <c r="O316">
        <f t="shared" si="4"/>
        <v>15</v>
      </c>
      <c r="P316" t="str" cm="1">
        <f t="array" ref="P316">_xlfn.SWITCH(rounded[[#This Row],[depression_label]], 0, "Not Depressed", 1, "Depressed")</f>
        <v>Not Depressed</v>
      </c>
      <c r="Q316" s="45" t="str" cm="1">
        <f t="array" ref="Q316">_xlfn.SWITCH(rounded[[#This Row],[gender]], "male", "Male", "female", "Female")</f>
        <v>Female</v>
      </c>
    </row>
    <row r="317" spans="1:17" x14ac:dyDescent="0.35">
      <c r="A317">
        <v>15</v>
      </c>
      <c r="B317" t="s">
        <v>16</v>
      </c>
      <c r="C317" s="4">
        <v>5.9</v>
      </c>
      <c r="D317" t="s">
        <v>20</v>
      </c>
      <c r="E317" s="4">
        <v>6.9</v>
      </c>
      <c r="F317" s="4">
        <v>1.4</v>
      </c>
      <c r="G317">
        <v>3.62</v>
      </c>
      <c r="H317">
        <v>1.5</v>
      </c>
      <c r="I317" t="s">
        <v>19</v>
      </c>
      <c r="J317">
        <v>3</v>
      </c>
      <c r="K317">
        <v>9</v>
      </c>
      <c r="L317">
        <v>1</v>
      </c>
      <c r="M317">
        <v>0</v>
      </c>
      <c r="N317">
        <f>_xlfn.IFS(rounded[[#This Row],[social_interaction_level]] = "low", 1,rounded[[#This Row],[social_interaction_level]] = "medium", 2,rounded[[#This Row],[social_interaction_level]] = "high", 3)</f>
        <v>2</v>
      </c>
      <c r="O317">
        <f t="shared" si="4"/>
        <v>13</v>
      </c>
      <c r="P317" t="str" cm="1">
        <f t="array" ref="P317">_xlfn.SWITCH(rounded[[#This Row],[depression_label]], 0, "Not Depressed", 1, "Depressed")</f>
        <v>Not Depressed</v>
      </c>
      <c r="Q317" s="45" t="str" cm="1">
        <f t="array" ref="Q317">_xlfn.SWITCH(rounded[[#This Row],[gender]], "male", "Male", "female", "Female")</f>
        <v>Female</v>
      </c>
    </row>
    <row r="318" spans="1:17" x14ac:dyDescent="0.35">
      <c r="A318">
        <v>14</v>
      </c>
      <c r="B318" t="s">
        <v>16</v>
      </c>
      <c r="C318" s="4">
        <v>2</v>
      </c>
      <c r="D318" t="s">
        <v>14</v>
      </c>
      <c r="E318" s="4">
        <v>8.8000000000000007</v>
      </c>
      <c r="F318" s="4">
        <v>0.9</v>
      </c>
      <c r="G318">
        <v>3.61</v>
      </c>
      <c r="H318">
        <v>0.7</v>
      </c>
      <c r="I318" t="s">
        <v>18</v>
      </c>
      <c r="J318">
        <v>10</v>
      </c>
      <c r="K318">
        <v>2</v>
      </c>
      <c r="L318">
        <v>3</v>
      </c>
      <c r="M318">
        <v>0</v>
      </c>
      <c r="N318">
        <f>_xlfn.IFS(rounded[[#This Row],[social_interaction_level]] = "low", 1,rounded[[#This Row],[social_interaction_level]] = "medium", 2,rounded[[#This Row],[social_interaction_level]] = "high", 3)</f>
        <v>3</v>
      </c>
      <c r="O318">
        <f t="shared" si="4"/>
        <v>15</v>
      </c>
      <c r="P318" t="str" cm="1">
        <f t="array" ref="P318">_xlfn.SWITCH(rounded[[#This Row],[depression_label]], 0, "Not Depressed", 1, "Depressed")</f>
        <v>Not Depressed</v>
      </c>
      <c r="Q318" s="45" t="str" cm="1">
        <f t="array" ref="Q318">_xlfn.SWITCH(rounded[[#This Row],[gender]], "male", "Male", "female", "Female")</f>
        <v>Female</v>
      </c>
    </row>
    <row r="319" spans="1:17" x14ac:dyDescent="0.35">
      <c r="A319">
        <v>19</v>
      </c>
      <c r="B319" t="s">
        <v>16</v>
      </c>
      <c r="C319" s="4">
        <v>1.4</v>
      </c>
      <c r="D319" t="s">
        <v>14</v>
      </c>
      <c r="E319" s="4">
        <v>6.6</v>
      </c>
      <c r="F319" s="4">
        <v>1.8</v>
      </c>
      <c r="G319">
        <v>3.07</v>
      </c>
      <c r="H319">
        <v>0</v>
      </c>
      <c r="I319" t="s">
        <v>15</v>
      </c>
      <c r="J319">
        <v>5</v>
      </c>
      <c r="K319">
        <v>2</v>
      </c>
      <c r="L319">
        <v>6</v>
      </c>
      <c r="M319">
        <v>0</v>
      </c>
      <c r="N319">
        <f>_xlfn.IFS(rounded[[#This Row],[social_interaction_level]] = "low", 1,rounded[[#This Row],[social_interaction_level]] = "medium", 2,rounded[[#This Row],[social_interaction_level]] = "high", 3)</f>
        <v>1</v>
      </c>
      <c r="O319">
        <f t="shared" si="4"/>
        <v>13</v>
      </c>
      <c r="P319" t="str" cm="1">
        <f t="array" ref="P319">_xlfn.SWITCH(rounded[[#This Row],[depression_label]], 0, "Not Depressed", 1, "Depressed")</f>
        <v>Not Depressed</v>
      </c>
      <c r="Q319" s="45" t="str" cm="1">
        <f t="array" ref="Q319">_xlfn.SWITCH(rounded[[#This Row],[gender]], "male", "Male", "female", "Female")</f>
        <v>Female</v>
      </c>
    </row>
    <row r="320" spans="1:17" x14ac:dyDescent="0.35">
      <c r="A320">
        <v>13</v>
      </c>
      <c r="B320" t="s">
        <v>16</v>
      </c>
      <c r="C320" s="4">
        <v>6.4</v>
      </c>
      <c r="D320" t="s">
        <v>20</v>
      </c>
      <c r="E320" s="4">
        <v>6.7</v>
      </c>
      <c r="F320" s="4">
        <v>0.8</v>
      </c>
      <c r="G320">
        <v>3.9</v>
      </c>
      <c r="H320">
        <v>1.9</v>
      </c>
      <c r="I320" t="s">
        <v>18</v>
      </c>
      <c r="J320">
        <v>3</v>
      </c>
      <c r="K320">
        <v>3</v>
      </c>
      <c r="L320">
        <v>10</v>
      </c>
      <c r="M320">
        <v>0</v>
      </c>
      <c r="N320">
        <f>_xlfn.IFS(rounded[[#This Row],[social_interaction_level]] = "low", 1,rounded[[#This Row],[social_interaction_level]] = "medium", 2,rounded[[#This Row],[social_interaction_level]] = "high", 3)</f>
        <v>3</v>
      </c>
      <c r="O320">
        <f t="shared" si="4"/>
        <v>16</v>
      </c>
      <c r="P320" t="str" cm="1">
        <f t="array" ref="P320">_xlfn.SWITCH(rounded[[#This Row],[depression_label]], 0, "Not Depressed", 1, "Depressed")</f>
        <v>Not Depressed</v>
      </c>
      <c r="Q320" s="45" t="str" cm="1">
        <f t="array" ref="Q320">_xlfn.SWITCH(rounded[[#This Row],[gender]], "male", "Male", "female", "Female")</f>
        <v>Female</v>
      </c>
    </row>
    <row r="321" spans="1:17" x14ac:dyDescent="0.35">
      <c r="A321">
        <v>15</v>
      </c>
      <c r="B321" t="s">
        <v>13</v>
      </c>
      <c r="C321" s="4">
        <v>7.6</v>
      </c>
      <c r="D321" t="s">
        <v>17</v>
      </c>
      <c r="E321" s="4">
        <v>7.9</v>
      </c>
      <c r="F321" s="4">
        <v>0.8</v>
      </c>
      <c r="G321">
        <v>3.55</v>
      </c>
      <c r="H321">
        <v>1.9</v>
      </c>
      <c r="I321" t="s">
        <v>18</v>
      </c>
      <c r="J321">
        <v>10</v>
      </c>
      <c r="K321">
        <v>8</v>
      </c>
      <c r="L321">
        <v>6</v>
      </c>
      <c r="M321">
        <v>0</v>
      </c>
      <c r="N321">
        <f>_xlfn.IFS(rounded[[#This Row],[social_interaction_level]] = "low", 1,rounded[[#This Row],[social_interaction_level]] = "medium", 2,rounded[[#This Row],[social_interaction_level]] = "high", 3)</f>
        <v>3</v>
      </c>
      <c r="O321">
        <f t="shared" si="4"/>
        <v>24</v>
      </c>
      <c r="P321" t="str" cm="1">
        <f t="array" ref="P321">_xlfn.SWITCH(rounded[[#This Row],[depression_label]], 0, "Not Depressed", 1, "Depressed")</f>
        <v>Not Depressed</v>
      </c>
      <c r="Q321" s="45" t="str" cm="1">
        <f t="array" ref="Q321">_xlfn.SWITCH(rounded[[#This Row],[gender]], "male", "Male", "female", "Female")</f>
        <v>Male</v>
      </c>
    </row>
    <row r="322" spans="1:17" x14ac:dyDescent="0.35">
      <c r="A322">
        <v>16</v>
      </c>
      <c r="B322" t="s">
        <v>13</v>
      </c>
      <c r="C322" s="4">
        <v>7.9</v>
      </c>
      <c r="D322" t="s">
        <v>20</v>
      </c>
      <c r="E322" s="4">
        <v>5.5</v>
      </c>
      <c r="F322" s="4">
        <v>0.6</v>
      </c>
      <c r="G322">
        <v>3.65</v>
      </c>
      <c r="H322">
        <v>1.4</v>
      </c>
      <c r="I322" t="s">
        <v>15</v>
      </c>
      <c r="J322">
        <v>1</v>
      </c>
      <c r="K322">
        <v>4</v>
      </c>
      <c r="L322">
        <v>1</v>
      </c>
      <c r="M322">
        <v>0</v>
      </c>
      <c r="N322">
        <f>_xlfn.IFS(rounded[[#This Row],[social_interaction_level]] = "low", 1,rounded[[#This Row],[social_interaction_level]] = "medium", 2,rounded[[#This Row],[social_interaction_level]] = "high", 3)</f>
        <v>1</v>
      </c>
      <c r="O322">
        <f t="shared" ref="O322:O385" si="5">SUM(J322+K322+L322)</f>
        <v>6</v>
      </c>
      <c r="P322" t="str" cm="1">
        <f t="array" ref="P322">_xlfn.SWITCH(rounded[[#This Row],[depression_label]], 0, "Not Depressed", 1, "Depressed")</f>
        <v>Not Depressed</v>
      </c>
      <c r="Q322" s="45" t="str" cm="1">
        <f t="array" ref="Q322">_xlfn.SWITCH(rounded[[#This Row],[gender]], "male", "Male", "female", "Female")</f>
        <v>Male</v>
      </c>
    </row>
    <row r="323" spans="1:17" x14ac:dyDescent="0.35">
      <c r="A323">
        <v>15</v>
      </c>
      <c r="B323" t="s">
        <v>13</v>
      </c>
      <c r="C323" s="4">
        <v>5.0999999999999996</v>
      </c>
      <c r="D323" t="s">
        <v>14</v>
      </c>
      <c r="E323" s="4">
        <v>4.0999999999999996</v>
      </c>
      <c r="F323" s="4">
        <v>2.8</v>
      </c>
      <c r="G323">
        <v>3.79</v>
      </c>
      <c r="H323">
        <v>0.8</v>
      </c>
      <c r="I323" t="s">
        <v>19</v>
      </c>
      <c r="J323">
        <v>9</v>
      </c>
      <c r="K323">
        <v>7</v>
      </c>
      <c r="L323">
        <v>3</v>
      </c>
      <c r="M323">
        <v>1</v>
      </c>
      <c r="N323">
        <f>_xlfn.IFS(rounded[[#This Row],[social_interaction_level]] = "low", 1,rounded[[#This Row],[social_interaction_level]] = "medium", 2,rounded[[#This Row],[social_interaction_level]] = "high", 3)</f>
        <v>2</v>
      </c>
      <c r="O323">
        <f t="shared" si="5"/>
        <v>19</v>
      </c>
      <c r="P323" t="str" cm="1">
        <f t="array" ref="P323">_xlfn.SWITCH(rounded[[#This Row],[depression_label]], 0, "Not Depressed", 1, "Depressed")</f>
        <v>Depressed</v>
      </c>
      <c r="Q323" s="45" t="str" cm="1">
        <f t="array" ref="Q323">_xlfn.SWITCH(rounded[[#This Row],[gender]], "male", "Male", "female", "Female")</f>
        <v>Male</v>
      </c>
    </row>
    <row r="324" spans="1:17" x14ac:dyDescent="0.35">
      <c r="A324">
        <v>18</v>
      </c>
      <c r="B324" t="s">
        <v>13</v>
      </c>
      <c r="C324" s="4">
        <v>6.4</v>
      </c>
      <c r="D324" t="s">
        <v>17</v>
      </c>
      <c r="E324" s="4">
        <v>7.4</v>
      </c>
      <c r="F324" s="4">
        <v>1.5</v>
      </c>
      <c r="G324">
        <v>2.92</v>
      </c>
      <c r="H324">
        <v>0.6</v>
      </c>
      <c r="I324" t="s">
        <v>15</v>
      </c>
      <c r="J324">
        <v>9</v>
      </c>
      <c r="K324">
        <v>2</v>
      </c>
      <c r="L324">
        <v>5</v>
      </c>
      <c r="M324">
        <v>0</v>
      </c>
      <c r="N324">
        <f>_xlfn.IFS(rounded[[#This Row],[social_interaction_level]] = "low", 1,rounded[[#This Row],[social_interaction_level]] = "medium", 2,rounded[[#This Row],[social_interaction_level]] = "high", 3)</f>
        <v>1</v>
      </c>
      <c r="O324">
        <f t="shared" si="5"/>
        <v>16</v>
      </c>
      <c r="P324" t="str" cm="1">
        <f t="array" ref="P324">_xlfn.SWITCH(rounded[[#This Row],[depression_label]], 0, "Not Depressed", 1, "Depressed")</f>
        <v>Not Depressed</v>
      </c>
      <c r="Q324" s="45" t="str" cm="1">
        <f t="array" ref="Q324">_xlfn.SWITCH(rounded[[#This Row],[gender]], "male", "Male", "female", "Female")</f>
        <v>Male</v>
      </c>
    </row>
    <row r="325" spans="1:17" x14ac:dyDescent="0.35">
      <c r="A325">
        <v>13</v>
      </c>
      <c r="B325" t="s">
        <v>16</v>
      </c>
      <c r="C325" s="4">
        <v>7.2</v>
      </c>
      <c r="D325" t="s">
        <v>20</v>
      </c>
      <c r="E325" s="4">
        <v>6.7</v>
      </c>
      <c r="F325" s="4">
        <v>0.9</v>
      </c>
      <c r="G325">
        <v>2.36</v>
      </c>
      <c r="H325">
        <v>0.6</v>
      </c>
      <c r="I325" t="s">
        <v>15</v>
      </c>
      <c r="J325">
        <v>8</v>
      </c>
      <c r="K325">
        <v>8</v>
      </c>
      <c r="L325">
        <v>1</v>
      </c>
      <c r="M325">
        <v>0</v>
      </c>
      <c r="N325">
        <f>_xlfn.IFS(rounded[[#This Row],[social_interaction_level]] = "low", 1,rounded[[#This Row],[social_interaction_level]] = "medium", 2,rounded[[#This Row],[social_interaction_level]] = "high", 3)</f>
        <v>1</v>
      </c>
      <c r="O325">
        <f t="shared" si="5"/>
        <v>17</v>
      </c>
      <c r="P325" t="str" cm="1">
        <f t="array" ref="P325">_xlfn.SWITCH(rounded[[#This Row],[depression_label]], 0, "Not Depressed", 1, "Depressed")</f>
        <v>Not Depressed</v>
      </c>
      <c r="Q325" s="45" t="str" cm="1">
        <f t="array" ref="Q325">_xlfn.SWITCH(rounded[[#This Row],[gender]], "male", "Male", "female", "Female")</f>
        <v>Female</v>
      </c>
    </row>
    <row r="326" spans="1:17" x14ac:dyDescent="0.35">
      <c r="A326">
        <v>18</v>
      </c>
      <c r="B326" t="s">
        <v>16</v>
      </c>
      <c r="C326" s="4">
        <v>2.9</v>
      </c>
      <c r="D326" t="s">
        <v>20</v>
      </c>
      <c r="E326" s="4">
        <v>4.5999999999999996</v>
      </c>
      <c r="F326" s="4">
        <v>2.2999999999999998</v>
      </c>
      <c r="G326">
        <v>3.03</v>
      </c>
      <c r="H326">
        <v>0.3</v>
      </c>
      <c r="I326" t="s">
        <v>15</v>
      </c>
      <c r="J326">
        <v>6</v>
      </c>
      <c r="K326">
        <v>1</v>
      </c>
      <c r="L326">
        <v>9</v>
      </c>
      <c r="M326">
        <v>0</v>
      </c>
      <c r="N326">
        <f>_xlfn.IFS(rounded[[#This Row],[social_interaction_level]] = "low", 1,rounded[[#This Row],[social_interaction_level]] = "medium", 2,rounded[[#This Row],[social_interaction_level]] = "high", 3)</f>
        <v>1</v>
      </c>
      <c r="O326">
        <f t="shared" si="5"/>
        <v>16</v>
      </c>
      <c r="P326" t="str" cm="1">
        <f t="array" ref="P326">_xlfn.SWITCH(rounded[[#This Row],[depression_label]], 0, "Not Depressed", 1, "Depressed")</f>
        <v>Not Depressed</v>
      </c>
      <c r="Q326" s="45" t="str" cm="1">
        <f t="array" ref="Q326">_xlfn.SWITCH(rounded[[#This Row],[gender]], "male", "Male", "female", "Female")</f>
        <v>Female</v>
      </c>
    </row>
    <row r="327" spans="1:17" x14ac:dyDescent="0.35">
      <c r="A327">
        <v>19</v>
      </c>
      <c r="B327" t="s">
        <v>13</v>
      </c>
      <c r="C327" s="4">
        <v>1.5</v>
      </c>
      <c r="D327" t="s">
        <v>14</v>
      </c>
      <c r="E327" s="4">
        <v>7.3</v>
      </c>
      <c r="F327" s="4">
        <v>2.7</v>
      </c>
      <c r="G327">
        <v>2.61</v>
      </c>
      <c r="H327">
        <v>0.9</v>
      </c>
      <c r="I327" t="s">
        <v>15</v>
      </c>
      <c r="J327">
        <v>5</v>
      </c>
      <c r="K327">
        <v>7</v>
      </c>
      <c r="L327">
        <v>10</v>
      </c>
      <c r="M327">
        <v>0</v>
      </c>
      <c r="N327">
        <f>_xlfn.IFS(rounded[[#This Row],[social_interaction_level]] = "low", 1,rounded[[#This Row],[social_interaction_level]] = "medium", 2,rounded[[#This Row],[social_interaction_level]] = "high", 3)</f>
        <v>1</v>
      </c>
      <c r="O327">
        <f t="shared" si="5"/>
        <v>22</v>
      </c>
      <c r="P327" t="str" cm="1">
        <f t="array" ref="P327">_xlfn.SWITCH(rounded[[#This Row],[depression_label]], 0, "Not Depressed", 1, "Depressed")</f>
        <v>Not Depressed</v>
      </c>
      <c r="Q327" s="45" t="str" cm="1">
        <f t="array" ref="Q327">_xlfn.SWITCH(rounded[[#This Row],[gender]], "male", "Male", "female", "Female")</f>
        <v>Male</v>
      </c>
    </row>
    <row r="328" spans="1:17" x14ac:dyDescent="0.35">
      <c r="A328">
        <v>14</v>
      </c>
      <c r="B328" t="s">
        <v>13</v>
      </c>
      <c r="C328" s="4">
        <v>5.4</v>
      </c>
      <c r="D328" t="s">
        <v>20</v>
      </c>
      <c r="E328" s="4">
        <v>8.1</v>
      </c>
      <c r="F328" s="4">
        <v>1.8</v>
      </c>
      <c r="G328">
        <v>2.5299999999999998</v>
      </c>
      <c r="H328">
        <v>0.9</v>
      </c>
      <c r="I328" t="s">
        <v>19</v>
      </c>
      <c r="J328">
        <v>5</v>
      </c>
      <c r="K328">
        <v>8</v>
      </c>
      <c r="L328">
        <v>8</v>
      </c>
      <c r="M328">
        <v>0</v>
      </c>
      <c r="N328">
        <f>_xlfn.IFS(rounded[[#This Row],[social_interaction_level]] = "low", 1,rounded[[#This Row],[social_interaction_level]] = "medium", 2,rounded[[#This Row],[social_interaction_level]] = "high", 3)</f>
        <v>2</v>
      </c>
      <c r="O328">
        <f t="shared" si="5"/>
        <v>21</v>
      </c>
      <c r="P328" t="str" cm="1">
        <f t="array" ref="P328">_xlfn.SWITCH(rounded[[#This Row],[depression_label]], 0, "Not Depressed", 1, "Depressed")</f>
        <v>Not Depressed</v>
      </c>
      <c r="Q328" s="45" t="str" cm="1">
        <f t="array" ref="Q328">_xlfn.SWITCH(rounded[[#This Row],[gender]], "male", "Male", "female", "Female")</f>
        <v>Male</v>
      </c>
    </row>
    <row r="329" spans="1:17" x14ac:dyDescent="0.35">
      <c r="A329">
        <v>13</v>
      </c>
      <c r="B329" t="s">
        <v>13</v>
      </c>
      <c r="C329" s="4">
        <v>7.2</v>
      </c>
      <c r="D329" t="s">
        <v>17</v>
      </c>
      <c r="E329" s="4">
        <v>4.0999999999999996</v>
      </c>
      <c r="F329" s="4">
        <v>1.3</v>
      </c>
      <c r="G329">
        <v>2.4900000000000002</v>
      </c>
      <c r="H329">
        <v>1.8</v>
      </c>
      <c r="I329" t="s">
        <v>19</v>
      </c>
      <c r="J329">
        <v>5</v>
      </c>
      <c r="K329">
        <v>5</v>
      </c>
      <c r="L329">
        <v>4</v>
      </c>
      <c r="M329">
        <v>0</v>
      </c>
      <c r="N329">
        <f>_xlfn.IFS(rounded[[#This Row],[social_interaction_level]] = "low", 1,rounded[[#This Row],[social_interaction_level]] = "medium", 2,rounded[[#This Row],[social_interaction_level]] = "high", 3)</f>
        <v>2</v>
      </c>
      <c r="O329">
        <f t="shared" si="5"/>
        <v>14</v>
      </c>
      <c r="P329" t="str" cm="1">
        <f t="array" ref="P329">_xlfn.SWITCH(rounded[[#This Row],[depression_label]], 0, "Not Depressed", 1, "Depressed")</f>
        <v>Not Depressed</v>
      </c>
      <c r="Q329" s="45" t="str" cm="1">
        <f t="array" ref="Q329">_xlfn.SWITCH(rounded[[#This Row],[gender]], "male", "Male", "female", "Female")</f>
        <v>Male</v>
      </c>
    </row>
    <row r="330" spans="1:17" x14ac:dyDescent="0.35">
      <c r="A330">
        <v>15</v>
      </c>
      <c r="B330" t="s">
        <v>16</v>
      </c>
      <c r="C330" s="4">
        <v>7</v>
      </c>
      <c r="D330" t="s">
        <v>14</v>
      </c>
      <c r="E330" s="4">
        <v>5.9</v>
      </c>
      <c r="F330" s="4">
        <v>1.3</v>
      </c>
      <c r="G330">
        <v>2.91</v>
      </c>
      <c r="H330">
        <v>1.2</v>
      </c>
      <c r="I330" t="s">
        <v>15</v>
      </c>
      <c r="J330">
        <v>10</v>
      </c>
      <c r="K330">
        <v>2</v>
      </c>
      <c r="L330">
        <v>6</v>
      </c>
      <c r="M330">
        <v>0</v>
      </c>
      <c r="N330">
        <f>_xlfn.IFS(rounded[[#This Row],[social_interaction_level]] = "low", 1,rounded[[#This Row],[social_interaction_level]] = "medium", 2,rounded[[#This Row],[social_interaction_level]] = "high", 3)</f>
        <v>1</v>
      </c>
      <c r="O330">
        <f t="shared" si="5"/>
        <v>18</v>
      </c>
      <c r="P330" t="str" cm="1">
        <f t="array" ref="P330">_xlfn.SWITCH(rounded[[#This Row],[depression_label]], 0, "Not Depressed", 1, "Depressed")</f>
        <v>Not Depressed</v>
      </c>
      <c r="Q330" s="45" t="str" cm="1">
        <f t="array" ref="Q330">_xlfn.SWITCH(rounded[[#This Row],[gender]], "male", "Male", "female", "Female")</f>
        <v>Female</v>
      </c>
    </row>
    <row r="331" spans="1:17" x14ac:dyDescent="0.35">
      <c r="A331">
        <v>17</v>
      </c>
      <c r="B331" t="s">
        <v>16</v>
      </c>
      <c r="C331" s="4">
        <v>7.5</v>
      </c>
      <c r="D331" t="s">
        <v>17</v>
      </c>
      <c r="E331" s="4">
        <v>6.7</v>
      </c>
      <c r="F331" s="4">
        <v>1.1000000000000001</v>
      </c>
      <c r="G331">
        <v>3.77</v>
      </c>
      <c r="H331">
        <v>0.6</v>
      </c>
      <c r="I331" t="s">
        <v>18</v>
      </c>
      <c r="J331">
        <v>3</v>
      </c>
      <c r="K331">
        <v>8</v>
      </c>
      <c r="L331">
        <v>6</v>
      </c>
      <c r="M331">
        <v>0</v>
      </c>
      <c r="N331">
        <f>_xlfn.IFS(rounded[[#This Row],[social_interaction_level]] = "low", 1,rounded[[#This Row],[social_interaction_level]] = "medium", 2,rounded[[#This Row],[social_interaction_level]] = "high", 3)</f>
        <v>3</v>
      </c>
      <c r="O331">
        <f t="shared" si="5"/>
        <v>17</v>
      </c>
      <c r="P331" t="str" cm="1">
        <f t="array" ref="P331">_xlfn.SWITCH(rounded[[#This Row],[depression_label]], 0, "Not Depressed", 1, "Depressed")</f>
        <v>Not Depressed</v>
      </c>
      <c r="Q331" s="45" t="str" cm="1">
        <f t="array" ref="Q331">_xlfn.SWITCH(rounded[[#This Row],[gender]], "male", "Male", "female", "Female")</f>
        <v>Female</v>
      </c>
    </row>
    <row r="332" spans="1:17" x14ac:dyDescent="0.35">
      <c r="A332">
        <v>14</v>
      </c>
      <c r="B332" t="s">
        <v>13</v>
      </c>
      <c r="C332" s="4">
        <v>1.4</v>
      </c>
      <c r="D332" t="s">
        <v>20</v>
      </c>
      <c r="E332" s="4">
        <v>7</v>
      </c>
      <c r="F332" s="4">
        <v>1.8</v>
      </c>
      <c r="G332">
        <v>2.69</v>
      </c>
      <c r="H332">
        <v>0.9</v>
      </c>
      <c r="I332" t="s">
        <v>15</v>
      </c>
      <c r="J332">
        <v>10</v>
      </c>
      <c r="K332">
        <v>4</v>
      </c>
      <c r="L332">
        <v>2</v>
      </c>
      <c r="M332">
        <v>0</v>
      </c>
      <c r="N332">
        <f>_xlfn.IFS(rounded[[#This Row],[social_interaction_level]] = "low", 1,rounded[[#This Row],[social_interaction_level]] = "medium", 2,rounded[[#This Row],[social_interaction_level]] = "high", 3)</f>
        <v>1</v>
      </c>
      <c r="O332">
        <f t="shared" si="5"/>
        <v>16</v>
      </c>
      <c r="P332" t="str" cm="1">
        <f t="array" ref="P332">_xlfn.SWITCH(rounded[[#This Row],[depression_label]], 0, "Not Depressed", 1, "Depressed")</f>
        <v>Not Depressed</v>
      </c>
      <c r="Q332" s="45" t="str" cm="1">
        <f t="array" ref="Q332">_xlfn.SWITCH(rounded[[#This Row],[gender]], "male", "Male", "female", "Female")</f>
        <v>Male</v>
      </c>
    </row>
    <row r="333" spans="1:17" x14ac:dyDescent="0.35">
      <c r="A333">
        <v>16</v>
      </c>
      <c r="B333" t="s">
        <v>16</v>
      </c>
      <c r="C333" s="4">
        <v>6.1</v>
      </c>
      <c r="D333" t="s">
        <v>14</v>
      </c>
      <c r="E333" s="4">
        <v>8.1</v>
      </c>
      <c r="F333" s="4">
        <v>1.4</v>
      </c>
      <c r="G333">
        <v>3.27</v>
      </c>
      <c r="H333">
        <v>1.6</v>
      </c>
      <c r="I333" t="s">
        <v>15</v>
      </c>
      <c r="J333">
        <v>10</v>
      </c>
      <c r="K333">
        <v>1</v>
      </c>
      <c r="L333">
        <v>4</v>
      </c>
      <c r="M333">
        <v>0</v>
      </c>
      <c r="N333">
        <f>_xlfn.IFS(rounded[[#This Row],[social_interaction_level]] = "low", 1,rounded[[#This Row],[social_interaction_level]] = "medium", 2,rounded[[#This Row],[social_interaction_level]] = "high", 3)</f>
        <v>1</v>
      </c>
      <c r="O333">
        <f t="shared" si="5"/>
        <v>15</v>
      </c>
      <c r="P333" t="str" cm="1">
        <f t="array" ref="P333">_xlfn.SWITCH(rounded[[#This Row],[depression_label]], 0, "Not Depressed", 1, "Depressed")</f>
        <v>Not Depressed</v>
      </c>
      <c r="Q333" s="45" t="str" cm="1">
        <f t="array" ref="Q333">_xlfn.SWITCH(rounded[[#This Row],[gender]], "male", "Male", "female", "Female")</f>
        <v>Female</v>
      </c>
    </row>
    <row r="334" spans="1:17" x14ac:dyDescent="0.35">
      <c r="A334">
        <v>16</v>
      </c>
      <c r="B334" t="s">
        <v>16</v>
      </c>
      <c r="C334" s="4">
        <v>1.4</v>
      </c>
      <c r="D334" t="s">
        <v>20</v>
      </c>
      <c r="E334" s="4">
        <v>5.2</v>
      </c>
      <c r="F334" s="4">
        <v>1.7</v>
      </c>
      <c r="G334">
        <v>3.82</v>
      </c>
      <c r="H334">
        <v>0.7</v>
      </c>
      <c r="I334" t="s">
        <v>15</v>
      </c>
      <c r="J334">
        <v>10</v>
      </c>
      <c r="K334">
        <v>4</v>
      </c>
      <c r="L334">
        <v>3</v>
      </c>
      <c r="M334">
        <v>0</v>
      </c>
      <c r="N334">
        <f>_xlfn.IFS(rounded[[#This Row],[social_interaction_level]] = "low", 1,rounded[[#This Row],[social_interaction_level]] = "medium", 2,rounded[[#This Row],[social_interaction_level]] = "high", 3)</f>
        <v>1</v>
      </c>
      <c r="O334">
        <f t="shared" si="5"/>
        <v>17</v>
      </c>
      <c r="P334" t="str" cm="1">
        <f t="array" ref="P334">_xlfn.SWITCH(rounded[[#This Row],[depression_label]], 0, "Not Depressed", 1, "Depressed")</f>
        <v>Not Depressed</v>
      </c>
      <c r="Q334" s="45" t="str" cm="1">
        <f t="array" ref="Q334">_xlfn.SWITCH(rounded[[#This Row],[gender]], "male", "Male", "female", "Female")</f>
        <v>Female</v>
      </c>
    </row>
    <row r="335" spans="1:17" x14ac:dyDescent="0.35">
      <c r="A335">
        <v>13</v>
      </c>
      <c r="B335" t="s">
        <v>13</v>
      </c>
      <c r="C335" s="4">
        <v>5.4</v>
      </c>
      <c r="D335" t="s">
        <v>14</v>
      </c>
      <c r="E335" s="4">
        <v>4.0999999999999996</v>
      </c>
      <c r="F335" s="4">
        <v>2</v>
      </c>
      <c r="G335">
        <v>3.82</v>
      </c>
      <c r="H335">
        <v>1.9</v>
      </c>
      <c r="I335" t="s">
        <v>19</v>
      </c>
      <c r="J335">
        <v>6</v>
      </c>
      <c r="K335">
        <v>10</v>
      </c>
      <c r="L335">
        <v>8</v>
      </c>
      <c r="M335">
        <v>0</v>
      </c>
      <c r="N335">
        <f>_xlfn.IFS(rounded[[#This Row],[social_interaction_level]] = "low", 1,rounded[[#This Row],[social_interaction_level]] = "medium", 2,rounded[[#This Row],[social_interaction_level]] = "high", 3)</f>
        <v>2</v>
      </c>
      <c r="O335">
        <f t="shared" si="5"/>
        <v>24</v>
      </c>
      <c r="P335" t="str" cm="1">
        <f t="array" ref="P335">_xlfn.SWITCH(rounded[[#This Row],[depression_label]], 0, "Not Depressed", 1, "Depressed")</f>
        <v>Not Depressed</v>
      </c>
      <c r="Q335" s="45" t="str" cm="1">
        <f t="array" ref="Q335">_xlfn.SWITCH(rounded[[#This Row],[gender]], "male", "Male", "female", "Female")</f>
        <v>Male</v>
      </c>
    </row>
    <row r="336" spans="1:17" x14ac:dyDescent="0.35">
      <c r="A336">
        <v>13</v>
      </c>
      <c r="B336" t="s">
        <v>16</v>
      </c>
      <c r="C336" s="4">
        <v>2.1</v>
      </c>
      <c r="D336" t="s">
        <v>14</v>
      </c>
      <c r="E336" s="4">
        <v>8.1999999999999993</v>
      </c>
      <c r="F336" s="4">
        <v>0.9</v>
      </c>
      <c r="G336">
        <v>2.48</v>
      </c>
      <c r="H336">
        <v>0.5</v>
      </c>
      <c r="I336" t="s">
        <v>18</v>
      </c>
      <c r="J336">
        <v>2</v>
      </c>
      <c r="K336">
        <v>7</v>
      </c>
      <c r="L336">
        <v>6</v>
      </c>
      <c r="M336">
        <v>0</v>
      </c>
      <c r="N336">
        <f>_xlfn.IFS(rounded[[#This Row],[social_interaction_level]] = "low", 1,rounded[[#This Row],[social_interaction_level]] = "medium", 2,rounded[[#This Row],[social_interaction_level]] = "high", 3)</f>
        <v>3</v>
      </c>
      <c r="O336">
        <f t="shared" si="5"/>
        <v>15</v>
      </c>
      <c r="P336" t="str" cm="1">
        <f t="array" ref="P336">_xlfn.SWITCH(rounded[[#This Row],[depression_label]], 0, "Not Depressed", 1, "Depressed")</f>
        <v>Not Depressed</v>
      </c>
      <c r="Q336" s="45" t="str" cm="1">
        <f t="array" ref="Q336">_xlfn.SWITCH(rounded[[#This Row],[gender]], "male", "Male", "female", "Female")</f>
        <v>Female</v>
      </c>
    </row>
    <row r="337" spans="1:17" x14ac:dyDescent="0.35">
      <c r="A337">
        <v>14</v>
      </c>
      <c r="B337" t="s">
        <v>13</v>
      </c>
      <c r="C337" s="4">
        <v>5</v>
      </c>
      <c r="D337" t="s">
        <v>20</v>
      </c>
      <c r="E337" s="4">
        <v>4.3</v>
      </c>
      <c r="F337" s="4">
        <v>1.1000000000000001</v>
      </c>
      <c r="G337">
        <v>3.8</v>
      </c>
      <c r="H337">
        <v>0.4</v>
      </c>
      <c r="I337" t="s">
        <v>19</v>
      </c>
      <c r="J337">
        <v>9</v>
      </c>
      <c r="K337">
        <v>4</v>
      </c>
      <c r="L337">
        <v>10</v>
      </c>
      <c r="M337">
        <v>0</v>
      </c>
      <c r="N337">
        <f>_xlfn.IFS(rounded[[#This Row],[social_interaction_level]] = "low", 1,rounded[[#This Row],[social_interaction_level]] = "medium", 2,rounded[[#This Row],[social_interaction_level]] = "high", 3)</f>
        <v>2</v>
      </c>
      <c r="O337">
        <f t="shared" si="5"/>
        <v>23</v>
      </c>
      <c r="P337" t="str" cm="1">
        <f t="array" ref="P337">_xlfn.SWITCH(rounded[[#This Row],[depression_label]], 0, "Not Depressed", 1, "Depressed")</f>
        <v>Not Depressed</v>
      </c>
      <c r="Q337" s="45" t="str" cm="1">
        <f t="array" ref="Q337">_xlfn.SWITCH(rounded[[#This Row],[gender]], "male", "Male", "female", "Female")</f>
        <v>Male</v>
      </c>
    </row>
    <row r="338" spans="1:17" x14ac:dyDescent="0.35">
      <c r="A338">
        <v>13</v>
      </c>
      <c r="B338" t="s">
        <v>16</v>
      </c>
      <c r="C338" s="4">
        <v>4.4000000000000004</v>
      </c>
      <c r="D338" t="s">
        <v>14</v>
      </c>
      <c r="E338" s="4">
        <v>4.3</v>
      </c>
      <c r="F338" s="4">
        <v>1.9</v>
      </c>
      <c r="G338">
        <v>3.51</v>
      </c>
      <c r="H338">
        <v>0.9</v>
      </c>
      <c r="I338" t="s">
        <v>19</v>
      </c>
      <c r="J338">
        <v>8</v>
      </c>
      <c r="K338">
        <v>4</v>
      </c>
      <c r="L338">
        <v>3</v>
      </c>
      <c r="M338">
        <v>0</v>
      </c>
      <c r="N338">
        <f>_xlfn.IFS(rounded[[#This Row],[social_interaction_level]] = "low", 1,rounded[[#This Row],[social_interaction_level]] = "medium", 2,rounded[[#This Row],[social_interaction_level]] = "high", 3)</f>
        <v>2</v>
      </c>
      <c r="O338">
        <f t="shared" si="5"/>
        <v>15</v>
      </c>
      <c r="P338" t="str" cm="1">
        <f t="array" ref="P338">_xlfn.SWITCH(rounded[[#This Row],[depression_label]], 0, "Not Depressed", 1, "Depressed")</f>
        <v>Not Depressed</v>
      </c>
      <c r="Q338" s="45" t="str" cm="1">
        <f t="array" ref="Q338">_xlfn.SWITCH(rounded[[#This Row],[gender]], "male", "Male", "female", "Female")</f>
        <v>Female</v>
      </c>
    </row>
    <row r="339" spans="1:17" x14ac:dyDescent="0.35">
      <c r="A339">
        <v>13</v>
      </c>
      <c r="B339" t="s">
        <v>13</v>
      </c>
      <c r="C339" s="4">
        <v>3.4</v>
      </c>
      <c r="D339" t="s">
        <v>20</v>
      </c>
      <c r="E339" s="4">
        <v>8.6</v>
      </c>
      <c r="F339" s="4">
        <v>0.8</v>
      </c>
      <c r="G339">
        <v>3.08</v>
      </c>
      <c r="H339">
        <v>0.4</v>
      </c>
      <c r="I339" t="s">
        <v>15</v>
      </c>
      <c r="J339">
        <v>7</v>
      </c>
      <c r="K339">
        <v>10</v>
      </c>
      <c r="L339">
        <v>6</v>
      </c>
      <c r="M339">
        <v>0</v>
      </c>
      <c r="N339">
        <f>_xlfn.IFS(rounded[[#This Row],[social_interaction_level]] = "low", 1,rounded[[#This Row],[social_interaction_level]] = "medium", 2,rounded[[#This Row],[social_interaction_level]] = "high", 3)</f>
        <v>1</v>
      </c>
      <c r="O339">
        <f t="shared" si="5"/>
        <v>23</v>
      </c>
      <c r="P339" t="str" cm="1">
        <f t="array" ref="P339">_xlfn.SWITCH(rounded[[#This Row],[depression_label]], 0, "Not Depressed", 1, "Depressed")</f>
        <v>Not Depressed</v>
      </c>
      <c r="Q339" s="45" t="str" cm="1">
        <f t="array" ref="Q339">_xlfn.SWITCH(rounded[[#This Row],[gender]], "male", "Male", "female", "Female")</f>
        <v>Male</v>
      </c>
    </row>
    <row r="340" spans="1:17" x14ac:dyDescent="0.35">
      <c r="A340">
        <v>18</v>
      </c>
      <c r="B340" t="s">
        <v>13</v>
      </c>
      <c r="C340" s="4">
        <v>1.2</v>
      </c>
      <c r="D340" t="s">
        <v>14</v>
      </c>
      <c r="E340" s="4">
        <v>6.4</v>
      </c>
      <c r="F340" s="4">
        <v>1.3</v>
      </c>
      <c r="G340">
        <v>3.03</v>
      </c>
      <c r="H340">
        <v>1</v>
      </c>
      <c r="I340" t="s">
        <v>15</v>
      </c>
      <c r="J340">
        <v>5</v>
      </c>
      <c r="K340">
        <v>9</v>
      </c>
      <c r="L340">
        <v>10</v>
      </c>
      <c r="M340">
        <v>0</v>
      </c>
      <c r="N340">
        <f>_xlfn.IFS(rounded[[#This Row],[social_interaction_level]] = "low", 1,rounded[[#This Row],[social_interaction_level]] = "medium", 2,rounded[[#This Row],[social_interaction_level]] = "high", 3)</f>
        <v>1</v>
      </c>
      <c r="O340">
        <f t="shared" si="5"/>
        <v>24</v>
      </c>
      <c r="P340" t="str" cm="1">
        <f t="array" ref="P340">_xlfn.SWITCH(rounded[[#This Row],[depression_label]], 0, "Not Depressed", 1, "Depressed")</f>
        <v>Not Depressed</v>
      </c>
      <c r="Q340" s="45" t="str" cm="1">
        <f t="array" ref="Q340">_xlfn.SWITCH(rounded[[#This Row],[gender]], "male", "Male", "female", "Female")</f>
        <v>Male</v>
      </c>
    </row>
    <row r="341" spans="1:17" x14ac:dyDescent="0.35">
      <c r="A341">
        <v>14</v>
      </c>
      <c r="B341" t="s">
        <v>13</v>
      </c>
      <c r="C341" s="4">
        <v>5.5</v>
      </c>
      <c r="D341" t="s">
        <v>17</v>
      </c>
      <c r="E341" s="4">
        <v>7.3</v>
      </c>
      <c r="F341" s="4">
        <v>1.4</v>
      </c>
      <c r="G341">
        <v>2.61</v>
      </c>
      <c r="H341">
        <v>1.2</v>
      </c>
      <c r="I341" t="s">
        <v>18</v>
      </c>
      <c r="J341">
        <v>5</v>
      </c>
      <c r="K341">
        <v>7</v>
      </c>
      <c r="L341">
        <v>1</v>
      </c>
      <c r="M341">
        <v>0</v>
      </c>
      <c r="N341">
        <f>_xlfn.IFS(rounded[[#This Row],[social_interaction_level]] = "low", 1,rounded[[#This Row],[social_interaction_level]] = "medium", 2,rounded[[#This Row],[social_interaction_level]] = "high", 3)</f>
        <v>3</v>
      </c>
      <c r="O341">
        <f t="shared" si="5"/>
        <v>13</v>
      </c>
      <c r="P341" t="str" cm="1">
        <f t="array" ref="P341">_xlfn.SWITCH(rounded[[#This Row],[depression_label]], 0, "Not Depressed", 1, "Depressed")</f>
        <v>Not Depressed</v>
      </c>
      <c r="Q341" s="45" t="str" cm="1">
        <f t="array" ref="Q341">_xlfn.SWITCH(rounded[[#This Row],[gender]], "male", "Male", "female", "Female")</f>
        <v>Male</v>
      </c>
    </row>
    <row r="342" spans="1:17" x14ac:dyDescent="0.35">
      <c r="A342">
        <v>15</v>
      </c>
      <c r="B342" t="s">
        <v>13</v>
      </c>
      <c r="C342" s="4">
        <v>2.2999999999999998</v>
      </c>
      <c r="D342" t="s">
        <v>20</v>
      </c>
      <c r="E342" s="4">
        <v>7.8</v>
      </c>
      <c r="F342" s="4">
        <v>3</v>
      </c>
      <c r="G342">
        <v>2.2999999999999998</v>
      </c>
      <c r="H342">
        <v>1.4</v>
      </c>
      <c r="I342" t="s">
        <v>19</v>
      </c>
      <c r="J342">
        <v>4</v>
      </c>
      <c r="K342">
        <v>9</v>
      </c>
      <c r="L342">
        <v>10</v>
      </c>
      <c r="M342">
        <v>0</v>
      </c>
      <c r="N342">
        <f>_xlfn.IFS(rounded[[#This Row],[social_interaction_level]] = "low", 1,rounded[[#This Row],[social_interaction_level]] = "medium", 2,rounded[[#This Row],[social_interaction_level]] = "high", 3)</f>
        <v>2</v>
      </c>
      <c r="O342">
        <f t="shared" si="5"/>
        <v>23</v>
      </c>
      <c r="P342" t="str" cm="1">
        <f t="array" ref="P342">_xlfn.SWITCH(rounded[[#This Row],[depression_label]], 0, "Not Depressed", 1, "Depressed")</f>
        <v>Not Depressed</v>
      </c>
      <c r="Q342" s="45" t="str" cm="1">
        <f t="array" ref="Q342">_xlfn.SWITCH(rounded[[#This Row],[gender]], "male", "Male", "female", "Female")</f>
        <v>Male</v>
      </c>
    </row>
    <row r="343" spans="1:17" x14ac:dyDescent="0.35">
      <c r="A343">
        <v>13</v>
      </c>
      <c r="B343" t="s">
        <v>16</v>
      </c>
      <c r="C343" s="4">
        <v>1.4</v>
      </c>
      <c r="D343" t="s">
        <v>20</v>
      </c>
      <c r="E343" s="4">
        <v>7.4</v>
      </c>
      <c r="F343" s="4">
        <v>0.5</v>
      </c>
      <c r="G343">
        <v>2.3199999999999998</v>
      </c>
      <c r="H343">
        <v>1.3</v>
      </c>
      <c r="I343" t="s">
        <v>15</v>
      </c>
      <c r="J343">
        <v>3</v>
      </c>
      <c r="K343">
        <v>2</v>
      </c>
      <c r="L343">
        <v>6</v>
      </c>
      <c r="M343">
        <v>0</v>
      </c>
      <c r="N343">
        <f>_xlfn.IFS(rounded[[#This Row],[social_interaction_level]] = "low", 1,rounded[[#This Row],[social_interaction_level]] = "medium", 2,rounded[[#This Row],[social_interaction_level]] = "high", 3)</f>
        <v>1</v>
      </c>
      <c r="O343">
        <f t="shared" si="5"/>
        <v>11</v>
      </c>
      <c r="P343" t="str" cm="1">
        <f t="array" ref="P343">_xlfn.SWITCH(rounded[[#This Row],[depression_label]], 0, "Not Depressed", 1, "Depressed")</f>
        <v>Not Depressed</v>
      </c>
      <c r="Q343" s="45" t="str" cm="1">
        <f t="array" ref="Q343">_xlfn.SWITCH(rounded[[#This Row],[gender]], "male", "Male", "female", "Female")</f>
        <v>Female</v>
      </c>
    </row>
    <row r="344" spans="1:17" x14ac:dyDescent="0.35">
      <c r="A344">
        <v>13</v>
      </c>
      <c r="B344" t="s">
        <v>16</v>
      </c>
      <c r="C344" s="4">
        <v>3</v>
      </c>
      <c r="D344" t="s">
        <v>14</v>
      </c>
      <c r="E344" s="4">
        <v>7</v>
      </c>
      <c r="F344" s="4">
        <v>0.9</v>
      </c>
      <c r="G344">
        <v>2.73</v>
      </c>
      <c r="H344">
        <v>1.7</v>
      </c>
      <c r="I344" t="s">
        <v>18</v>
      </c>
      <c r="J344">
        <v>5</v>
      </c>
      <c r="K344">
        <v>6</v>
      </c>
      <c r="L344">
        <v>9</v>
      </c>
      <c r="M344">
        <v>0</v>
      </c>
      <c r="N344">
        <f>_xlfn.IFS(rounded[[#This Row],[social_interaction_level]] = "low", 1,rounded[[#This Row],[social_interaction_level]] = "medium", 2,rounded[[#This Row],[social_interaction_level]] = "high", 3)</f>
        <v>3</v>
      </c>
      <c r="O344">
        <f t="shared" si="5"/>
        <v>20</v>
      </c>
      <c r="P344" t="str" cm="1">
        <f t="array" ref="P344">_xlfn.SWITCH(rounded[[#This Row],[depression_label]], 0, "Not Depressed", 1, "Depressed")</f>
        <v>Not Depressed</v>
      </c>
      <c r="Q344" s="45" t="str" cm="1">
        <f t="array" ref="Q344">_xlfn.SWITCH(rounded[[#This Row],[gender]], "male", "Male", "female", "Female")</f>
        <v>Female</v>
      </c>
    </row>
    <row r="345" spans="1:17" x14ac:dyDescent="0.35">
      <c r="A345">
        <v>14</v>
      </c>
      <c r="B345" t="s">
        <v>13</v>
      </c>
      <c r="C345" s="4">
        <v>2.8</v>
      </c>
      <c r="D345" t="s">
        <v>14</v>
      </c>
      <c r="E345" s="4">
        <v>5</v>
      </c>
      <c r="F345" s="4">
        <v>2.5</v>
      </c>
      <c r="G345">
        <v>3.92</v>
      </c>
      <c r="H345">
        <v>1.8</v>
      </c>
      <c r="I345" t="s">
        <v>18</v>
      </c>
      <c r="J345">
        <v>1</v>
      </c>
      <c r="K345">
        <v>3</v>
      </c>
      <c r="L345">
        <v>4</v>
      </c>
      <c r="M345">
        <v>0</v>
      </c>
      <c r="N345">
        <f>_xlfn.IFS(rounded[[#This Row],[social_interaction_level]] = "low", 1,rounded[[#This Row],[social_interaction_level]] = "medium", 2,rounded[[#This Row],[social_interaction_level]] = "high", 3)</f>
        <v>3</v>
      </c>
      <c r="O345">
        <f t="shared" si="5"/>
        <v>8</v>
      </c>
      <c r="P345" t="str" cm="1">
        <f t="array" ref="P345">_xlfn.SWITCH(rounded[[#This Row],[depression_label]], 0, "Not Depressed", 1, "Depressed")</f>
        <v>Not Depressed</v>
      </c>
      <c r="Q345" s="45" t="str" cm="1">
        <f t="array" ref="Q345">_xlfn.SWITCH(rounded[[#This Row],[gender]], "male", "Male", "female", "Female")</f>
        <v>Male</v>
      </c>
    </row>
    <row r="346" spans="1:17" x14ac:dyDescent="0.35">
      <c r="A346">
        <v>14</v>
      </c>
      <c r="B346" t="s">
        <v>13</v>
      </c>
      <c r="C346" s="4">
        <v>7</v>
      </c>
      <c r="D346" t="s">
        <v>17</v>
      </c>
      <c r="E346" s="4">
        <v>6.9</v>
      </c>
      <c r="F346" s="4">
        <v>1</v>
      </c>
      <c r="G346">
        <v>3.93</v>
      </c>
      <c r="H346">
        <v>1.1000000000000001</v>
      </c>
      <c r="I346" t="s">
        <v>18</v>
      </c>
      <c r="J346">
        <v>9</v>
      </c>
      <c r="K346">
        <v>3</v>
      </c>
      <c r="L346">
        <v>7</v>
      </c>
      <c r="M346">
        <v>0</v>
      </c>
      <c r="N346">
        <f>_xlfn.IFS(rounded[[#This Row],[social_interaction_level]] = "low", 1,rounded[[#This Row],[social_interaction_level]] = "medium", 2,rounded[[#This Row],[social_interaction_level]] = "high", 3)</f>
        <v>3</v>
      </c>
      <c r="O346">
        <f t="shared" si="5"/>
        <v>19</v>
      </c>
      <c r="P346" t="str" cm="1">
        <f t="array" ref="P346">_xlfn.SWITCH(rounded[[#This Row],[depression_label]], 0, "Not Depressed", 1, "Depressed")</f>
        <v>Not Depressed</v>
      </c>
      <c r="Q346" s="45" t="str" cm="1">
        <f t="array" ref="Q346">_xlfn.SWITCH(rounded[[#This Row],[gender]], "male", "Male", "female", "Female")</f>
        <v>Male</v>
      </c>
    </row>
    <row r="347" spans="1:17" x14ac:dyDescent="0.35">
      <c r="A347">
        <v>13</v>
      </c>
      <c r="B347" t="s">
        <v>16</v>
      </c>
      <c r="C347" s="4">
        <v>1.6</v>
      </c>
      <c r="D347" t="s">
        <v>20</v>
      </c>
      <c r="E347" s="4">
        <v>8.4</v>
      </c>
      <c r="F347" s="4">
        <v>1.4</v>
      </c>
      <c r="G347">
        <v>3.47</v>
      </c>
      <c r="H347">
        <v>0.1</v>
      </c>
      <c r="I347" t="s">
        <v>19</v>
      </c>
      <c r="J347">
        <v>1</v>
      </c>
      <c r="K347">
        <v>6</v>
      </c>
      <c r="L347">
        <v>6</v>
      </c>
      <c r="M347">
        <v>0</v>
      </c>
      <c r="N347">
        <f>_xlfn.IFS(rounded[[#This Row],[social_interaction_level]] = "low", 1,rounded[[#This Row],[social_interaction_level]] = "medium", 2,rounded[[#This Row],[social_interaction_level]] = "high", 3)</f>
        <v>2</v>
      </c>
      <c r="O347">
        <f t="shared" si="5"/>
        <v>13</v>
      </c>
      <c r="P347" t="str" cm="1">
        <f t="array" ref="P347">_xlfn.SWITCH(rounded[[#This Row],[depression_label]], 0, "Not Depressed", 1, "Depressed")</f>
        <v>Not Depressed</v>
      </c>
      <c r="Q347" s="45" t="str" cm="1">
        <f t="array" ref="Q347">_xlfn.SWITCH(rounded[[#This Row],[gender]], "male", "Male", "female", "Female")</f>
        <v>Female</v>
      </c>
    </row>
    <row r="348" spans="1:17" x14ac:dyDescent="0.35">
      <c r="A348">
        <v>15</v>
      </c>
      <c r="B348" t="s">
        <v>16</v>
      </c>
      <c r="C348" s="4">
        <v>4.2</v>
      </c>
      <c r="D348" t="s">
        <v>14</v>
      </c>
      <c r="E348" s="4">
        <v>8.4</v>
      </c>
      <c r="F348" s="4">
        <v>1.2</v>
      </c>
      <c r="G348">
        <v>2.61</v>
      </c>
      <c r="H348">
        <v>0</v>
      </c>
      <c r="I348" t="s">
        <v>19</v>
      </c>
      <c r="J348">
        <v>3</v>
      </c>
      <c r="K348">
        <v>10</v>
      </c>
      <c r="L348">
        <v>2</v>
      </c>
      <c r="M348">
        <v>0</v>
      </c>
      <c r="N348">
        <f>_xlfn.IFS(rounded[[#This Row],[social_interaction_level]] = "low", 1,rounded[[#This Row],[social_interaction_level]] = "medium", 2,rounded[[#This Row],[social_interaction_level]] = "high", 3)</f>
        <v>2</v>
      </c>
      <c r="O348">
        <f t="shared" si="5"/>
        <v>15</v>
      </c>
      <c r="P348" t="str" cm="1">
        <f t="array" ref="P348">_xlfn.SWITCH(rounded[[#This Row],[depression_label]], 0, "Not Depressed", 1, "Depressed")</f>
        <v>Not Depressed</v>
      </c>
      <c r="Q348" s="45" t="str" cm="1">
        <f t="array" ref="Q348">_xlfn.SWITCH(rounded[[#This Row],[gender]], "male", "Male", "female", "Female")</f>
        <v>Female</v>
      </c>
    </row>
    <row r="349" spans="1:17" x14ac:dyDescent="0.35">
      <c r="A349">
        <v>17</v>
      </c>
      <c r="B349" t="s">
        <v>13</v>
      </c>
      <c r="C349" s="4">
        <v>4.9000000000000004</v>
      </c>
      <c r="D349" t="s">
        <v>14</v>
      </c>
      <c r="E349" s="4">
        <v>8.6</v>
      </c>
      <c r="F349" s="4">
        <v>3</v>
      </c>
      <c r="G349">
        <v>3.62</v>
      </c>
      <c r="H349">
        <v>1.2</v>
      </c>
      <c r="I349" t="s">
        <v>15</v>
      </c>
      <c r="J349">
        <v>6</v>
      </c>
      <c r="K349">
        <v>6</v>
      </c>
      <c r="L349">
        <v>9</v>
      </c>
      <c r="M349">
        <v>0</v>
      </c>
      <c r="N349">
        <f>_xlfn.IFS(rounded[[#This Row],[social_interaction_level]] = "low", 1,rounded[[#This Row],[social_interaction_level]] = "medium", 2,rounded[[#This Row],[social_interaction_level]] = "high", 3)</f>
        <v>1</v>
      </c>
      <c r="O349">
        <f t="shared" si="5"/>
        <v>21</v>
      </c>
      <c r="P349" t="str" cm="1">
        <f t="array" ref="P349">_xlfn.SWITCH(rounded[[#This Row],[depression_label]], 0, "Not Depressed", 1, "Depressed")</f>
        <v>Not Depressed</v>
      </c>
      <c r="Q349" s="45" t="str" cm="1">
        <f t="array" ref="Q349">_xlfn.SWITCH(rounded[[#This Row],[gender]], "male", "Male", "female", "Female")</f>
        <v>Male</v>
      </c>
    </row>
    <row r="350" spans="1:17" x14ac:dyDescent="0.35">
      <c r="A350">
        <v>14</v>
      </c>
      <c r="B350" t="s">
        <v>16</v>
      </c>
      <c r="C350" s="4">
        <v>3.6</v>
      </c>
      <c r="D350" t="s">
        <v>14</v>
      </c>
      <c r="E350" s="4">
        <v>4.0999999999999996</v>
      </c>
      <c r="F350" s="4">
        <v>2.9</v>
      </c>
      <c r="G350">
        <v>2.83</v>
      </c>
      <c r="H350">
        <v>0.5</v>
      </c>
      <c r="I350" t="s">
        <v>19</v>
      </c>
      <c r="J350">
        <v>10</v>
      </c>
      <c r="K350">
        <v>6</v>
      </c>
      <c r="L350">
        <v>7</v>
      </c>
      <c r="M350">
        <v>0</v>
      </c>
      <c r="N350">
        <f>_xlfn.IFS(rounded[[#This Row],[social_interaction_level]] = "low", 1,rounded[[#This Row],[social_interaction_level]] = "medium", 2,rounded[[#This Row],[social_interaction_level]] = "high", 3)</f>
        <v>2</v>
      </c>
      <c r="O350">
        <f t="shared" si="5"/>
        <v>23</v>
      </c>
      <c r="P350" t="str" cm="1">
        <f t="array" ref="P350">_xlfn.SWITCH(rounded[[#This Row],[depression_label]], 0, "Not Depressed", 1, "Depressed")</f>
        <v>Not Depressed</v>
      </c>
      <c r="Q350" s="45" t="str" cm="1">
        <f t="array" ref="Q350">_xlfn.SWITCH(rounded[[#This Row],[gender]], "male", "Male", "female", "Female")</f>
        <v>Female</v>
      </c>
    </row>
    <row r="351" spans="1:17" x14ac:dyDescent="0.35">
      <c r="A351">
        <v>19</v>
      </c>
      <c r="B351" t="s">
        <v>13</v>
      </c>
      <c r="C351" s="4">
        <v>1.8</v>
      </c>
      <c r="D351" t="s">
        <v>17</v>
      </c>
      <c r="E351" s="4">
        <v>6</v>
      </c>
      <c r="F351" s="4">
        <v>2.2999999999999998</v>
      </c>
      <c r="G351">
        <v>3.22</v>
      </c>
      <c r="H351">
        <v>1</v>
      </c>
      <c r="I351" t="s">
        <v>19</v>
      </c>
      <c r="J351">
        <v>5</v>
      </c>
      <c r="K351">
        <v>6</v>
      </c>
      <c r="L351">
        <v>8</v>
      </c>
      <c r="M351">
        <v>0</v>
      </c>
      <c r="N351">
        <f>_xlfn.IFS(rounded[[#This Row],[social_interaction_level]] = "low", 1,rounded[[#This Row],[social_interaction_level]] = "medium", 2,rounded[[#This Row],[social_interaction_level]] = "high", 3)</f>
        <v>2</v>
      </c>
      <c r="O351">
        <f t="shared" si="5"/>
        <v>19</v>
      </c>
      <c r="P351" t="str" cm="1">
        <f t="array" ref="P351">_xlfn.SWITCH(rounded[[#This Row],[depression_label]], 0, "Not Depressed", 1, "Depressed")</f>
        <v>Not Depressed</v>
      </c>
      <c r="Q351" s="45" t="str" cm="1">
        <f t="array" ref="Q351">_xlfn.SWITCH(rounded[[#This Row],[gender]], "male", "Male", "female", "Female")</f>
        <v>Male</v>
      </c>
    </row>
    <row r="352" spans="1:17" x14ac:dyDescent="0.35">
      <c r="A352">
        <v>17</v>
      </c>
      <c r="B352" t="s">
        <v>16</v>
      </c>
      <c r="C352" s="4">
        <v>2.7</v>
      </c>
      <c r="D352" t="s">
        <v>14</v>
      </c>
      <c r="E352" s="4">
        <v>5.4</v>
      </c>
      <c r="F352" s="4">
        <v>2.6</v>
      </c>
      <c r="G352">
        <v>2.0699999999999998</v>
      </c>
      <c r="H352">
        <v>0</v>
      </c>
      <c r="I352" t="s">
        <v>19</v>
      </c>
      <c r="J352">
        <v>6</v>
      </c>
      <c r="K352">
        <v>5</v>
      </c>
      <c r="L352">
        <v>6</v>
      </c>
      <c r="M352">
        <v>0</v>
      </c>
      <c r="N352">
        <f>_xlfn.IFS(rounded[[#This Row],[social_interaction_level]] = "low", 1,rounded[[#This Row],[social_interaction_level]] = "medium", 2,rounded[[#This Row],[social_interaction_level]] = "high", 3)</f>
        <v>2</v>
      </c>
      <c r="O352">
        <f t="shared" si="5"/>
        <v>17</v>
      </c>
      <c r="P352" t="str" cm="1">
        <f t="array" ref="P352">_xlfn.SWITCH(rounded[[#This Row],[depression_label]], 0, "Not Depressed", 1, "Depressed")</f>
        <v>Not Depressed</v>
      </c>
      <c r="Q352" s="45" t="str" cm="1">
        <f t="array" ref="Q352">_xlfn.SWITCH(rounded[[#This Row],[gender]], "male", "Male", "female", "Female")</f>
        <v>Female</v>
      </c>
    </row>
    <row r="353" spans="1:17" x14ac:dyDescent="0.35">
      <c r="A353">
        <v>15</v>
      </c>
      <c r="B353" t="s">
        <v>16</v>
      </c>
      <c r="C353" s="4">
        <v>1.2</v>
      </c>
      <c r="D353" t="s">
        <v>14</v>
      </c>
      <c r="E353" s="4">
        <v>5.2</v>
      </c>
      <c r="F353" s="4">
        <v>1</v>
      </c>
      <c r="G353">
        <v>2.78</v>
      </c>
      <c r="H353">
        <v>1.3</v>
      </c>
      <c r="I353" t="s">
        <v>18</v>
      </c>
      <c r="J353">
        <v>5</v>
      </c>
      <c r="K353">
        <v>8</v>
      </c>
      <c r="L353">
        <v>10</v>
      </c>
      <c r="M353">
        <v>0</v>
      </c>
      <c r="N353">
        <f>_xlfn.IFS(rounded[[#This Row],[social_interaction_level]] = "low", 1,rounded[[#This Row],[social_interaction_level]] = "medium", 2,rounded[[#This Row],[social_interaction_level]] = "high", 3)</f>
        <v>3</v>
      </c>
      <c r="O353">
        <f t="shared" si="5"/>
        <v>23</v>
      </c>
      <c r="P353" t="str" cm="1">
        <f t="array" ref="P353">_xlfn.SWITCH(rounded[[#This Row],[depression_label]], 0, "Not Depressed", 1, "Depressed")</f>
        <v>Not Depressed</v>
      </c>
      <c r="Q353" s="45" t="str" cm="1">
        <f t="array" ref="Q353">_xlfn.SWITCH(rounded[[#This Row],[gender]], "male", "Male", "female", "Female")</f>
        <v>Female</v>
      </c>
    </row>
    <row r="354" spans="1:17" x14ac:dyDescent="0.35">
      <c r="A354">
        <v>18</v>
      </c>
      <c r="B354" t="s">
        <v>16</v>
      </c>
      <c r="C354" s="4">
        <v>6.2</v>
      </c>
      <c r="D354" t="s">
        <v>20</v>
      </c>
      <c r="E354" s="4">
        <v>6.7</v>
      </c>
      <c r="F354" s="4">
        <v>1.4</v>
      </c>
      <c r="G354">
        <v>3.42</v>
      </c>
      <c r="H354">
        <v>0.9</v>
      </c>
      <c r="I354" t="s">
        <v>15</v>
      </c>
      <c r="J354">
        <v>6</v>
      </c>
      <c r="K354">
        <v>8</v>
      </c>
      <c r="L354">
        <v>6</v>
      </c>
      <c r="M354">
        <v>0</v>
      </c>
      <c r="N354">
        <f>_xlfn.IFS(rounded[[#This Row],[social_interaction_level]] = "low", 1,rounded[[#This Row],[social_interaction_level]] = "medium", 2,rounded[[#This Row],[social_interaction_level]] = "high", 3)</f>
        <v>1</v>
      </c>
      <c r="O354">
        <f t="shared" si="5"/>
        <v>20</v>
      </c>
      <c r="P354" t="str" cm="1">
        <f t="array" ref="P354">_xlfn.SWITCH(rounded[[#This Row],[depression_label]], 0, "Not Depressed", 1, "Depressed")</f>
        <v>Not Depressed</v>
      </c>
      <c r="Q354" s="45" t="str" cm="1">
        <f t="array" ref="Q354">_xlfn.SWITCH(rounded[[#This Row],[gender]], "male", "Male", "female", "Female")</f>
        <v>Female</v>
      </c>
    </row>
    <row r="355" spans="1:17" x14ac:dyDescent="0.35">
      <c r="A355">
        <v>18</v>
      </c>
      <c r="B355" t="s">
        <v>13</v>
      </c>
      <c r="C355" s="4">
        <v>1.6</v>
      </c>
      <c r="D355" t="s">
        <v>17</v>
      </c>
      <c r="E355" s="4">
        <v>6.2</v>
      </c>
      <c r="F355" s="4">
        <v>1.9</v>
      </c>
      <c r="G355">
        <v>2.0499999999999998</v>
      </c>
      <c r="H355">
        <v>0.3</v>
      </c>
      <c r="I355" t="s">
        <v>15</v>
      </c>
      <c r="J355">
        <v>8</v>
      </c>
      <c r="K355">
        <v>9</v>
      </c>
      <c r="L355">
        <v>9</v>
      </c>
      <c r="M355">
        <v>0</v>
      </c>
      <c r="N355">
        <f>_xlfn.IFS(rounded[[#This Row],[social_interaction_level]] = "low", 1,rounded[[#This Row],[social_interaction_level]] = "medium", 2,rounded[[#This Row],[social_interaction_level]] = "high", 3)</f>
        <v>1</v>
      </c>
      <c r="O355">
        <f t="shared" si="5"/>
        <v>26</v>
      </c>
      <c r="P355" t="str" cm="1">
        <f t="array" ref="P355">_xlfn.SWITCH(rounded[[#This Row],[depression_label]], 0, "Not Depressed", 1, "Depressed")</f>
        <v>Not Depressed</v>
      </c>
      <c r="Q355" s="45" t="str" cm="1">
        <f t="array" ref="Q355">_xlfn.SWITCH(rounded[[#This Row],[gender]], "male", "Male", "female", "Female")</f>
        <v>Male</v>
      </c>
    </row>
    <row r="356" spans="1:17" x14ac:dyDescent="0.35">
      <c r="A356">
        <v>18</v>
      </c>
      <c r="B356" t="s">
        <v>16</v>
      </c>
      <c r="C356" s="4">
        <v>5.0999999999999996</v>
      </c>
      <c r="D356" t="s">
        <v>17</v>
      </c>
      <c r="E356" s="4">
        <v>7.4</v>
      </c>
      <c r="F356" s="4">
        <v>1.3</v>
      </c>
      <c r="G356">
        <v>3.5</v>
      </c>
      <c r="H356">
        <v>1.6</v>
      </c>
      <c r="I356" t="s">
        <v>18</v>
      </c>
      <c r="J356">
        <v>1</v>
      </c>
      <c r="K356">
        <v>5</v>
      </c>
      <c r="L356">
        <v>5</v>
      </c>
      <c r="M356">
        <v>0</v>
      </c>
      <c r="N356">
        <f>_xlfn.IFS(rounded[[#This Row],[social_interaction_level]] = "low", 1,rounded[[#This Row],[social_interaction_level]] = "medium", 2,rounded[[#This Row],[social_interaction_level]] = "high", 3)</f>
        <v>3</v>
      </c>
      <c r="O356">
        <f t="shared" si="5"/>
        <v>11</v>
      </c>
      <c r="P356" t="str" cm="1">
        <f t="array" ref="P356">_xlfn.SWITCH(rounded[[#This Row],[depression_label]], 0, "Not Depressed", 1, "Depressed")</f>
        <v>Not Depressed</v>
      </c>
      <c r="Q356" s="45" t="str" cm="1">
        <f t="array" ref="Q356">_xlfn.SWITCH(rounded[[#This Row],[gender]], "male", "Male", "female", "Female")</f>
        <v>Female</v>
      </c>
    </row>
    <row r="357" spans="1:17" x14ac:dyDescent="0.35">
      <c r="A357">
        <v>13</v>
      </c>
      <c r="B357" t="s">
        <v>16</v>
      </c>
      <c r="C357" s="4">
        <v>5.2</v>
      </c>
      <c r="D357" t="s">
        <v>17</v>
      </c>
      <c r="E357" s="4">
        <v>8.1999999999999993</v>
      </c>
      <c r="F357" s="4">
        <v>2.8</v>
      </c>
      <c r="G357">
        <v>2.12</v>
      </c>
      <c r="H357">
        <v>1.4</v>
      </c>
      <c r="I357" t="s">
        <v>19</v>
      </c>
      <c r="J357">
        <v>1</v>
      </c>
      <c r="K357">
        <v>8</v>
      </c>
      <c r="L357">
        <v>1</v>
      </c>
      <c r="M357">
        <v>0</v>
      </c>
      <c r="N357">
        <f>_xlfn.IFS(rounded[[#This Row],[social_interaction_level]] = "low", 1,rounded[[#This Row],[social_interaction_level]] = "medium", 2,rounded[[#This Row],[social_interaction_level]] = "high", 3)</f>
        <v>2</v>
      </c>
      <c r="O357">
        <f t="shared" si="5"/>
        <v>10</v>
      </c>
      <c r="P357" t="str" cm="1">
        <f t="array" ref="P357">_xlfn.SWITCH(rounded[[#This Row],[depression_label]], 0, "Not Depressed", 1, "Depressed")</f>
        <v>Not Depressed</v>
      </c>
      <c r="Q357" s="45" t="str" cm="1">
        <f t="array" ref="Q357">_xlfn.SWITCH(rounded[[#This Row],[gender]], "male", "Male", "female", "Female")</f>
        <v>Female</v>
      </c>
    </row>
    <row r="358" spans="1:17" x14ac:dyDescent="0.35">
      <c r="A358">
        <v>14</v>
      </c>
      <c r="B358" t="s">
        <v>13</v>
      </c>
      <c r="C358" s="4">
        <v>4.0999999999999996</v>
      </c>
      <c r="D358" t="s">
        <v>17</v>
      </c>
      <c r="E358" s="4">
        <v>5.0999999999999996</v>
      </c>
      <c r="F358" s="4">
        <v>2</v>
      </c>
      <c r="G358">
        <v>3.51</v>
      </c>
      <c r="H358">
        <v>0.7</v>
      </c>
      <c r="I358" t="s">
        <v>18</v>
      </c>
      <c r="J358">
        <v>2</v>
      </c>
      <c r="K358">
        <v>9</v>
      </c>
      <c r="L358">
        <v>1</v>
      </c>
      <c r="M358">
        <v>0</v>
      </c>
      <c r="N358">
        <f>_xlfn.IFS(rounded[[#This Row],[social_interaction_level]] = "low", 1,rounded[[#This Row],[social_interaction_level]] = "medium", 2,rounded[[#This Row],[social_interaction_level]] = "high", 3)</f>
        <v>3</v>
      </c>
      <c r="O358">
        <f t="shared" si="5"/>
        <v>12</v>
      </c>
      <c r="P358" t="str" cm="1">
        <f t="array" ref="P358">_xlfn.SWITCH(rounded[[#This Row],[depression_label]], 0, "Not Depressed", 1, "Depressed")</f>
        <v>Not Depressed</v>
      </c>
      <c r="Q358" s="45" t="str" cm="1">
        <f t="array" ref="Q358">_xlfn.SWITCH(rounded[[#This Row],[gender]], "male", "Male", "female", "Female")</f>
        <v>Male</v>
      </c>
    </row>
    <row r="359" spans="1:17" x14ac:dyDescent="0.35">
      <c r="A359">
        <v>19</v>
      </c>
      <c r="B359" t="s">
        <v>16</v>
      </c>
      <c r="C359" s="4">
        <v>5.4</v>
      </c>
      <c r="D359" t="s">
        <v>17</v>
      </c>
      <c r="E359" s="4">
        <v>4.4000000000000004</v>
      </c>
      <c r="F359" s="4">
        <v>2.2999999999999998</v>
      </c>
      <c r="G359">
        <v>3.34</v>
      </c>
      <c r="H359">
        <v>0.4</v>
      </c>
      <c r="I359" t="s">
        <v>18</v>
      </c>
      <c r="J359">
        <v>3</v>
      </c>
      <c r="K359">
        <v>3</v>
      </c>
      <c r="L359">
        <v>8</v>
      </c>
      <c r="M359">
        <v>0</v>
      </c>
      <c r="N359">
        <f>_xlfn.IFS(rounded[[#This Row],[social_interaction_level]] = "low", 1,rounded[[#This Row],[social_interaction_level]] = "medium", 2,rounded[[#This Row],[social_interaction_level]] = "high", 3)</f>
        <v>3</v>
      </c>
      <c r="O359">
        <f t="shared" si="5"/>
        <v>14</v>
      </c>
      <c r="P359" t="str" cm="1">
        <f t="array" ref="P359">_xlfn.SWITCH(rounded[[#This Row],[depression_label]], 0, "Not Depressed", 1, "Depressed")</f>
        <v>Not Depressed</v>
      </c>
      <c r="Q359" s="45" t="str" cm="1">
        <f t="array" ref="Q359">_xlfn.SWITCH(rounded[[#This Row],[gender]], "male", "Male", "female", "Female")</f>
        <v>Female</v>
      </c>
    </row>
    <row r="360" spans="1:17" x14ac:dyDescent="0.35">
      <c r="A360">
        <v>13</v>
      </c>
      <c r="B360" t="s">
        <v>13</v>
      </c>
      <c r="C360" s="4">
        <v>2.4</v>
      </c>
      <c r="D360" t="s">
        <v>17</v>
      </c>
      <c r="E360" s="4">
        <v>8.4</v>
      </c>
      <c r="F360" s="4">
        <v>1.6</v>
      </c>
      <c r="G360">
        <v>2.82</v>
      </c>
      <c r="H360">
        <v>1.1000000000000001</v>
      </c>
      <c r="I360" t="s">
        <v>15</v>
      </c>
      <c r="J360">
        <v>1</v>
      </c>
      <c r="K360">
        <v>3</v>
      </c>
      <c r="L360">
        <v>2</v>
      </c>
      <c r="M360">
        <v>0</v>
      </c>
      <c r="N360">
        <f>_xlfn.IFS(rounded[[#This Row],[social_interaction_level]] = "low", 1,rounded[[#This Row],[social_interaction_level]] = "medium", 2,rounded[[#This Row],[social_interaction_level]] = "high", 3)</f>
        <v>1</v>
      </c>
      <c r="O360">
        <f t="shared" si="5"/>
        <v>6</v>
      </c>
      <c r="P360" t="str" cm="1">
        <f t="array" ref="P360">_xlfn.SWITCH(rounded[[#This Row],[depression_label]], 0, "Not Depressed", 1, "Depressed")</f>
        <v>Not Depressed</v>
      </c>
      <c r="Q360" s="45" t="str" cm="1">
        <f t="array" ref="Q360">_xlfn.SWITCH(rounded[[#This Row],[gender]], "male", "Male", "female", "Female")</f>
        <v>Male</v>
      </c>
    </row>
    <row r="361" spans="1:17" x14ac:dyDescent="0.35">
      <c r="A361">
        <v>18</v>
      </c>
      <c r="B361" t="s">
        <v>13</v>
      </c>
      <c r="C361" s="4">
        <v>1.7</v>
      </c>
      <c r="D361" t="s">
        <v>20</v>
      </c>
      <c r="E361" s="4">
        <v>5.6</v>
      </c>
      <c r="F361" s="4">
        <v>1.4</v>
      </c>
      <c r="G361">
        <v>2.85</v>
      </c>
      <c r="H361">
        <v>1</v>
      </c>
      <c r="I361" t="s">
        <v>18</v>
      </c>
      <c r="J361">
        <v>3</v>
      </c>
      <c r="K361">
        <v>3</v>
      </c>
      <c r="L361">
        <v>7</v>
      </c>
      <c r="M361">
        <v>0</v>
      </c>
      <c r="N361">
        <f>_xlfn.IFS(rounded[[#This Row],[social_interaction_level]] = "low", 1,rounded[[#This Row],[social_interaction_level]] = "medium", 2,rounded[[#This Row],[social_interaction_level]] = "high", 3)</f>
        <v>3</v>
      </c>
      <c r="O361">
        <f t="shared" si="5"/>
        <v>13</v>
      </c>
      <c r="P361" t="str" cm="1">
        <f t="array" ref="P361">_xlfn.SWITCH(rounded[[#This Row],[depression_label]], 0, "Not Depressed", 1, "Depressed")</f>
        <v>Not Depressed</v>
      </c>
      <c r="Q361" s="45" t="str" cm="1">
        <f t="array" ref="Q361">_xlfn.SWITCH(rounded[[#This Row],[gender]], "male", "Male", "female", "Female")</f>
        <v>Male</v>
      </c>
    </row>
    <row r="362" spans="1:17" x14ac:dyDescent="0.35">
      <c r="A362">
        <v>18</v>
      </c>
      <c r="B362" t="s">
        <v>13</v>
      </c>
      <c r="C362" s="4">
        <v>6</v>
      </c>
      <c r="D362" t="s">
        <v>20</v>
      </c>
      <c r="E362" s="4">
        <v>6.1</v>
      </c>
      <c r="F362" s="4">
        <v>0.9</v>
      </c>
      <c r="G362">
        <v>2.68</v>
      </c>
      <c r="H362">
        <v>0.3</v>
      </c>
      <c r="I362" t="s">
        <v>19</v>
      </c>
      <c r="J362">
        <v>2</v>
      </c>
      <c r="K362">
        <v>10</v>
      </c>
      <c r="L362">
        <v>10</v>
      </c>
      <c r="M362">
        <v>0</v>
      </c>
      <c r="N362">
        <f>_xlfn.IFS(rounded[[#This Row],[social_interaction_level]] = "low", 1,rounded[[#This Row],[social_interaction_level]] = "medium", 2,rounded[[#This Row],[social_interaction_level]] = "high", 3)</f>
        <v>2</v>
      </c>
      <c r="O362">
        <f t="shared" si="5"/>
        <v>22</v>
      </c>
      <c r="P362" t="str" cm="1">
        <f t="array" ref="P362">_xlfn.SWITCH(rounded[[#This Row],[depression_label]], 0, "Not Depressed", 1, "Depressed")</f>
        <v>Not Depressed</v>
      </c>
      <c r="Q362" s="45" t="str" cm="1">
        <f t="array" ref="Q362">_xlfn.SWITCH(rounded[[#This Row],[gender]], "male", "Male", "female", "Female")</f>
        <v>Male</v>
      </c>
    </row>
    <row r="363" spans="1:17" x14ac:dyDescent="0.35">
      <c r="A363">
        <v>17</v>
      </c>
      <c r="B363" t="s">
        <v>13</v>
      </c>
      <c r="C363" s="4">
        <v>7.2</v>
      </c>
      <c r="D363" t="s">
        <v>20</v>
      </c>
      <c r="E363" s="4">
        <v>6.1</v>
      </c>
      <c r="F363" s="4">
        <v>0.8</v>
      </c>
      <c r="G363">
        <v>3.9</v>
      </c>
      <c r="H363">
        <v>0.2</v>
      </c>
      <c r="I363" t="s">
        <v>15</v>
      </c>
      <c r="J363">
        <v>8</v>
      </c>
      <c r="K363">
        <v>3</v>
      </c>
      <c r="L363">
        <v>7</v>
      </c>
      <c r="M363">
        <v>0</v>
      </c>
      <c r="N363">
        <f>_xlfn.IFS(rounded[[#This Row],[social_interaction_level]] = "low", 1,rounded[[#This Row],[social_interaction_level]] = "medium", 2,rounded[[#This Row],[social_interaction_level]] = "high", 3)</f>
        <v>1</v>
      </c>
      <c r="O363">
        <f t="shared" si="5"/>
        <v>18</v>
      </c>
      <c r="P363" t="str" cm="1">
        <f t="array" ref="P363">_xlfn.SWITCH(rounded[[#This Row],[depression_label]], 0, "Not Depressed", 1, "Depressed")</f>
        <v>Not Depressed</v>
      </c>
      <c r="Q363" s="45" t="str" cm="1">
        <f t="array" ref="Q363">_xlfn.SWITCH(rounded[[#This Row],[gender]], "male", "Male", "female", "Female")</f>
        <v>Male</v>
      </c>
    </row>
    <row r="364" spans="1:17" x14ac:dyDescent="0.35">
      <c r="A364">
        <v>18</v>
      </c>
      <c r="B364" t="s">
        <v>13</v>
      </c>
      <c r="C364" s="4">
        <v>3.5</v>
      </c>
      <c r="D364" t="s">
        <v>17</v>
      </c>
      <c r="E364" s="4">
        <v>6.3</v>
      </c>
      <c r="F364" s="4">
        <v>2.9</v>
      </c>
      <c r="G364">
        <v>3.35</v>
      </c>
      <c r="H364">
        <v>1.6</v>
      </c>
      <c r="I364" t="s">
        <v>18</v>
      </c>
      <c r="J364">
        <v>1</v>
      </c>
      <c r="K364">
        <v>4</v>
      </c>
      <c r="L364">
        <v>2</v>
      </c>
      <c r="M364">
        <v>0</v>
      </c>
      <c r="N364">
        <f>_xlfn.IFS(rounded[[#This Row],[social_interaction_level]] = "low", 1,rounded[[#This Row],[social_interaction_level]] = "medium", 2,rounded[[#This Row],[social_interaction_level]] = "high", 3)</f>
        <v>3</v>
      </c>
      <c r="O364">
        <f t="shared" si="5"/>
        <v>7</v>
      </c>
      <c r="P364" t="str" cm="1">
        <f t="array" ref="P364">_xlfn.SWITCH(rounded[[#This Row],[depression_label]], 0, "Not Depressed", 1, "Depressed")</f>
        <v>Not Depressed</v>
      </c>
      <c r="Q364" s="45" t="str" cm="1">
        <f t="array" ref="Q364">_xlfn.SWITCH(rounded[[#This Row],[gender]], "male", "Male", "female", "Female")</f>
        <v>Male</v>
      </c>
    </row>
    <row r="365" spans="1:17" x14ac:dyDescent="0.35">
      <c r="A365">
        <v>15</v>
      </c>
      <c r="B365" t="s">
        <v>16</v>
      </c>
      <c r="C365" s="4">
        <v>3.8</v>
      </c>
      <c r="D365" t="s">
        <v>14</v>
      </c>
      <c r="E365" s="4">
        <v>4.4000000000000004</v>
      </c>
      <c r="F365" s="4">
        <v>1.9</v>
      </c>
      <c r="G365">
        <v>2.04</v>
      </c>
      <c r="H365">
        <v>0.5</v>
      </c>
      <c r="I365" t="s">
        <v>19</v>
      </c>
      <c r="J365">
        <v>4</v>
      </c>
      <c r="K365">
        <v>9</v>
      </c>
      <c r="L365">
        <v>7</v>
      </c>
      <c r="M365">
        <v>0</v>
      </c>
      <c r="N365">
        <f>_xlfn.IFS(rounded[[#This Row],[social_interaction_level]] = "low", 1,rounded[[#This Row],[social_interaction_level]] = "medium", 2,rounded[[#This Row],[social_interaction_level]] = "high", 3)</f>
        <v>2</v>
      </c>
      <c r="O365">
        <f t="shared" si="5"/>
        <v>20</v>
      </c>
      <c r="P365" t="str" cm="1">
        <f t="array" ref="P365">_xlfn.SWITCH(rounded[[#This Row],[depression_label]], 0, "Not Depressed", 1, "Depressed")</f>
        <v>Not Depressed</v>
      </c>
      <c r="Q365" s="45" t="str" cm="1">
        <f t="array" ref="Q365">_xlfn.SWITCH(rounded[[#This Row],[gender]], "male", "Male", "female", "Female")</f>
        <v>Female</v>
      </c>
    </row>
    <row r="366" spans="1:17" x14ac:dyDescent="0.35">
      <c r="A366">
        <v>18</v>
      </c>
      <c r="B366" t="s">
        <v>16</v>
      </c>
      <c r="C366" s="4">
        <v>4.5</v>
      </c>
      <c r="D366" t="s">
        <v>20</v>
      </c>
      <c r="E366" s="4">
        <v>8</v>
      </c>
      <c r="F366" s="4">
        <v>1.5</v>
      </c>
      <c r="G366">
        <v>3.45</v>
      </c>
      <c r="H366">
        <v>1</v>
      </c>
      <c r="I366" t="s">
        <v>15</v>
      </c>
      <c r="J366">
        <v>4</v>
      </c>
      <c r="K366">
        <v>3</v>
      </c>
      <c r="L366">
        <v>9</v>
      </c>
      <c r="M366">
        <v>0</v>
      </c>
      <c r="N366">
        <f>_xlfn.IFS(rounded[[#This Row],[social_interaction_level]] = "low", 1,rounded[[#This Row],[social_interaction_level]] = "medium", 2,rounded[[#This Row],[social_interaction_level]] = "high", 3)</f>
        <v>1</v>
      </c>
      <c r="O366">
        <f t="shared" si="5"/>
        <v>16</v>
      </c>
      <c r="P366" t="str" cm="1">
        <f t="array" ref="P366">_xlfn.SWITCH(rounded[[#This Row],[depression_label]], 0, "Not Depressed", 1, "Depressed")</f>
        <v>Not Depressed</v>
      </c>
      <c r="Q366" s="45" t="str" cm="1">
        <f t="array" ref="Q366">_xlfn.SWITCH(rounded[[#This Row],[gender]], "male", "Male", "female", "Female")</f>
        <v>Female</v>
      </c>
    </row>
    <row r="367" spans="1:17" x14ac:dyDescent="0.35">
      <c r="A367">
        <v>16</v>
      </c>
      <c r="B367" t="s">
        <v>16</v>
      </c>
      <c r="C367" s="4">
        <v>7.3</v>
      </c>
      <c r="D367" t="s">
        <v>20</v>
      </c>
      <c r="E367" s="4">
        <v>7.2</v>
      </c>
      <c r="F367" s="4">
        <v>0.5</v>
      </c>
      <c r="G367">
        <v>2.78</v>
      </c>
      <c r="H367">
        <v>1.9</v>
      </c>
      <c r="I367" t="s">
        <v>15</v>
      </c>
      <c r="J367">
        <v>7</v>
      </c>
      <c r="K367">
        <v>3</v>
      </c>
      <c r="L367">
        <v>9</v>
      </c>
      <c r="M367">
        <v>0</v>
      </c>
      <c r="N367">
        <f>_xlfn.IFS(rounded[[#This Row],[social_interaction_level]] = "low", 1,rounded[[#This Row],[social_interaction_level]] = "medium", 2,rounded[[#This Row],[social_interaction_level]] = "high", 3)</f>
        <v>1</v>
      </c>
      <c r="O367">
        <f t="shared" si="5"/>
        <v>19</v>
      </c>
      <c r="P367" t="str" cm="1">
        <f t="array" ref="P367">_xlfn.SWITCH(rounded[[#This Row],[depression_label]], 0, "Not Depressed", 1, "Depressed")</f>
        <v>Not Depressed</v>
      </c>
      <c r="Q367" s="45" t="str" cm="1">
        <f t="array" ref="Q367">_xlfn.SWITCH(rounded[[#This Row],[gender]], "male", "Male", "female", "Female")</f>
        <v>Female</v>
      </c>
    </row>
    <row r="368" spans="1:17" x14ac:dyDescent="0.35">
      <c r="A368">
        <v>18</v>
      </c>
      <c r="B368" t="s">
        <v>16</v>
      </c>
      <c r="C368" s="4">
        <v>6.4</v>
      </c>
      <c r="D368" t="s">
        <v>14</v>
      </c>
      <c r="E368" s="4">
        <v>7.7</v>
      </c>
      <c r="F368" s="4">
        <v>0.5</v>
      </c>
      <c r="G368">
        <v>3.05</v>
      </c>
      <c r="H368">
        <v>1.2</v>
      </c>
      <c r="I368" t="s">
        <v>15</v>
      </c>
      <c r="J368">
        <v>3</v>
      </c>
      <c r="K368">
        <v>1</v>
      </c>
      <c r="L368">
        <v>2</v>
      </c>
      <c r="M368">
        <v>0</v>
      </c>
      <c r="N368">
        <f>_xlfn.IFS(rounded[[#This Row],[social_interaction_level]] = "low", 1,rounded[[#This Row],[social_interaction_level]] = "medium", 2,rounded[[#This Row],[social_interaction_level]] = "high", 3)</f>
        <v>1</v>
      </c>
      <c r="O368">
        <f t="shared" si="5"/>
        <v>6</v>
      </c>
      <c r="P368" t="str" cm="1">
        <f t="array" ref="P368">_xlfn.SWITCH(rounded[[#This Row],[depression_label]], 0, "Not Depressed", 1, "Depressed")</f>
        <v>Not Depressed</v>
      </c>
      <c r="Q368" s="45" t="str" cm="1">
        <f t="array" ref="Q368">_xlfn.SWITCH(rounded[[#This Row],[gender]], "male", "Male", "female", "Female")</f>
        <v>Female</v>
      </c>
    </row>
    <row r="369" spans="1:17" x14ac:dyDescent="0.35">
      <c r="A369">
        <v>16</v>
      </c>
      <c r="B369" t="s">
        <v>13</v>
      </c>
      <c r="C369" s="4">
        <v>5.3</v>
      </c>
      <c r="D369" t="s">
        <v>17</v>
      </c>
      <c r="E369" s="4">
        <v>8.4</v>
      </c>
      <c r="F369" s="4">
        <v>2.2000000000000002</v>
      </c>
      <c r="G369">
        <v>2.81</v>
      </c>
      <c r="H369">
        <v>0.6</v>
      </c>
      <c r="I369" t="s">
        <v>18</v>
      </c>
      <c r="J369">
        <v>2</v>
      </c>
      <c r="K369">
        <v>8</v>
      </c>
      <c r="L369">
        <v>8</v>
      </c>
      <c r="M369">
        <v>0</v>
      </c>
      <c r="N369">
        <f>_xlfn.IFS(rounded[[#This Row],[social_interaction_level]] = "low", 1,rounded[[#This Row],[social_interaction_level]] = "medium", 2,rounded[[#This Row],[social_interaction_level]] = "high", 3)</f>
        <v>3</v>
      </c>
      <c r="O369">
        <f t="shared" si="5"/>
        <v>18</v>
      </c>
      <c r="P369" t="str" cm="1">
        <f t="array" ref="P369">_xlfn.SWITCH(rounded[[#This Row],[depression_label]], 0, "Not Depressed", 1, "Depressed")</f>
        <v>Not Depressed</v>
      </c>
      <c r="Q369" s="45" t="str" cm="1">
        <f t="array" ref="Q369">_xlfn.SWITCH(rounded[[#This Row],[gender]], "male", "Male", "female", "Female")</f>
        <v>Male</v>
      </c>
    </row>
    <row r="370" spans="1:17" x14ac:dyDescent="0.35">
      <c r="A370">
        <v>13</v>
      </c>
      <c r="B370" t="s">
        <v>13</v>
      </c>
      <c r="C370" s="4">
        <v>2.4</v>
      </c>
      <c r="D370" t="s">
        <v>14</v>
      </c>
      <c r="E370" s="4">
        <v>7.1</v>
      </c>
      <c r="F370" s="4">
        <v>0.7</v>
      </c>
      <c r="G370">
        <v>3.64</v>
      </c>
      <c r="H370">
        <v>1.1000000000000001</v>
      </c>
      <c r="I370" t="s">
        <v>18</v>
      </c>
      <c r="J370">
        <v>6</v>
      </c>
      <c r="K370">
        <v>5</v>
      </c>
      <c r="L370">
        <v>5</v>
      </c>
      <c r="M370">
        <v>0</v>
      </c>
      <c r="N370">
        <f>_xlfn.IFS(rounded[[#This Row],[social_interaction_level]] = "low", 1,rounded[[#This Row],[social_interaction_level]] = "medium", 2,rounded[[#This Row],[social_interaction_level]] = "high", 3)</f>
        <v>3</v>
      </c>
      <c r="O370">
        <f t="shared" si="5"/>
        <v>16</v>
      </c>
      <c r="P370" t="str" cm="1">
        <f t="array" ref="P370">_xlfn.SWITCH(rounded[[#This Row],[depression_label]], 0, "Not Depressed", 1, "Depressed")</f>
        <v>Not Depressed</v>
      </c>
      <c r="Q370" s="45" t="str" cm="1">
        <f t="array" ref="Q370">_xlfn.SWITCH(rounded[[#This Row],[gender]], "male", "Male", "female", "Female")</f>
        <v>Male</v>
      </c>
    </row>
    <row r="371" spans="1:17" x14ac:dyDescent="0.35">
      <c r="A371">
        <v>13</v>
      </c>
      <c r="B371" t="s">
        <v>13</v>
      </c>
      <c r="C371" s="4">
        <v>8</v>
      </c>
      <c r="D371" t="s">
        <v>20</v>
      </c>
      <c r="E371" s="4">
        <v>8.9</v>
      </c>
      <c r="F371" s="4">
        <v>2.2000000000000002</v>
      </c>
      <c r="G371">
        <v>3.82</v>
      </c>
      <c r="H371">
        <v>1.2</v>
      </c>
      <c r="I371" t="s">
        <v>15</v>
      </c>
      <c r="J371">
        <v>8</v>
      </c>
      <c r="K371">
        <v>8</v>
      </c>
      <c r="L371">
        <v>4</v>
      </c>
      <c r="M371">
        <v>0</v>
      </c>
      <c r="N371">
        <f>_xlfn.IFS(rounded[[#This Row],[social_interaction_level]] = "low", 1,rounded[[#This Row],[social_interaction_level]] = "medium", 2,rounded[[#This Row],[social_interaction_level]] = "high", 3)</f>
        <v>1</v>
      </c>
      <c r="O371">
        <f t="shared" si="5"/>
        <v>20</v>
      </c>
      <c r="P371" t="str" cm="1">
        <f t="array" ref="P371">_xlfn.SWITCH(rounded[[#This Row],[depression_label]], 0, "Not Depressed", 1, "Depressed")</f>
        <v>Not Depressed</v>
      </c>
      <c r="Q371" s="45" t="str" cm="1">
        <f t="array" ref="Q371">_xlfn.SWITCH(rounded[[#This Row],[gender]], "male", "Male", "female", "Female")</f>
        <v>Male</v>
      </c>
    </row>
    <row r="372" spans="1:17" x14ac:dyDescent="0.35">
      <c r="A372">
        <v>15</v>
      </c>
      <c r="B372" t="s">
        <v>13</v>
      </c>
      <c r="C372" s="4">
        <v>7.3</v>
      </c>
      <c r="D372" t="s">
        <v>20</v>
      </c>
      <c r="E372" s="4">
        <v>4.4000000000000004</v>
      </c>
      <c r="F372" s="4">
        <v>2.2999999999999998</v>
      </c>
      <c r="G372">
        <v>2.76</v>
      </c>
      <c r="H372">
        <v>1.8</v>
      </c>
      <c r="I372" t="s">
        <v>19</v>
      </c>
      <c r="J372">
        <v>4</v>
      </c>
      <c r="K372">
        <v>6</v>
      </c>
      <c r="L372">
        <v>9</v>
      </c>
      <c r="M372">
        <v>0</v>
      </c>
      <c r="N372">
        <f>_xlfn.IFS(rounded[[#This Row],[social_interaction_level]] = "low", 1,rounded[[#This Row],[social_interaction_level]] = "medium", 2,rounded[[#This Row],[social_interaction_level]] = "high", 3)</f>
        <v>2</v>
      </c>
      <c r="O372">
        <f t="shared" si="5"/>
        <v>19</v>
      </c>
      <c r="P372" t="str" cm="1">
        <f t="array" ref="P372">_xlfn.SWITCH(rounded[[#This Row],[depression_label]], 0, "Not Depressed", 1, "Depressed")</f>
        <v>Not Depressed</v>
      </c>
      <c r="Q372" s="45" t="str" cm="1">
        <f t="array" ref="Q372">_xlfn.SWITCH(rounded[[#This Row],[gender]], "male", "Male", "female", "Female")</f>
        <v>Male</v>
      </c>
    </row>
    <row r="373" spans="1:17" x14ac:dyDescent="0.35">
      <c r="A373">
        <v>17</v>
      </c>
      <c r="B373" t="s">
        <v>16</v>
      </c>
      <c r="C373" s="4">
        <v>4.5</v>
      </c>
      <c r="D373" t="s">
        <v>20</v>
      </c>
      <c r="E373" s="4">
        <v>7.3</v>
      </c>
      <c r="F373" s="4">
        <v>0.9</v>
      </c>
      <c r="G373">
        <v>2.34</v>
      </c>
      <c r="H373">
        <v>0.9</v>
      </c>
      <c r="I373" t="s">
        <v>19</v>
      </c>
      <c r="J373">
        <v>7</v>
      </c>
      <c r="K373">
        <v>3</v>
      </c>
      <c r="L373">
        <v>8</v>
      </c>
      <c r="M373">
        <v>0</v>
      </c>
      <c r="N373">
        <f>_xlfn.IFS(rounded[[#This Row],[social_interaction_level]] = "low", 1,rounded[[#This Row],[social_interaction_level]] = "medium", 2,rounded[[#This Row],[social_interaction_level]] = "high", 3)</f>
        <v>2</v>
      </c>
      <c r="O373">
        <f t="shared" si="5"/>
        <v>18</v>
      </c>
      <c r="P373" t="str" cm="1">
        <f t="array" ref="P373">_xlfn.SWITCH(rounded[[#This Row],[depression_label]], 0, "Not Depressed", 1, "Depressed")</f>
        <v>Not Depressed</v>
      </c>
      <c r="Q373" s="45" t="str" cm="1">
        <f t="array" ref="Q373">_xlfn.SWITCH(rounded[[#This Row],[gender]], "male", "Male", "female", "Female")</f>
        <v>Female</v>
      </c>
    </row>
    <row r="374" spans="1:17" x14ac:dyDescent="0.35">
      <c r="A374">
        <v>19</v>
      </c>
      <c r="B374" t="s">
        <v>13</v>
      </c>
      <c r="C374" s="4">
        <v>5</v>
      </c>
      <c r="D374" t="s">
        <v>20</v>
      </c>
      <c r="E374" s="4">
        <v>9</v>
      </c>
      <c r="F374" s="4">
        <v>2.4</v>
      </c>
      <c r="G374">
        <v>2.5299999999999998</v>
      </c>
      <c r="H374">
        <v>0.4</v>
      </c>
      <c r="I374" t="s">
        <v>19</v>
      </c>
      <c r="J374">
        <v>7</v>
      </c>
      <c r="K374">
        <v>2</v>
      </c>
      <c r="L374">
        <v>10</v>
      </c>
      <c r="M374">
        <v>0</v>
      </c>
      <c r="N374">
        <f>_xlfn.IFS(rounded[[#This Row],[social_interaction_level]] = "low", 1,rounded[[#This Row],[social_interaction_level]] = "medium", 2,rounded[[#This Row],[social_interaction_level]] = "high", 3)</f>
        <v>2</v>
      </c>
      <c r="O374">
        <f t="shared" si="5"/>
        <v>19</v>
      </c>
      <c r="P374" t="str" cm="1">
        <f t="array" ref="P374">_xlfn.SWITCH(rounded[[#This Row],[depression_label]], 0, "Not Depressed", 1, "Depressed")</f>
        <v>Not Depressed</v>
      </c>
      <c r="Q374" s="45" t="str" cm="1">
        <f t="array" ref="Q374">_xlfn.SWITCH(rounded[[#This Row],[gender]], "male", "Male", "female", "Female")</f>
        <v>Male</v>
      </c>
    </row>
    <row r="375" spans="1:17" x14ac:dyDescent="0.35">
      <c r="A375">
        <v>16</v>
      </c>
      <c r="B375" t="s">
        <v>16</v>
      </c>
      <c r="C375" s="4">
        <v>5.7</v>
      </c>
      <c r="D375" t="s">
        <v>20</v>
      </c>
      <c r="E375" s="4">
        <v>4.2</v>
      </c>
      <c r="F375" s="4">
        <v>1.4</v>
      </c>
      <c r="G375">
        <v>2.56</v>
      </c>
      <c r="H375">
        <v>0.1</v>
      </c>
      <c r="I375" t="s">
        <v>18</v>
      </c>
      <c r="J375">
        <v>4</v>
      </c>
      <c r="K375">
        <v>3</v>
      </c>
      <c r="L375">
        <v>1</v>
      </c>
      <c r="M375">
        <v>0</v>
      </c>
      <c r="N375">
        <f>_xlfn.IFS(rounded[[#This Row],[social_interaction_level]] = "low", 1,rounded[[#This Row],[social_interaction_level]] = "medium", 2,rounded[[#This Row],[social_interaction_level]] = "high", 3)</f>
        <v>3</v>
      </c>
      <c r="O375">
        <f t="shared" si="5"/>
        <v>8</v>
      </c>
      <c r="P375" t="str" cm="1">
        <f t="array" ref="P375">_xlfn.SWITCH(rounded[[#This Row],[depression_label]], 0, "Not Depressed", 1, "Depressed")</f>
        <v>Not Depressed</v>
      </c>
      <c r="Q375" s="45" t="str" cm="1">
        <f t="array" ref="Q375">_xlfn.SWITCH(rounded[[#This Row],[gender]], "male", "Male", "female", "Female")</f>
        <v>Female</v>
      </c>
    </row>
    <row r="376" spans="1:17" x14ac:dyDescent="0.35">
      <c r="A376">
        <v>18</v>
      </c>
      <c r="B376" t="s">
        <v>16</v>
      </c>
      <c r="C376" s="4">
        <v>2.9</v>
      </c>
      <c r="D376" t="s">
        <v>14</v>
      </c>
      <c r="E376" s="4">
        <v>8.4</v>
      </c>
      <c r="F376" s="4">
        <v>2.6</v>
      </c>
      <c r="G376">
        <v>2.57</v>
      </c>
      <c r="H376">
        <v>1.8</v>
      </c>
      <c r="I376" t="s">
        <v>19</v>
      </c>
      <c r="J376">
        <v>4</v>
      </c>
      <c r="K376">
        <v>1</v>
      </c>
      <c r="L376">
        <v>3</v>
      </c>
      <c r="M376">
        <v>0</v>
      </c>
      <c r="N376">
        <f>_xlfn.IFS(rounded[[#This Row],[social_interaction_level]] = "low", 1,rounded[[#This Row],[social_interaction_level]] = "medium", 2,rounded[[#This Row],[social_interaction_level]] = "high", 3)</f>
        <v>2</v>
      </c>
      <c r="O376">
        <f t="shared" si="5"/>
        <v>8</v>
      </c>
      <c r="P376" t="str" cm="1">
        <f t="array" ref="P376">_xlfn.SWITCH(rounded[[#This Row],[depression_label]], 0, "Not Depressed", 1, "Depressed")</f>
        <v>Not Depressed</v>
      </c>
      <c r="Q376" s="45" t="str" cm="1">
        <f t="array" ref="Q376">_xlfn.SWITCH(rounded[[#This Row],[gender]], "male", "Male", "female", "Female")</f>
        <v>Female</v>
      </c>
    </row>
    <row r="377" spans="1:17" x14ac:dyDescent="0.35">
      <c r="A377">
        <v>13</v>
      </c>
      <c r="B377" t="s">
        <v>13</v>
      </c>
      <c r="C377" s="4">
        <v>7.9</v>
      </c>
      <c r="D377" t="s">
        <v>14</v>
      </c>
      <c r="E377" s="4">
        <v>8.8000000000000007</v>
      </c>
      <c r="F377" s="4">
        <v>2.2999999999999998</v>
      </c>
      <c r="G377">
        <v>3.39</v>
      </c>
      <c r="H377">
        <v>0.5</v>
      </c>
      <c r="I377" t="s">
        <v>15</v>
      </c>
      <c r="J377">
        <v>1</v>
      </c>
      <c r="K377">
        <v>9</v>
      </c>
      <c r="L377">
        <v>3</v>
      </c>
      <c r="M377">
        <v>0</v>
      </c>
      <c r="N377">
        <f>_xlfn.IFS(rounded[[#This Row],[social_interaction_level]] = "low", 1,rounded[[#This Row],[social_interaction_level]] = "medium", 2,rounded[[#This Row],[social_interaction_level]] = "high", 3)</f>
        <v>1</v>
      </c>
      <c r="O377">
        <f t="shared" si="5"/>
        <v>13</v>
      </c>
      <c r="P377" t="str" cm="1">
        <f t="array" ref="P377">_xlfn.SWITCH(rounded[[#This Row],[depression_label]], 0, "Not Depressed", 1, "Depressed")</f>
        <v>Not Depressed</v>
      </c>
      <c r="Q377" s="45" t="str" cm="1">
        <f t="array" ref="Q377">_xlfn.SWITCH(rounded[[#This Row],[gender]], "male", "Male", "female", "Female")</f>
        <v>Male</v>
      </c>
    </row>
    <row r="378" spans="1:17" x14ac:dyDescent="0.35">
      <c r="A378">
        <v>19</v>
      </c>
      <c r="B378" t="s">
        <v>13</v>
      </c>
      <c r="C378" s="4">
        <v>4.8</v>
      </c>
      <c r="D378" t="s">
        <v>17</v>
      </c>
      <c r="E378" s="4">
        <v>5</v>
      </c>
      <c r="F378" s="4">
        <v>2.6</v>
      </c>
      <c r="G378">
        <v>3.25</v>
      </c>
      <c r="H378">
        <v>1.6</v>
      </c>
      <c r="I378" t="s">
        <v>15</v>
      </c>
      <c r="J378">
        <v>4</v>
      </c>
      <c r="K378">
        <v>6</v>
      </c>
      <c r="L378">
        <v>1</v>
      </c>
      <c r="M378">
        <v>0</v>
      </c>
      <c r="N378">
        <f>_xlfn.IFS(rounded[[#This Row],[social_interaction_level]] = "low", 1,rounded[[#This Row],[social_interaction_level]] = "medium", 2,rounded[[#This Row],[social_interaction_level]] = "high", 3)</f>
        <v>1</v>
      </c>
      <c r="O378">
        <f t="shared" si="5"/>
        <v>11</v>
      </c>
      <c r="P378" t="str" cm="1">
        <f t="array" ref="P378">_xlfn.SWITCH(rounded[[#This Row],[depression_label]], 0, "Not Depressed", 1, "Depressed")</f>
        <v>Not Depressed</v>
      </c>
      <c r="Q378" s="45" t="str" cm="1">
        <f t="array" ref="Q378">_xlfn.SWITCH(rounded[[#This Row],[gender]], "male", "Male", "female", "Female")</f>
        <v>Male</v>
      </c>
    </row>
    <row r="379" spans="1:17" x14ac:dyDescent="0.35">
      <c r="A379">
        <v>13</v>
      </c>
      <c r="B379" t="s">
        <v>16</v>
      </c>
      <c r="C379" s="4">
        <v>3</v>
      </c>
      <c r="D379" t="s">
        <v>20</v>
      </c>
      <c r="E379" s="4">
        <v>6</v>
      </c>
      <c r="F379" s="4">
        <v>1</v>
      </c>
      <c r="G379">
        <v>2.63</v>
      </c>
      <c r="H379">
        <v>0.1</v>
      </c>
      <c r="I379" t="s">
        <v>15</v>
      </c>
      <c r="J379">
        <v>5</v>
      </c>
      <c r="K379">
        <v>10</v>
      </c>
      <c r="L379">
        <v>9</v>
      </c>
      <c r="M379">
        <v>0</v>
      </c>
      <c r="N379">
        <f>_xlfn.IFS(rounded[[#This Row],[social_interaction_level]] = "low", 1,rounded[[#This Row],[social_interaction_level]] = "medium", 2,rounded[[#This Row],[social_interaction_level]] = "high", 3)</f>
        <v>1</v>
      </c>
      <c r="O379">
        <f t="shared" si="5"/>
        <v>24</v>
      </c>
      <c r="P379" t="str" cm="1">
        <f t="array" ref="P379">_xlfn.SWITCH(rounded[[#This Row],[depression_label]], 0, "Not Depressed", 1, "Depressed")</f>
        <v>Not Depressed</v>
      </c>
      <c r="Q379" s="45" t="str" cm="1">
        <f t="array" ref="Q379">_xlfn.SWITCH(rounded[[#This Row],[gender]], "male", "Male", "female", "Female")</f>
        <v>Female</v>
      </c>
    </row>
    <row r="380" spans="1:17" x14ac:dyDescent="0.35">
      <c r="A380">
        <v>14</v>
      </c>
      <c r="B380" t="s">
        <v>16</v>
      </c>
      <c r="C380" s="4">
        <v>4.0999999999999996</v>
      </c>
      <c r="D380" t="s">
        <v>20</v>
      </c>
      <c r="E380" s="4">
        <v>6.4</v>
      </c>
      <c r="F380" s="4">
        <v>2</v>
      </c>
      <c r="G380">
        <v>3.69</v>
      </c>
      <c r="H380">
        <v>1.5</v>
      </c>
      <c r="I380" t="s">
        <v>19</v>
      </c>
      <c r="J380">
        <v>7</v>
      </c>
      <c r="K380">
        <v>7</v>
      </c>
      <c r="L380">
        <v>9</v>
      </c>
      <c r="M380">
        <v>0</v>
      </c>
      <c r="N380">
        <f>_xlfn.IFS(rounded[[#This Row],[social_interaction_level]] = "low", 1,rounded[[#This Row],[social_interaction_level]] = "medium", 2,rounded[[#This Row],[social_interaction_level]] = "high", 3)</f>
        <v>2</v>
      </c>
      <c r="O380">
        <f t="shared" si="5"/>
        <v>23</v>
      </c>
      <c r="P380" t="str" cm="1">
        <f t="array" ref="P380">_xlfn.SWITCH(rounded[[#This Row],[depression_label]], 0, "Not Depressed", 1, "Depressed")</f>
        <v>Not Depressed</v>
      </c>
      <c r="Q380" s="45" t="str" cm="1">
        <f t="array" ref="Q380">_xlfn.SWITCH(rounded[[#This Row],[gender]], "male", "Male", "female", "Female")</f>
        <v>Female</v>
      </c>
    </row>
    <row r="381" spans="1:17" x14ac:dyDescent="0.35">
      <c r="A381">
        <v>19</v>
      </c>
      <c r="B381" t="s">
        <v>13</v>
      </c>
      <c r="C381" s="4">
        <v>6.9</v>
      </c>
      <c r="D381" t="s">
        <v>14</v>
      </c>
      <c r="E381" s="4">
        <v>5</v>
      </c>
      <c r="F381" s="4">
        <v>1.2</v>
      </c>
      <c r="G381">
        <v>2.56</v>
      </c>
      <c r="H381">
        <v>1.6</v>
      </c>
      <c r="I381" t="s">
        <v>18</v>
      </c>
      <c r="J381">
        <v>3</v>
      </c>
      <c r="K381">
        <v>10</v>
      </c>
      <c r="L381">
        <v>8</v>
      </c>
      <c r="M381">
        <v>0</v>
      </c>
      <c r="N381">
        <f>_xlfn.IFS(rounded[[#This Row],[social_interaction_level]] = "low", 1,rounded[[#This Row],[social_interaction_level]] = "medium", 2,rounded[[#This Row],[social_interaction_level]] = "high", 3)</f>
        <v>3</v>
      </c>
      <c r="O381">
        <f t="shared" si="5"/>
        <v>21</v>
      </c>
      <c r="P381" t="str" cm="1">
        <f t="array" ref="P381">_xlfn.SWITCH(rounded[[#This Row],[depression_label]], 0, "Not Depressed", 1, "Depressed")</f>
        <v>Not Depressed</v>
      </c>
      <c r="Q381" s="45" t="str" cm="1">
        <f t="array" ref="Q381">_xlfn.SWITCH(rounded[[#This Row],[gender]], "male", "Male", "female", "Female")</f>
        <v>Male</v>
      </c>
    </row>
    <row r="382" spans="1:17" x14ac:dyDescent="0.35">
      <c r="A382">
        <v>17</v>
      </c>
      <c r="B382" t="s">
        <v>16</v>
      </c>
      <c r="C382" s="4">
        <v>3.2</v>
      </c>
      <c r="D382" t="s">
        <v>14</v>
      </c>
      <c r="E382" s="4">
        <v>6.2</v>
      </c>
      <c r="F382" s="4">
        <v>2.2000000000000002</v>
      </c>
      <c r="G382">
        <v>2.96</v>
      </c>
      <c r="H382">
        <v>1.6</v>
      </c>
      <c r="I382" t="s">
        <v>15</v>
      </c>
      <c r="J382">
        <v>8</v>
      </c>
      <c r="K382">
        <v>10</v>
      </c>
      <c r="L382">
        <v>9</v>
      </c>
      <c r="M382">
        <v>0</v>
      </c>
      <c r="N382">
        <f>_xlfn.IFS(rounded[[#This Row],[social_interaction_level]] = "low", 1,rounded[[#This Row],[social_interaction_level]] = "medium", 2,rounded[[#This Row],[social_interaction_level]] = "high", 3)</f>
        <v>1</v>
      </c>
      <c r="O382">
        <f t="shared" si="5"/>
        <v>27</v>
      </c>
      <c r="P382" t="str" cm="1">
        <f t="array" ref="P382">_xlfn.SWITCH(rounded[[#This Row],[depression_label]], 0, "Not Depressed", 1, "Depressed")</f>
        <v>Not Depressed</v>
      </c>
      <c r="Q382" s="45" t="str" cm="1">
        <f t="array" ref="Q382">_xlfn.SWITCH(rounded[[#This Row],[gender]], "male", "Male", "female", "Female")</f>
        <v>Female</v>
      </c>
    </row>
    <row r="383" spans="1:17" x14ac:dyDescent="0.35">
      <c r="A383">
        <v>18</v>
      </c>
      <c r="B383" t="s">
        <v>16</v>
      </c>
      <c r="C383" s="4">
        <v>1.3</v>
      </c>
      <c r="D383" t="s">
        <v>20</v>
      </c>
      <c r="E383" s="4">
        <v>4.9000000000000004</v>
      </c>
      <c r="F383" s="4">
        <v>0.9</v>
      </c>
      <c r="G383">
        <v>3.86</v>
      </c>
      <c r="H383">
        <v>0</v>
      </c>
      <c r="I383" t="s">
        <v>19</v>
      </c>
      <c r="J383">
        <v>4</v>
      </c>
      <c r="K383">
        <v>9</v>
      </c>
      <c r="L383">
        <v>8</v>
      </c>
      <c r="M383">
        <v>0</v>
      </c>
      <c r="N383">
        <f>_xlfn.IFS(rounded[[#This Row],[social_interaction_level]] = "low", 1,rounded[[#This Row],[social_interaction_level]] = "medium", 2,rounded[[#This Row],[social_interaction_level]] = "high", 3)</f>
        <v>2</v>
      </c>
      <c r="O383">
        <f t="shared" si="5"/>
        <v>21</v>
      </c>
      <c r="P383" t="str" cm="1">
        <f t="array" ref="P383">_xlfn.SWITCH(rounded[[#This Row],[depression_label]], 0, "Not Depressed", 1, "Depressed")</f>
        <v>Not Depressed</v>
      </c>
      <c r="Q383" s="45" t="str" cm="1">
        <f t="array" ref="Q383">_xlfn.SWITCH(rounded[[#This Row],[gender]], "male", "Male", "female", "Female")</f>
        <v>Female</v>
      </c>
    </row>
    <row r="384" spans="1:17" x14ac:dyDescent="0.35">
      <c r="A384">
        <v>15</v>
      </c>
      <c r="B384" t="s">
        <v>16</v>
      </c>
      <c r="C384" s="4">
        <v>4.2</v>
      </c>
      <c r="D384" t="s">
        <v>17</v>
      </c>
      <c r="E384" s="4">
        <v>6.8</v>
      </c>
      <c r="F384" s="4">
        <v>1.1000000000000001</v>
      </c>
      <c r="G384">
        <v>3.37</v>
      </c>
      <c r="H384">
        <v>0.7</v>
      </c>
      <c r="I384" t="s">
        <v>18</v>
      </c>
      <c r="J384">
        <v>3</v>
      </c>
      <c r="K384">
        <v>6</v>
      </c>
      <c r="L384">
        <v>8</v>
      </c>
      <c r="M384">
        <v>0</v>
      </c>
      <c r="N384">
        <f>_xlfn.IFS(rounded[[#This Row],[social_interaction_level]] = "low", 1,rounded[[#This Row],[social_interaction_level]] = "medium", 2,rounded[[#This Row],[social_interaction_level]] = "high", 3)</f>
        <v>3</v>
      </c>
      <c r="O384">
        <f t="shared" si="5"/>
        <v>17</v>
      </c>
      <c r="P384" t="str" cm="1">
        <f t="array" ref="P384">_xlfn.SWITCH(rounded[[#This Row],[depression_label]], 0, "Not Depressed", 1, "Depressed")</f>
        <v>Not Depressed</v>
      </c>
      <c r="Q384" s="45" t="str" cm="1">
        <f t="array" ref="Q384">_xlfn.SWITCH(rounded[[#This Row],[gender]], "male", "Male", "female", "Female")</f>
        <v>Female</v>
      </c>
    </row>
    <row r="385" spans="1:17" x14ac:dyDescent="0.35">
      <c r="A385">
        <v>19</v>
      </c>
      <c r="B385" t="s">
        <v>13</v>
      </c>
      <c r="C385" s="4">
        <v>6.6</v>
      </c>
      <c r="D385" t="s">
        <v>20</v>
      </c>
      <c r="E385" s="4">
        <v>6</v>
      </c>
      <c r="F385" s="4">
        <v>2.1</v>
      </c>
      <c r="G385">
        <v>2.84</v>
      </c>
      <c r="H385">
        <v>1.5</v>
      </c>
      <c r="I385" t="s">
        <v>15</v>
      </c>
      <c r="J385">
        <v>9</v>
      </c>
      <c r="K385">
        <v>4</v>
      </c>
      <c r="L385">
        <v>5</v>
      </c>
      <c r="M385">
        <v>0</v>
      </c>
      <c r="N385">
        <f>_xlfn.IFS(rounded[[#This Row],[social_interaction_level]] = "low", 1,rounded[[#This Row],[social_interaction_level]] = "medium", 2,rounded[[#This Row],[social_interaction_level]] = "high", 3)</f>
        <v>1</v>
      </c>
      <c r="O385">
        <f t="shared" si="5"/>
        <v>18</v>
      </c>
      <c r="P385" t="str" cm="1">
        <f t="array" ref="P385">_xlfn.SWITCH(rounded[[#This Row],[depression_label]], 0, "Not Depressed", 1, "Depressed")</f>
        <v>Not Depressed</v>
      </c>
      <c r="Q385" s="45" t="str" cm="1">
        <f t="array" ref="Q385">_xlfn.SWITCH(rounded[[#This Row],[gender]], "male", "Male", "female", "Female")</f>
        <v>Male</v>
      </c>
    </row>
    <row r="386" spans="1:17" x14ac:dyDescent="0.35">
      <c r="A386">
        <v>13</v>
      </c>
      <c r="B386" t="s">
        <v>13</v>
      </c>
      <c r="C386" s="4">
        <v>7.5</v>
      </c>
      <c r="D386" t="s">
        <v>17</v>
      </c>
      <c r="E386" s="4">
        <v>4.8</v>
      </c>
      <c r="F386" s="4">
        <v>0.7</v>
      </c>
      <c r="G386">
        <v>2.91</v>
      </c>
      <c r="H386">
        <v>2</v>
      </c>
      <c r="I386" t="s">
        <v>18</v>
      </c>
      <c r="J386">
        <v>10</v>
      </c>
      <c r="K386">
        <v>9</v>
      </c>
      <c r="L386">
        <v>1</v>
      </c>
      <c r="M386">
        <v>1</v>
      </c>
      <c r="N386">
        <f>_xlfn.IFS(rounded[[#This Row],[social_interaction_level]] = "low", 1,rounded[[#This Row],[social_interaction_level]] = "medium", 2,rounded[[#This Row],[social_interaction_level]] = "high", 3)</f>
        <v>3</v>
      </c>
      <c r="O386">
        <f t="shared" ref="O386:O449" si="6">SUM(J386+K386+L386)</f>
        <v>20</v>
      </c>
      <c r="P386" t="str" cm="1">
        <f t="array" ref="P386">_xlfn.SWITCH(rounded[[#This Row],[depression_label]], 0, "Not Depressed", 1, "Depressed")</f>
        <v>Depressed</v>
      </c>
      <c r="Q386" s="45" t="str" cm="1">
        <f t="array" ref="Q386">_xlfn.SWITCH(rounded[[#This Row],[gender]], "male", "Male", "female", "Female")</f>
        <v>Male</v>
      </c>
    </row>
    <row r="387" spans="1:17" x14ac:dyDescent="0.35">
      <c r="A387">
        <v>15</v>
      </c>
      <c r="B387" t="s">
        <v>13</v>
      </c>
      <c r="C387" s="4">
        <v>7</v>
      </c>
      <c r="D387" t="s">
        <v>20</v>
      </c>
      <c r="E387" s="4">
        <v>8.6999999999999993</v>
      </c>
      <c r="F387" s="4">
        <v>3</v>
      </c>
      <c r="G387">
        <v>2.84</v>
      </c>
      <c r="H387">
        <v>1.4</v>
      </c>
      <c r="I387" t="s">
        <v>19</v>
      </c>
      <c r="J387">
        <v>5</v>
      </c>
      <c r="K387">
        <v>3</v>
      </c>
      <c r="L387">
        <v>2</v>
      </c>
      <c r="M387">
        <v>0</v>
      </c>
      <c r="N387">
        <f>_xlfn.IFS(rounded[[#This Row],[social_interaction_level]] = "low", 1,rounded[[#This Row],[social_interaction_level]] = "medium", 2,rounded[[#This Row],[social_interaction_level]] = "high", 3)</f>
        <v>2</v>
      </c>
      <c r="O387">
        <f t="shared" si="6"/>
        <v>10</v>
      </c>
      <c r="P387" t="str" cm="1">
        <f t="array" ref="P387">_xlfn.SWITCH(rounded[[#This Row],[depression_label]], 0, "Not Depressed", 1, "Depressed")</f>
        <v>Not Depressed</v>
      </c>
      <c r="Q387" s="45" t="str" cm="1">
        <f t="array" ref="Q387">_xlfn.SWITCH(rounded[[#This Row],[gender]], "male", "Male", "female", "Female")</f>
        <v>Male</v>
      </c>
    </row>
    <row r="388" spans="1:17" x14ac:dyDescent="0.35">
      <c r="A388">
        <v>15</v>
      </c>
      <c r="B388" t="s">
        <v>16</v>
      </c>
      <c r="C388" s="4">
        <v>6.7</v>
      </c>
      <c r="D388" t="s">
        <v>20</v>
      </c>
      <c r="E388" s="4">
        <v>5</v>
      </c>
      <c r="F388" s="4">
        <v>0.6</v>
      </c>
      <c r="G388">
        <v>2.75</v>
      </c>
      <c r="H388">
        <v>1.5</v>
      </c>
      <c r="I388" t="s">
        <v>19</v>
      </c>
      <c r="J388">
        <v>7</v>
      </c>
      <c r="K388">
        <v>4</v>
      </c>
      <c r="L388">
        <v>8</v>
      </c>
      <c r="M388">
        <v>0</v>
      </c>
      <c r="N388">
        <f>_xlfn.IFS(rounded[[#This Row],[social_interaction_level]] = "low", 1,rounded[[#This Row],[social_interaction_level]] = "medium", 2,rounded[[#This Row],[social_interaction_level]] = "high", 3)</f>
        <v>2</v>
      </c>
      <c r="O388">
        <f t="shared" si="6"/>
        <v>19</v>
      </c>
      <c r="P388" t="str" cm="1">
        <f t="array" ref="P388">_xlfn.SWITCH(rounded[[#This Row],[depression_label]], 0, "Not Depressed", 1, "Depressed")</f>
        <v>Not Depressed</v>
      </c>
      <c r="Q388" s="45" t="str" cm="1">
        <f t="array" ref="Q388">_xlfn.SWITCH(rounded[[#This Row],[gender]], "male", "Male", "female", "Female")</f>
        <v>Female</v>
      </c>
    </row>
    <row r="389" spans="1:17" x14ac:dyDescent="0.35">
      <c r="A389">
        <v>15</v>
      </c>
      <c r="B389" t="s">
        <v>16</v>
      </c>
      <c r="C389" s="4">
        <v>2.2999999999999998</v>
      </c>
      <c r="D389" t="s">
        <v>14</v>
      </c>
      <c r="E389" s="4">
        <v>5.6</v>
      </c>
      <c r="F389" s="4">
        <v>2.9</v>
      </c>
      <c r="G389">
        <v>2.72</v>
      </c>
      <c r="H389">
        <v>1</v>
      </c>
      <c r="I389" t="s">
        <v>18</v>
      </c>
      <c r="J389">
        <v>6</v>
      </c>
      <c r="K389">
        <v>6</v>
      </c>
      <c r="L389">
        <v>2</v>
      </c>
      <c r="M389">
        <v>0</v>
      </c>
      <c r="N389">
        <f>_xlfn.IFS(rounded[[#This Row],[social_interaction_level]] = "low", 1,rounded[[#This Row],[social_interaction_level]] = "medium", 2,rounded[[#This Row],[social_interaction_level]] = "high", 3)</f>
        <v>3</v>
      </c>
      <c r="O389">
        <f t="shared" si="6"/>
        <v>14</v>
      </c>
      <c r="P389" t="str" cm="1">
        <f t="array" ref="P389">_xlfn.SWITCH(rounded[[#This Row],[depression_label]], 0, "Not Depressed", 1, "Depressed")</f>
        <v>Not Depressed</v>
      </c>
      <c r="Q389" s="45" t="str" cm="1">
        <f t="array" ref="Q389">_xlfn.SWITCH(rounded[[#This Row],[gender]], "male", "Male", "female", "Female")</f>
        <v>Female</v>
      </c>
    </row>
    <row r="390" spans="1:17" x14ac:dyDescent="0.35">
      <c r="A390">
        <v>14</v>
      </c>
      <c r="B390" t="s">
        <v>13</v>
      </c>
      <c r="C390" s="4">
        <v>5.3</v>
      </c>
      <c r="D390" t="s">
        <v>20</v>
      </c>
      <c r="E390" s="4">
        <v>9</v>
      </c>
      <c r="F390" s="4">
        <v>2.8</v>
      </c>
      <c r="G390">
        <v>3.1</v>
      </c>
      <c r="H390">
        <v>1.6</v>
      </c>
      <c r="I390" t="s">
        <v>18</v>
      </c>
      <c r="J390">
        <v>10</v>
      </c>
      <c r="K390">
        <v>7</v>
      </c>
      <c r="L390">
        <v>6</v>
      </c>
      <c r="M390">
        <v>0</v>
      </c>
      <c r="N390">
        <f>_xlfn.IFS(rounded[[#This Row],[social_interaction_level]] = "low", 1,rounded[[#This Row],[social_interaction_level]] = "medium", 2,rounded[[#This Row],[social_interaction_level]] = "high", 3)</f>
        <v>3</v>
      </c>
      <c r="O390">
        <f t="shared" si="6"/>
        <v>23</v>
      </c>
      <c r="P390" t="str" cm="1">
        <f t="array" ref="P390">_xlfn.SWITCH(rounded[[#This Row],[depression_label]], 0, "Not Depressed", 1, "Depressed")</f>
        <v>Not Depressed</v>
      </c>
      <c r="Q390" s="45" t="str" cm="1">
        <f t="array" ref="Q390">_xlfn.SWITCH(rounded[[#This Row],[gender]], "male", "Male", "female", "Female")</f>
        <v>Male</v>
      </c>
    </row>
    <row r="391" spans="1:17" x14ac:dyDescent="0.35">
      <c r="A391">
        <v>13</v>
      </c>
      <c r="B391" t="s">
        <v>16</v>
      </c>
      <c r="C391" s="4">
        <v>2.7</v>
      </c>
      <c r="D391" t="s">
        <v>17</v>
      </c>
      <c r="E391" s="4">
        <v>6.5</v>
      </c>
      <c r="F391" s="4">
        <v>1.5</v>
      </c>
      <c r="G391">
        <v>2.58</v>
      </c>
      <c r="H391">
        <v>0.4</v>
      </c>
      <c r="I391" t="s">
        <v>18</v>
      </c>
      <c r="J391">
        <v>1</v>
      </c>
      <c r="K391">
        <v>1</v>
      </c>
      <c r="L391">
        <v>6</v>
      </c>
      <c r="M391">
        <v>0</v>
      </c>
      <c r="N391">
        <f>_xlfn.IFS(rounded[[#This Row],[social_interaction_level]] = "low", 1,rounded[[#This Row],[social_interaction_level]] = "medium", 2,rounded[[#This Row],[social_interaction_level]] = "high", 3)</f>
        <v>3</v>
      </c>
      <c r="O391">
        <f t="shared" si="6"/>
        <v>8</v>
      </c>
      <c r="P391" t="str" cm="1">
        <f t="array" ref="P391">_xlfn.SWITCH(rounded[[#This Row],[depression_label]], 0, "Not Depressed", 1, "Depressed")</f>
        <v>Not Depressed</v>
      </c>
      <c r="Q391" s="45" t="str" cm="1">
        <f t="array" ref="Q391">_xlfn.SWITCH(rounded[[#This Row],[gender]], "male", "Male", "female", "Female")</f>
        <v>Female</v>
      </c>
    </row>
    <row r="392" spans="1:17" x14ac:dyDescent="0.35">
      <c r="A392">
        <v>13</v>
      </c>
      <c r="B392" t="s">
        <v>13</v>
      </c>
      <c r="C392" s="4">
        <v>5.4</v>
      </c>
      <c r="D392" t="s">
        <v>14</v>
      </c>
      <c r="E392" s="4">
        <v>7.8</v>
      </c>
      <c r="F392" s="4">
        <v>1.8</v>
      </c>
      <c r="G392">
        <v>3.46</v>
      </c>
      <c r="H392">
        <v>1</v>
      </c>
      <c r="I392" t="s">
        <v>18</v>
      </c>
      <c r="J392">
        <v>4</v>
      </c>
      <c r="K392">
        <v>7</v>
      </c>
      <c r="L392">
        <v>7</v>
      </c>
      <c r="M392">
        <v>0</v>
      </c>
      <c r="N392">
        <f>_xlfn.IFS(rounded[[#This Row],[social_interaction_level]] = "low", 1,rounded[[#This Row],[social_interaction_level]] = "medium", 2,rounded[[#This Row],[social_interaction_level]] = "high", 3)</f>
        <v>3</v>
      </c>
      <c r="O392">
        <f t="shared" si="6"/>
        <v>18</v>
      </c>
      <c r="P392" t="str" cm="1">
        <f t="array" ref="P392">_xlfn.SWITCH(rounded[[#This Row],[depression_label]], 0, "Not Depressed", 1, "Depressed")</f>
        <v>Not Depressed</v>
      </c>
      <c r="Q392" s="45" t="str" cm="1">
        <f t="array" ref="Q392">_xlfn.SWITCH(rounded[[#This Row],[gender]], "male", "Male", "female", "Female")</f>
        <v>Male</v>
      </c>
    </row>
    <row r="393" spans="1:17" x14ac:dyDescent="0.35">
      <c r="A393">
        <v>17</v>
      </c>
      <c r="B393" t="s">
        <v>13</v>
      </c>
      <c r="C393" s="4">
        <v>7.2</v>
      </c>
      <c r="D393" t="s">
        <v>14</v>
      </c>
      <c r="E393" s="4">
        <v>8</v>
      </c>
      <c r="F393" s="4">
        <v>1.9</v>
      </c>
      <c r="G393">
        <v>2.66</v>
      </c>
      <c r="H393">
        <v>1.4</v>
      </c>
      <c r="I393" t="s">
        <v>19</v>
      </c>
      <c r="J393">
        <v>5</v>
      </c>
      <c r="K393">
        <v>8</v>
      </c>
      <c r="L393">
        <v>6</v>
      </c>
      <c r="M393">
        <v>0</v>
      </c>
      <c r="N393">
        <f>_xlfn.IFS(rounded[[#This Row],[social_interaction_level]] = "low", 1,rounded[[#This Row],[social_interaction_level]] = "medium", 2,rounded[[#This Row],[social_interaction_level]] = "high", 3)</f>
        <v>2</v>
      </c>
      <c r="O393">
        <f t="shared" si="6"/>
        <v>19</v>
      </c>
      <c r="P393" t="str" cm="1">
        <f t="array" ref="P393">_xlfn.SWITCH(rounded[[#This Row],[depression_label]], 0, "Not Depressed", 1, "Depressed")</f>
        <v>Not Depressed</v>
      </c>
      <c r="Q393" s="45" t="str" cm="1">
        <f t="array" ref="Q393">_xlfn.SWITCH(rounded[[#This Row],[gender]], "male", "Male", "female", "Female")</f>
        <v>Male</v>
      </c>
    </row>
    <row r="394" spans="1:17" x14ac:dyDescent="0.35">
      <c r="A394">
        <v>19</v>
      </c>
      <c r="B394" t="s">
        <v>13</v>
      </c>
      <c r="C394" s="4">
        <v>1.5</v>
      </c>
      <c r="D394" t="s">
        <v>17</v>
      </c>
      <c r="E394" s="4">
        <v>6.8</v>
      </c>
      <c r="F394" s="4">
        <v>2.5</v>
      </c>
      <c r="G394">
        <v>2.13</v>
      </c>
      <c r="H394">
        <v>0.2</v>
      </c>
      <c r="I394" t="s">
        <v>19</v>
      </c>
      <c r="J394">
        <v>9</v>
      </c>
      <c r="K394">
        <v>8</v>
      </c>
      <c r="L394">
        <v>10</v>
      </c>
      <c r="M394">
        <v>0</v>
      </c>
      <c r="N394">
        <f>_xlfn.IFS(rounded[[#This Row],[social_interaction_level]] = "low", 1,rounded[[#This Row],[social_interaction_level]] = "medium", 2,rounded[[#This Row],[social_interaction_level]] = "high", 3)</f>
        <v>2</v>
      </c>
      <c r="O394">
        <f t="shared" si="6"/>
        <v>27</v>
      </c>
      <c r="P394" t="str" cm="1">
        <f t="array" ref="P394">_xlfn.SWITCH(rounded[[#This Row],[depression_label]], 0, "Not Depressed", 1, "Depressed")</f>
        <v>Not Depressed</v>
      </c>
      <c r="Q394" s="45" t="str" cm="1">
        <f t="array" ref="Q394">_xlfn.SWITCH(rounded[[#This Row],[gender]], "male", "Male", "female", "Female")</f>
        <v>Male</v>
      </c>
    </row>
    <row r="395" spans="1:17" x14ac:dyDescent="0.35">
      <c r="A395">
        <v>13</v>
      </c>
      <c r="B395" t="s">
        <v>13</v>
      </c>
      <c r="C395" s="4">
        <v>4</v>
      </c>
      <c r="D395" t="s">
        <v>20</v>
      </c>
      <c r="E395" s="4">
        <v>4.2</v>
      </c>
      <c r="F395" s="4">
        <v>0.5</v>
      </c>
      <c r="G395">
        <v>2.46</v>
      </c>
      <c r="H395">
        <v>0.6</v>
      </c>
      <c r="I395" t="s">
        <v>15</v>
      </c>
      <c r="J395">
        <v>2</v>
      </c>
      <c r="K395">
        <v>9</v>
      </c>
      <c r="L395">
        <v>9</v>
      </c>
      <c r="M395">
        <v>0</v>
      </c>
      <c r="N395">
        <f>_xlfn.IFS(rounded[[#This Row],[social_interaction_level]] = "low", 1,rounded[[#This Row],[social_interaction_level]] = "medium", 2,rounded[[#This Row],[social_interaction_level]] = "high", 3)</f>
        <v>1</v>
      </c>
      <c r="O395">
        <f t="shared" si="6"/>
        <v>20</v>
      </c>
      <c r="P395" t="str" cm="1">
        <f t="array" ref="P395">_xlfn.SWITCH(rounded[[#This Row],[depression_label]], 0, "Not Depressed", 1, "Depressed")</f>
        <v>Not Depressed</v>
      </c>
      <c r="Q395" s="45" t="str" cm="1">
        <f t="array" ref="Q395">_xlfn.SWITCH(rounded[[#This Row],[gender]], "male", "Male", "female", "Female")</f>
        <v>Male</v>
      </c>
    </row>
    <row r="396" spans="1:17" x14ac:dyDescent="0.35">
      <c r="A396">
        <v>15</v>
      </c>
      <c r="B396" t="s">
        <v>16</v>
      </c>
      <c r="C396" s="4">
        <v>4.2</v>
      </c>
      <c r="D396" t="s">
        <v>20</v>
      </c>
      <c r="E396" s="4">
        <v>7.1</v>
      </c>
      <c r="F396" s="4">
        <v>2.1</v>
      </c>
      <c r="G396">
        <v>2.21</v>
      </c>
      <c r="H396">
        <v>1.8</v>
      </c>
      <c r="I396" t="s">
        <v>19</v>
      </c>
      <c r="J396">
        <v>4</v>
      </c>
      <c r="K396">
        <v>1</v>
      </c>
      <c r="L396">
        <v>3</v>
      </c>
      <c r="M396">
        <v>0</v>
      </c>
      <c r="N396">
        <f>_xlfn.IFS(rounded[[#This Row],[social_interaction_level]] = "low", 1,rounded[[#This Row],[social_interaction_level]] = "medium", 2,rounded[[#This Row],[social_interaction_level]] = "high", 3)</f>
        <v>2</v>
      </c>
      <c r="O396">
        <f t="shared" si="6"/>
        <v>8</v>
      </c>
      <c r="P396" t="str" cm="1">
        <f t="array" ref="P396">_xlfn.SWITCH(rounded[[#This Row],[depression_label]], 0, "Not Depressed", 1, "Depressed")</f>
        <v>Not Depressed</v>
      </c>
      <c r="Q396" s="45" t="str" cm="1">
        <f t="array" ref="Q396">_xlfn.SWITCH(rounded[[#This Row],[gender]], "male", "Male", "female", "Female")</f>
        <v>Female</v>
      </c>
    </row>
    <row r="397" spans="1:17" x14ac:dyDescent="0.35">
      <c r="A397">
        <v>19</v>
      </c>
      <c r="B397" t="s">
        <v>13</v>
      </c>
      <c r="C397" s="4">
        <v>1.8</v>
      </c>
      <c r="D397" t="s">
        <v>17</v>
      </c>
      <c r="E397" s="4">
        <v>7.7</v>
      </c>
      <c r="F397" s="4">
        <v>2.2000000000000002</v>
      </c>
      <c r="G397">
        <v>3.77</v>
      </c>
      <c r="H397">
        <v>0.3</v>
      </c>
      <c r="I397" t="s">
        <v>19</v>
      </c>
      <c r="J397">
        <v>4</v>
      </c>
      <c r="K397">
        <v>6</v>
      </c>
      <c r="L397">
        <v>7</v>
      </c>
      <c r="M397">
        <v>0</v>
      </c>
      <c r="N397">
        <f>_xlfn.IFS(rounded[[#This Row],[social_interaction_level]] = "low", 1,rounded[[#This Row],[social_interaction_level]] = "medium", 2,rounded[[#This Row],[social_interaction_level]] = "high", 3)</f>
        <v>2</v>
      </c>
      <c r="O397">
        <f t="shared" si="6"/>
        <v>17</v>
      </c>
      <c r="P397" t="str" cm="1">
        <f t="array" ref="P397">_xlfn.SWITCH(rounded[[#This Row],[depression_label]], 0, "Not Depressed", 1, "Depressed")</f>
        <v>Not Depressed</v>
      </c>
      <c r="Q397" s="45" t="str" cm="1">
        <f t="array" ref="Q397">_xlfn.SWITCH(rounded[[#This Row],[gender]], "male", "Male", "female", "Female")</f>
        <v>Male</v>
      </c>
    </row>
    <row r="398" spans="1:17" x14ac:dyDescent="0.35">
      <c r="A398">
        <v>17</v>
      </c>
      <c r="B398" t="s">
        <v>16</v>
      </c>
      <c r="C398" s="4">
        <v>3.3</v>
      </c>
      <c r="D398" t="s">
        <v>14</v>
      </c>
      <c r="E398" s="4">
        <v>8.6</v>
      </c>
      <c r="F398" s="4">
        <v>1.1000000000000001</v>
      </c>
      <c r="G398">
        <v>2.62</v>
      </c>
      <c r="H398">
        <v>0.4</v>
      </c>
      <c r="I398" t="s">
        <v>15</v>
      </c>
      <c r="J398">
        <v>4</v>
      </c>
      <c r="K398">
        <v>7</v>
      </c>
      <c r="L398">
        <v>9</v>
      </c>
      <c r="M398">
        <v>0</v>
      </c>
      <c r="N398">
        <f>_xlfn.IFS(rounded[[#This Row],[social_interaction_level]] = "low", 1,rounded[[#This Row],[social_interaction_level]] = "medium", 2,rounded[[#This Row],[social_interaction_level]] = "high", 3)</f>
        <v>1</v>
      </c>
      <c r="O398">
        <f t="shared" si="6"/>
        <v>20</v>
      </c>
      <c r="P398" t="str" cm="1">
        <f t="array" ref="P398">_xlfn.SWITCH(rounded[[#This Row],[depression_label]], 0, "Not Depressed", 1, "Depressed")</f>
        <v>Not Depressed</v>
      </c>
      <c r="Q398" s="45" t="str" cm="1">
        <f t="array" ref="Q398">_xlfn.SWITCH(rounded[[#This Row],[gender]], "male", "Male", "female", "Female")</f>
        <v>Female</v>
      </c>
    </row>
    <row r="399" spans="1:17" x14ac:dyDescent="0.35">
      <c r="A399">
        <v>14</v>
      </c>
      <c r="B399" t="s">
        <v>16</v>
      </c>
      <c r="C399" s="4">
        <v>1</v>
      </c>
      <c r="D399" t="s">
        <v>20</v>
      </c>
      <c r="E399" s="4">
        <v>6.6</v>
      </c>
      <c r="F399" s="4">
        <v>1.4</v>
      </c>
      <c r="G399">
        <v>2.02</v>
      </c>
      <c r="H399">
        <v>1.9</v>
      </c>
      <c r="I399" t="s">
        <v>15</v>
      </c>
      <c r="J399">
        <v>6</v>
      </c>
      <c r="K399">
        <v>5</v>
      </c>
      <c r="L399">
        <v>5</v>
      </c>
      <c r="M399">
        <v>0</v>
      </c>
      <c r="N399">
        <f>_xlfn.IFS(rounded[[#This Row],[social_interaction_level]] = "low", 1,rounded[[#This Row],[social_interaction_level]] = "medium", 2,rounded[[#This Row],[social_interaction_level]] = "high", 3)</f>
        <v>1</v>
      </c>
      <c r="O399">
        <f t="shared" si="6"/>
        <v>16</v>
      </c>
      <c r="P399" t="str" cm="1">
        <f t="array" ref="P399">_xlfn.SWITCH(rounded[[#This Row],[depression_label]], 0, "Not Depressed", 1, "Depressed")</f>
        <v>Not Depressed</v>
      </c>
      <c r="Q399" s="45" t="str" cm="1">
        <f t="array" ref="Q399">_xlfn.SWITCH(rounded[[#This Row],[gender]], "male", "Male", "female", "Female")</f>
        <v>Female</v>
      </c>
    </row>
    <row r="400" spans="1:17" x14ac:dyDescent="0.35">
      <c r="A400">
        <v>13</v>
      </c>
      <c r="B400" t="s">
        <v>16</v>
      </c>
      <c r="C400" s="4">
        <v>1.2</v>
      </c>
      <c r="D400" t="s">
        <v>17</v>
      </c>
      <c r="E400" s="4">
        <v>8</v>
      </c>
      <c r="F400" s="4">
        <v>2.8</v>
      </c>
      <c r="G400">
        <v>2.1800000000000002</v>
      </c>
      <c r="H400">
        <v>1.1000000000000001</v>
      </c>
      <c r="I400" t="s">
        <v>18</v>
      </c>
      <c r="J400">
        <v>5</v>
      </c>
      <c r="K400">
        <v>8</v>
      </c>
      <c r="L400">
        <v>5</v>
      </c>
      <c r="M400">
        <v>0</v>
      </c>
      <c r="N400">
        <f>_xlfn.IFS(rounded[[#This Row],[social_interaction_level]] = "low", 1,rounded[[#This Row],[social_interaction_level]] = "medium", 2,rounded[[#This Row],[social_interaction_level]] = "high", 3)</f>
        <v>3</v>
      </c>
      <c r="O400">
        <f t="shared" si="6"/>
        <v>18</v>
      </c>
      <c r="P400" t="str" cm="1">
        <f t="array" ref="P400">_xlfn.SWITCH(rounded[[#This Row],[depression_label]], 0, "Not Depressed", 1, "Depressed")</f>
        <v>Not Depressed</v>
      </c>
      <c r="Q400" s="45" t="str" cm="1">
        <f t="array" ref="Q400">_xlfn.SWITCH(rounded[[#This Row],[gender]], "male", "Male", "female", "Female")</f>
        <v>Female</v>
      </c>
    </row>
    <row r="401" spans="1:17" x14ac:dyDescent="0.35">
      <c r="A401">
        <v>19</v>
      </c>
      <c r="B401" t="s">
        <v>13</v>
      </c>
      <c r="C401" s="4">
        <v>2</v>
      </c>
      <c r="D401" t="s">
        <v>14</v>
      </c>
      <c r="E401" s="4">
        <v>4.0999999999999996</v>
      </c>
      <c r="F401" s="4">
        <v>1.3</v>
      </c>
      <c r="G401">
        <v>3.71</v>
      </c>
      <c r="H401">
        <v>1.6</v>
      </c>
      <c r="I401" t="s">
        <v>15</v>
      </c>
      <c r="J401">
        <v>7</v>
      </c>
      <c r="K401">
        <v>7</v>
      </c>
      <c r="L401">
        <v>8</v>
      </c>
      <c r="M401">
        <v>0</v>
      </c>
      <c r="N401">
        <f>_xlfn.IFS(rounded[[#This Row],[social_interaction_level]] = "low", 1,rounded[[#This Row],[social_interaction_level]] = "medium", 2,rounded[[#This Row],[social_interaction_level]] = "high", 3)</f>
        <v>1</v>
      </c>
      <c r="O401">
        <f t="shared" si="6"/>
        <v>22</v>
      </c>
      <c r="P401" t="str" cm="1">
        <f t="array" ref="P401">_xlfn.SWITCH(rounded[[#This Row],[depression_label]], 0, "Not Depressed", 1, "Depressed")</f>
        <v>Not Depressed</v>
      </c>
      <c r="Q401" s="45" t="str" cm="1">
        <f t="array" ref="Q401">_xlfn.SWITCH(rounded[[#This Row],[gender]], "male", "Male", "female", "Female")</f>
        <v>Male</v>
      </c>
    </row>
    <row r="402" spans="1:17" x14ac:dyDescent="0.35">
      <c r="A402">
        <v>13</v>
      </c>
      <c r="B402" t="s">
        <v>16</v>
      </c>
      <c r="C402" s="4">
        <v>7.1</v>
      </c>
      <c r="D402" t="s">
        <v>20</v>
      </c>
      <c r="E402" s="4">
        <v>6.5</v>
      </c>
      <c r="F402" s="4">
        <v>1.6</v>
      </c>
      <c r="G402">
        <v>2.0299999999999998</v>
      </c>
      <c r="H402">
        <v>0.3</v>
      </c>
      <c r="I402" t="s">
        <v>19</v>
      </c>
      <c r="J402">
        <v>1</v>
      </c>
      <c r="K402">
        <v>10</v>
      </c>
      <c r="L402">
        <v>6</v>
      </c>
      <c r="M402">
        <v>0</v>
      </c>
      <c r="N402">
        <f>_xlfn.IFS(rounded[[#This Row],[social_interaction_level]] = "low", 1,rounded[[#This Row],[social_interaction_level]] = "medium", 2,rounded[[#This Row],[social_interaction_level]] = "high", 3)</f>
        <v>2</v>
      </c>
      <c r="O402">
        <f t="shared" si="6"/>
        <v>17</v>
      </c>
      <c r="P402" t="str" cm="1">
        <f t="array" ref="P402">_xlfn.SWITCH(rounded[[#This Row],[depression_label]], 0, "Not Depressed", 1, "Depressed")</f>
        <v>Not Depressed</v>
      </c>
      <c r="Q402" s="45" t="str" cm="1">
        <f t="array" ref="Q402">_xlfn.SWITCH(rounded[[#This Row],[gender]], "male", "Male", "female", "Female")</f>
        <v>Female</v>
      </c>
    </row>
    <row r="403" spans="1:17" x14ac:dyDescent="0.35">
      <c r="A403">
        <v>15</v>
      </c>
      <c r="B403" t="s">
        <v>16</v>
      </c>
      <c r="C403" s="4">
        <v>5.5</v>
      </c>
      <c r="D403" t="s">
        <v>17</v>
      </c>
      <c r="E403" s="4">
        <v>7.8</v>
      </c>
      <c r="F403" s="4">
        <v>1.5</v>
      </c>
      <c r="G403">
        <v>2.79</v>
      </c>
      <c r="H403">
        <v>0.7</v>
      </c>
      <c r="I403" t="s">
        <v>18</v>
      </c>
      <c r="J403">
        <v>9</v>
      </c>
      <c r="K403">
        <v>10</v>
      </c>
      <c r="L403">
        <v>7</v>
      </c>
      <c r="M403">
        <v>0</v>
      </c>
      <c r="N403">
        <f>_xlfn.IFS(rounded[[#This Row],[social_interaction_level]] = "low", 1,rounded[[#This Row],[social_interaction_level]] = "medium", 2,rounded[[#This Row],[social_interaction_level]] = "high", 3)</f>
        <v>3</v>
      </c>
      <c r="O403">
        <f t="shared" si="6"/>
        <v>26</v>
      </c>
      <c r="P403" t="str" cm="1">
        <f t="array" ref="P403">_xlfn.SWITCH(rounded[[#This Row],[depression_label]], 0, "Not Depressed", 1, "Depressed")</f>
        <v>Not Depressed</v>
      </c>
      <c r="Q403" s="45" t="str" cm="1">
        <f t="array" ref="Q403">_xlfn.SWITCH(rounded[[#This Row],[gender]], "male", "Male", "female", "Female")</f>
        <v>Female</v>
      </c>
    </row>
    <row r="404" spans="1:17" x14ac:dyDescent="0.35">
      <c r="A404">
        <v>17</v>
      </c>
      <c r="B404" t="s">
        <v>13</v>
      </c>
      <c r="C404" s="4">
        <v>7.7</v>
      </c>
      <c r="D404" t="s">
        <v>17</v>
      </c>
      <c r="E404" s="4">
        <v>4.7</v>
      </c>
      <c r="F404" s="4">
        <v>2.8</v>
      </c>
      <c r="G404">
        <v>3.5</v>
      </c>
      <c r="H404">
        <v>1.5</v>
      </c>
      <c r="I404" t="s">
        <v>15</v>
      </c>
      <c r="J404">
        <v>8</v>
      </c>
      <c r="K404">
        <v>4</v>
      </c>
      <c r="L404">
        <v>8</v>
      </c>
      <c r="M404">
        <v>0</v>
      </c>
      <c r="N404">
        <f>_xlfn.IFS(rounded[[#This Row],[social_interaction_level]] = "low", 1,rounded[[#This Row],[social_interaction_level]] = "medium", 2,rounded[[#This Row],[social_interaction_level]] = "high", 3)</f>
        <v>1</v>
      </c>
      <c r="O404">
        <f t="shared" si="6"/>
        <v>20</v>
      </c>
      <c r="P404" t="str" cm="1">
        <f t="array" ref="P404">_xlfn.SWITCH(rounded[[#This Row],[depression_label]], 0, "Not Depressed", 1, "Depressed")</f>
        <v>Not Depressed</v>
      </c>
      <c r="Q404" s="45" t="str" cm="1">
        <f t="array" ref="Q404">_xlfn.SWITCH(rounded[[#This Row],[gender]], "male", "Male", "female", "Female")</f>
        <v>Male</v>
      </c>
    </row>
    <row r="405" spans="1:17" x14ac:dyDescent="0.35">
      <c r="A405">
        <v>17</v>
      </c>
      <c r="B405" t="s">
        <v>16</v>
      </c>
      <c r="C405" s="4">
        <v>7.6</v>
      </c>
      <c r="D405" t="s">
        <v>14</v>
      </c>
      <c r="E405" s="4">
        <v>5.9</v>
      </c>
      <c r="F405" s="4">
        <v>2</v>
      </c>
      <c r="G405">
        <v>2.52</v>
      </c>
      <c r="H405">
        <v>1.5</v>
      </c>
      <c r="I405" t="s">
        <v>19</v>
      </c>
      <c r="J405">
        <v>1</v>
      </c>
      <c r="K405">
        <v>5</v>
      </c>
      <c r="L405">
        <v>1</v>
      </c>
      <c r="M405">
        <v>0</v>
      </c>
      <c r="N405">
        <f>_xlfn.IFS(rounded[[#This Row],[social_interaction_level]] = "low", 1,rounded[[#This Row],[social_interaction_level]] = "medium", 2,rounded[[#This Row],[social_interaction_level]] = "high", 3)</f>
        <v>2</v>
      </c>
      <c r="O405">
        <f t="shared" si="6"/>
        <v>7</v>
      </c>
      <c r="P405" t="str" cm="1">
        <f t="array" ref="P405">_xlfn.SWITCH(rounded[[#This Row],[depression_label]], 0, "Not Depressed", 1, "Depressed")</f>
        <v>Not Depressed</v>
      </c>
      <c r="Q405" s="45" t="str" cm="1">
        <f t="array" ref="Q405">_xlfn.SWITCH(rounded[[#This Row],[gender]], "male", "Male", "female", "Female")</f>
        <v>Female</v>
      </c>
    </row>
    <row r="406" spans="1:17" x14ac:dyDescent="0.35">
      <c r="A406">
        <v>13</v>
      </c>
      <c r="B406" t="s">
        <v>13</v>
      </c>
      <c r="C406" s="4">
        <v>8</v>
      </c>
      <c r="D406" t="s">
        <v>14</v>
      </c>
      <c r="E406" s="4">
        <v>6.9</v>
      </c>
      <c r="F406" s="4">
        <v>2.5</v>
      </c>
      <c r="G406">
        <v>2.4500000000000002</v>
      </c>
      <c r="H406">
        <v>1.7</v>
      </c>
      <c r="I406" t="s">
        <v>19</v>
      </c>
      <c r="J406">
        <v>10</v>
      </c>
      <c r="K406">
        <v>1</v>
      </c>
      <c r="L406">
        <v>3</v>
      </c>
      <c r="M406">
        <v>0</v>
      </c>
      <c r="N406">
        <f>_xlfn.IFS(rounded[[#This Row],[social_interaction_level]] = "low", 1,rounded[[#This Row],[social_interaction_level]] = "medium", 2,rounded[[#This Row],[social_interaction_level]] = "high", 3)</f>
        <v>2</v>
      </c>
      <c r="O406">
        <f t="shared" si="6"/>
        <v>14</v>
      </c>
      <c r="P406" t="str" cm="1">
        <f t="array" ref="P406">_xlfn.SWITCH(rounded[[#This Row],[depression_label]], 0, "Not Depressed", 1, "Depressed")</f>
        <v>Not Depressed</v>
      </c>
      <c r="Q406" s="45" t="str" cm="1">
        <f t="array" ref="Q406">_xlfn.SWITCH(rounded[[#This Row],[gender]], "male", "Male", "female", "Female")</f>
        <v>Male</v>
      </c>
    </row>
    <row r="407" spans="1:17" x14ac:dyDescent="0.35">
      <c r="A407">
        <v>16</v>
      </c>
      <c r="B407" t="s">
        <v>16</v>
      </c>
      <c r="C407" s="4">
        <v>4.3</v>
      </c>
      <c r="D407" t="s">
        <v>14</v>
      </c>
      <c r="E407" s="4">
        <v>6</v>
      </c>
      <c r="F407" s="4">
        <v>1.4</v>
      </c>
      <c r="G407">
        <v>2.98</v>
      </c>
      <c r="H407">
        <v>1.7</v>
      </c>
      <c r="I407" t="s">
        <v>15</v>
      </c>
      <c r="J407">
        <v>8</v>
      </c>
      <c r="K407">
        <v>7</v>
      </c>
      <c r="L407">
        <v>4</v>
      </c>
      <c r="M407">
        <v>0</v>
      </c>
      <c r="N407">
        <f>_xlfn.IFS(rounded[[#This Row],[social_interaction_level]] = "low", 1,rounded[[#This Row],[social_interaction_level]] = "medium", 2,rounded[[#This Row],[social_interaction_level]] = "high", 3)</f>
        <v>1</v>
      </c>
      <c r="O407">
        <f t="shared" si="6"/>
        <v>19</v>
      </c>
      <c r="P407" t="str" cm="1">
        <f t="array" ref="P407">_xlfn.SWITCH(rounded[[#This Row],[depression_label]], 0, "Not Depressed", 1, "Depressed")</f>
        <v>Not Depressed</v>
      </c>
      <c r="Q407" s="45" t="str" cm="1">
        <f t="array" ref="Q407">_xlfn.SWITCH(rounded[[#This Row],[gender]], "male", "Male", "female", "Female")</f>
        <v>Female</v>
      </c>
    </row>
    <row r="408" spans="1:17" x14ac:dyDescent="0.35">
      <c r="A408">
        <v>13</v>
      </c>
      <c r="B408" t="s">
        <v>13</v>
      </c>
      <c r="C408" s="4">
        <v>3.8</v>
      </c>
      <c r="D408" t="s">
        <v>20</v>
      </c>
      <c r="E408" s="4">
        <v>5.3</v>
      </c>
      <c r="F408" s="4">
        <v>2.5</v>
      </c>
      <c r="G408">
        <v>3.48</v>
      </c>
      <c r="H408">
        <v>1</v>
      </c>
      <c r="I408" t="s">
        <v>15</v>
      </c>
      <c r="J408">
        <v>6</v>
      </c>
      <c r="K408">
        <v>7</v>
      </c>
      <c r="L408">
        <v>7</v>
      </c>
      <c r="M408">
        <v>0</v>
      </c>
      <c r="N408">
        <f>_xlfn.IFS(rounded[[#This Row],[social_interaction_level]] = "low", 1,rounded[[#This Row],[social_interaction_level]] = "medium", 2,rounded[[#This Row],[social_interaction_level]] = "high", 3)</f>
        <v>1</v>
      </c>
      <c r="O408">
        <f t="shared" si="6"/>
        <v>20</v>
      </c>
      <c r="P408" t="str" cm="1">
        <f t="array" ref="P408">_xlfn.SWITCH(rounded[[#This Row],[depression_label]], 0, "Not Depressed", 1, "Depressed")</f>
        <v>Not Depressed</v>
      </c>
      <c r="Q408" s="45" t="str" cm="1">
        <f t="array" ref="Q408">_xlfn.SWITCH(rounded[[#This Row],[gender]], "male", "Male", "female", "Female")</f>
        <v>Male</v>
      </c>
    </row>
    <row r="409" spans="1:17" x14ac:dyDescent="0.35">
      <c r="A409">
        <v>16</v>
      </c>
      <c r="B409" t="s">
        <v>16</v>
      </c>
      <c r="C409" s="4">
        <v>2.9</v>
      </c>
      <c r="D409" t="s">
        <v>17</v>
      </c>
      <c r="E409" s="4">
        <v>6.3</v>
      </c>
      <c r="F409" s="4">
        <v>3</v>
      </c>
      <c r="G409">
        <v>2.6</v>
      </c>
      <c r="H409">
        <v>0.4</v>
      </c>
      <c r="I409" t="s">
        <v>19</v>
      </c>
      <c r="J409">
        <v>9</v>
      </c>
      <c r="K409">
        <v>7</v>
      </c>
      <c r="L409">
        <v>3</v>
      </c>
      <c r="M409">
        <v>0</v>
      </c>
      <c r="N409">
        <f>_xlfn.IFS(rounded[[#This Row],[social_interaction_level]] = "low", 1,rounded[[#This Row],[social_interaction_level]] = "medium", 2,rounded[[#This Row],[social_interaction_level]] = "high", 3)</f>
        <v>2</v>
      </c>
      <c r="O409">
        <f t="shared" si="6"/>
        <v>19</v>
      </c>
      <c r="P409" t="str" cm="1">
        <f t="array" ref="P409">_xlfn.SWITCH(rounded[[#This Row],[depression_label]], 0, "Not Depressed", 1, "Depressed")</f>
        <v>Not Depressed</v>
      </c>
      <c r="Q409" s="45" t="str" cm="1">
        <f t="array" ref="Q409">_xlfn.SWITCH(rounded[[#This Row],[gender]], "male", "Male", "female", "Female")</f>
        <v>Female</v>
      </c>
    </row>
    <row r="410" spans="1:17" x14ac:dyDescent="0.35">
      <c r="A410">
        <v>13</v>
      </c>
      <c r="B410" t="s">
        <v>16</v>
      </c>
      <c r="C410" s="4">
        <v>5.3</v>
      </c>
      <c r="D410" t="s">
        <v>17</v>
      </c>
      <c r="E410" s="4">
        <v>6.5</v>
      </c>
      <c r="F410" s="4">
        <v>1.1000000000000001</v>
      </c>
      <c r="G410">
        <v>3.48</v>
      </c>
      <c r="H410">
        <v>1.8</v>
      </c>
      <c r="I410" t="s">
        <v>15</v>
      </c>
      <c r="J410">
        <v>9</v>
      </c>
      <c r="K410">
        <v>5</v>
      </c>
      <c r="L410">
        <v>4</v>
      </c>
      <c r="M410">
        <v>0</v>
      </c>
      <c r="N410">
        <f>_xlfn.IFS(rounded[[#This Row],[social_interaction_level]] = "low", 1,rounded[[#This Row],[social_interaction_level]] = "medium", 2,rounded[[#This Row],[social_interaction_level]] = "high", 3)</f>
        <v>1</v>
      </c>
      <c r="O410">
        <f t="shared" si="6"/>
        <v>18</v>
      </c>
      <c r="P410" t="str" cm="1">
        <f t="array" ref="P410">_xlfn.SWITCH(rounded[[#This Row],[depression_label]], 0, "Not Depressed", 1, "Depressed")</f>
        <v>Not Depressed</v>
      </c>
      <c r="Q410" s="45" t="str" cm="1">
        <f t="array" ref="Q410">_xlfn.SWITCH(rounded[[#This Row],[gender]], "male", "Male", "female", "Female")</f>
        <v>Female</v>
      </c>
    </row>
    <row r="411" spans="1:17" x14ac:dyDescent="0.35">
      <c r="A411">
        <v>15</v>
      </c>
      <c r="B411" t="s">
        <v>16</v>
      </c>
      <c r="C411" s="4">
        <v>5.7</v>
      </c>
      <c r="D411" t="s">
        <v>14</v>
      </c>
      <c r="E411" s="4">
        <v>7.5</v>
      </c>
      <c r="F411" s="4">
        <v>2.4</v>
      </c>
      <c r="G411">
        <v>2.84</v>
      </c>
      <c r="H411">
        <v>1.3</v>
      </c>
      <c r="I411" t="s">
        <v>19</v>
      </c>
      <c r="J411">
        <v>10</v>
      </c>
      <c r="K411">
        <v>10</v>
      </c>
      <c r="L411">
        <v>2</v>
      </c>
      <c r="M411">
        <v>0</v>
      </c>
      <c r="N411">
        <f>_xlfn.IFS(rounded[[#This Row],[social_interaction_level]] = "low", 1,rounded[[#This Row],[social_interaction_level]] = "medium", 2,rounded[[#This Row],[social_interaction_level]] = "high", 3)</f>
        <v>2</v>
      </c>
      <c r="O411">
        <f t="shared" si="6"/>
        <v>22</v>
      </c>
      <c r="P411" t="str" cm="1">
        <f t="array" ref="P411">_xlfn.SWITCH(rounded[[#This Row],[depression_label]], 0, "Not Depressed", 1, "Depressed")</f>
        <v>Not Depressed</v>
      </c>
      <c r="Q411" s="45" t="str" cm="1">
        <f t="array" ref="Q411">_xlfn.SWITCH(rounded[[#This Row],[gender]], "male", "Male", "female", "Female")</f>
        <v>Female</v>
      </c>
    </row>
    <row r="412" spans="1:17" x14ac:dyDescent="0.35">
      <c r="A412">
        <v>18</v>
      </c>
      <c r="B412" t="s">
        <v>16</v>
      </c>
      <c r="C412" s="4">
        <v>2.8</v>
      </c>
      <c r="D412" t="s">
        <v>14</v>
      </c>
      <c r="E412" s="4">
        <v>7.4</v>
      </c>
      <c r="F412" s="4">
        <v>1</v>
      </c>
      <c r="G412">
        <v>3.73</v>
      </c>
      <c r="H412">
        <v>1.9</v>
      </c>
      <c r="I412" t="s">
        <v>15</v>
      </c>
      <c r="J412">
        <v>7</v>
      </c>
      <c r="K412">
        <v>3</v>
      </c>
      <c r="L412">
        <v>6</v>
      </c>
      <c r="M412">
        <v>0</v>
      </c>
      <c r="N412">
        <f>_xlfn.IFS(rounded[[#This Row],[social_interaction_level]] = "low", 1,rounded[[#This Row],[social_interaction_level]] = "medium", 2,rounded[[#This Row],[social_interaction_level]] = "high", 3)</f>
        <v>1</v>
      </c>
      <c r="O412">
        <f t="shared" si="6"/>
        <v>16</v>
      </c>
      <c r="P412" t="str" cm="1">
        <f t="array" ref="P412">_xlfn.SWITCH(rounded[[#This Row],[depression_label]], 0, "Not Depressed", 1, "Depressed")</f>
        <v>Not Depressed</v>
      </c>
      <c r="Q412" s="45" t="str" cm="1">
        <f t="array" ref="Q412">_xlfn.SWITCH(rounded[[#This Row],[gender]], "male", "Male", "female", "Female")</f>
        <v>Female</v>
      </c>
    </row>
    <row r="413" spans="1:17" x14ac:dyDescent="0.35">
      <c r="A413">
        <v>15</v>
      </c>
      <c r="B413" t="s">
        <v>13</v>
      </c>
      <c r="C413" s="4">
        <v>2.8</v>
      </c>
      <c r="D413" t="s">
        <v>17</v>
      </c>
      <c r="E413" s="4">
        <v>6.1</v>
      </c>
      <c r="F413" s="4">
        <v>2.9</v>
      </c>
      <c r="G413">
        <v>2.98</v>
      </c>
      <c r="H413">
        <v>1.8</v>
      </c>
      <c r="I413" t="s">
        <v>19</v>
      </c>
      <c r="J413">
        <v>6</v>
      </c>
      <c r="K413">
        <v>3</v>
      </c>
      <c r="L413">
        <v>7</v>
      </c>
      <c r="M413">
        <v>0</v>
      </c>
      <c r="N413">
        <f>_xlfn.IFS(rounded[[#This Row],[social_interaction_level]] = "low", 1,rounded[[#This Row],[social_interaction_level]] = "medium", 2,rounded[[#This Row],[social_interaction_level]] = "high", 3)</f>
        <v>2</v>
      </c>
      <c r="O413">
        <f t="shared" si="6"/>
        <v>16</v>
      </c>
      <c r="P413" t="str" cm="1">
        <f t="array" ref="P413">_xlfn.SWITCH(rounded[[#This Row],[depression_label]], 0, "Not Depressed", 1, "Depressed")</f>
        <v>Not Depressed</v>
      </c>
      <c r="Q413" s="45" t="str" cm="1">
        <f t="array" ref="Q413">_xlfn.SWITCH(rounded[[#This Row],[gender]], "male", "Male", "female", "Female")</f>
        <v>Male</v>
      </c>
    </row>
    <row r="414" spans="1:17" x14ac:dyDescent="0.35">
      <c r="A414">
        <v>13</v>
      </c>
      <c r="B414" t="s">
        <v>16</v>
      </c>
      <c r="C414" s="4">
        <v>1.1000000000000001</v>
      </c>
      <c r="D414" t="s">
        <v>14</v>
      </c>
      <c r="E414" s="4">
        <v>7</v>
      </c>
      <c r="F414" s="4">
        <v>1.9</v>
      </c>
      <c r="G414">
        <v>4</v>
      </c>
      <c r="H414">
        <v>0.9</v>
      </c>
      <c r="I414" t="s">
        <v>19</v>
      </c>
      <c r="J414">
        <v>2</v>
      </c>
      <c r="K414">
        <v>9</v>
      </c>
      <c r="L414">
        <v>6</v>
      </c>
      <c r="M414">
        <v>0</v>
      </c>
      <c r="N414">
        <f>_xlfn.IFS(rounded[[#This Row],[social_interaction_level]] = "low", 1,rounded[[#This Row],[social_interaction_level]] = "medium", 2,rounded[[#This Row],[social_interaction_level]] = "high", 3)</f>
        <v>2</v>
      </c>
      <c r="O414">
        <f t="shared" si="6"/>
        <v>17</v>
      </c>
      <c r="P414" t="str" cm="1">
        <f t="array" ref="P414">_xlfn.SWITCH(rounded[[#This Row],[depression_label]], 0, "Not Depressed", 1, "Depressed")</f>
        <v>Not Depressed</v>
      </c>
      <c r="Q414" s="45" t="str" cm="1">
        <f t="array" ref="Q414">_xlfn.SWITCH(rounded[[#This Row],[gender]], "male", "Male", "female", "Female")</f>
        <v>Female</v>
      </c>
    </row>
    <row r="415" spans="1:17" x14ac:dyDescent="0.35">
      <c r="A415">
        <v>14</v>
      </c>
      <c r="B415" t="s">
        <v>16</v>
      </c>
      <c r="C415" s="4">
        <v>2</v>
      </c>
      <c r="D415" t="s">
        <v>20</v>
      </c>
      <c r="E415" s="4">
        <v>5</v>
      </c>
      <c r="F415" s="4">
        <v>2.6</v>
      </c>
      <c r="G415">
        <v>2.71</v>
      </c>
      <c r="H415">
        <v>2</v>
      </c>
      <c r="I415" t="s">
        <v>15</v>
      </c>
      <c r="J415">
        <v>5</v>
      </c>
      <c r="K415">
        <v>4</v>
      </c>
      <c r="L415">
        <v>3</v>
      </c>
      <c r="M415">
        <v>0</v>
      </c>
      <c r="N415">
        <f>_xlfn.IFS(rounded[[#This Row],[social_interaction_level]] = "low", 1,rounded[[#This Row],[social_interaction_level]] = "medium", 2,rounded[[#This Row],[social_interaction_level]] = "high", 3)</f>
        <v>1</v>
      </c>
      <c r="O415">
        <f t="shared" si="6"/>
        <v>12</v>
      </c>
      <c r="P415" t="str" cm="1">
        <f t="array" ref="P415">_xlfn.SWITCH(rounded[[#This Row],[depression_label]], 0, "Not Depressed", 1, "Depressed")</f>
        <v>Not Depressed</v>
      </c>
      <c r="Q415" s="45" t="str" cm="1">
        <f t="array" ref="Q415">_xlfn.SWITCH(rounded[[#This Row],[gender]], "male", "Male", "female", "Female")</f>
        <v>Female</v>
      </c>
    </row>
    <row r="416" spans="1:17" x14ac:dyDescent="0.35">
      <c r="A416">
        <v>16</v>
      </c>
      <c r="B416" t="s">
        <v>16</v>
      </c>
      <c r="C416" s="4">
        <v>6.5</v>
      </c>
      <c r="D416" t="s">
        <v>17</v>
      </c>
      <c r="E416" s="4">
        <v>5.3</v>
      </c>
      <c r="F416" s="4">
        <v>1.8</v>
      </c>
      <c r="G416">
        <v>2.29</v>
      </c>
      <c r="H416">
        <v>0.2</v>
      </c>
      <c r="I416" t="s">
        <v>18</v>
      </c>
      <c r="J416">
        <v>4</v>
      </c>
      <c r="K416">
        <v>10</v>
      </c>
      <c r="L416">
        <v>2</v>
      </c>
      <c r="M416">
        <v>0</v>
      </c>
      <c r="N416">
        <f>_xlfn.IFS(rounded[[#This Row],[social_interaction_level]] = "low", 1,rounded[[#This Row],[social_interaction_level]] = "medium", 2,rounded[[#This Row],[social_interaction_level]] = "high", 3)</f>
        <v>3</v>
      </c>
      <c r="O416">
        <f t="shared" si="6"/>
        <v>16</v>
      </c>
      <c r="P416" t="str" cm="1">
        <f t="array" ref="P416">_xlfn.SWITCH(rounded[[#This Row],[depression_label]], 0, "Not Depressed", 1, "Depressed")</f>
        <v>Not Depressed</v>
      </c>
      <c r="Q416" s="45" t="str" cm="1">
        <f t="array" ref="Q416">_xlfn.SWITCH(rounded[[#This Row],[gender]], "male", "Male", "female", "Female")</f>
        <v>Female</v>
      </c>
    </row>
    <row r="417" spans="1:17" x14ac:dyDescent="0.35">
      <c r="A417">
        <v>16</v>
      </c>
      <c r="B417" t="s">
        <v>16</v>
      </c>
      <c r="C417" s="4">
        <v>7.5</v>
      </c>
      <c r="D417" t="s">
        <v>17</v>
      </c>
      <c r="E417" s="4">
        <v>7.8</v>
      </c>
      <c r="F417" s="4">
        <v>1.3</v>
      </c>
      <c r="G417">
        <v>2.73</v>
      </c>
      <c r="H417">
        <v>1.5</v>
      </c>
      <c r="I417" t="s">
        <v>19</v>
      </c>
      <c r="J417">
        <v>4</v>
      </c>
      <c r="K417">
        <v>5</v>
      </c>
      <c r="L417">
        <v>8</v>
      </c>
      <c r="M417">
        <v>0</v>
      </c>
      <c r="N417">
        <f>_xlfn.IFS(rounded[[#This Row],[social_interaction_level]] = "low", 1,rounded[[#This Row],[social_interaction_level]] = "medium", 2,rounded[[#This Row],[social_interaction_level]] = "high", 3)</f>
        <v>2</v>
      </c>
      <c r="O417">
        <f t="shared" si="6"/>
        <v>17</v>
      </c>
      <c r="P417" t="str" cm="1">
        <f t="array" ref="P417">_xlfn.SWITCH(rounded[[#This Row],[depression_label]], 0, "Not Depressed", 1, "Depressed")</f>
        <v>Not Depressed</v>
      </c>
      <c r="Q417" s="45" t="str" cm="1">
        <f t="array" ref="Q417">_xlfn.SWITCH(rounded[[#This Row],[gender]], "male", "Male", "female", "Female")</f>
        <v>Female</v>
      </c>
    </row>
    <row r="418" spans="1:17" x14ac:dyDescent="0.35">
      <c r="A418">
        <v>16</v>
      </c>
      <c r="B418" t="s">
        <v>16</v>
      </c>
      <c r="C418" s="4">
        <v>3.1</v>
      </c>
      <c r="D418" t="s">
        <v>14</v>
      </c>
      <c r="E418" s="4">
        <v>7.9</v>
      </c>
      <c r="F418" s="4">
        <v>1.2</v>
      </c>
      <c r="G418">
        <v>2.85</v>
      </c>
      <c r="H418">
        <v>0.7</v>
      </c>
      <c r="I418" t="s">
        <v>18</v>
      </c>
      <c r="J418">
        <v>2</v>
      </c>
      <c r="K418">
        <v>2</v>
      </c>
      <c r="L418">
        <v>5</v>
      </c>
      <c r="M418">
        <v>0</v>
      </c>
      <c r="N418">
        <f>_xlfn.IFS(rounded[[#This Row],[social_interaction_level]] = "low", 1,rounded[[#This Row],[social_interaction_level]] = "medium", 2,rounded[[#This Row],[social_interaction_level]] = "high", 3)</f>
        <v>3</v>
      </c>
      <c r="O418">
        <f t="shared" si="6"/>
        <v>9</v>
      </c>
      <c r="P418" t="str" cm="1">
        <f t="array" ref="P418">_xlfn.SWITCH(rounded[[#This Row],[depression_label]], 0, "Not Depressed", 1, "Depressed")</f>
        <v>Not Depressed</v>
      </c>
      <c r="Q418" s="45" t="str" cm="1">
        <f t="array" ref="Q418">_xlfn.SWITCH(rounded[[#This Row],[gender]], "male", "Male", "female", "Female")</f>
        <v>Female</v>
      </c>
    </row>
    <row r="419" spans="1:17" x14ac:dyDescent="0.35">
      <c r="A419">
        <v>19</v>
      </c>
      <c r="B419" t="s">
        <v>13</v>
      </c>
      <c r="C419" s="4">
        <v>5.9</v>
      </c>
      <c r="D419" t="s">
        <v>20</v>
      </c>
      <c r="E419" s="4">
        <v>7</v>
      </c>
      <c r="F419" s="4">
        <v>2.2999999999999998</v>
      </c>
      <c r="G419">
        <v>3</v>
      </c>
      <c r="H419">
        <v>1.6</v>
      </c>
      <c r="I419" t="s">
        <v>15</v>
      </c>
      <c r="J419">
        <v>3</v>
      </c>
      <c r="K419">
        <v>5</v>
      </c>
      <c r="L419">
        <v>10</v>
      </c>
      <c r="M419">
        <v>0</v>
      </c>
      <c r="N419">
        <f>_xlfn.IFS(rounded[[#This Row],[social_interaction_level]] = "low", 1,rounded[[#This Row],[social_interaction_level]] = "medium", 2,rounded[[#This Row],[social_interaction_level]] = "high", 3)</f>
        <v>1</v>
      </c>
      <c r="O419">
        <f t="shared" si="6"/>
        <v>18</v>
      </c>
      <c r="P419" t="str" cm="1">
        <f t="array" ref="P419">_xlfn.SWITCH(rounded[[#This Row],[depression_label]], 0, "Not Depressed", 1, "Depressed")</f>
        <v>Not Depressed</v>
      </c>
      <c r="Q419" s="45" t="str" cm="1">
        <f t="array" ref="Q419">_xlfn.SWITCH(rounded[[#This Row],[gender]], "male", "Male", "female", "Female")</f>
        <v>Male</v>
      </c>
    </row>
    <row r="420" spans="1:17" x14ac:dyDescent="0.35">
      <c r="A420">
        <v>15</v>
      </c>
      <c r="B420" t="s">
        <v>13</v>
      </c>
      <c r="C420" s="4">
        <v>7.9</v>
      </c>
      <c r="D420" t="s">
        <v>17</v>
      </c>
      <c r="E420" s="4">
        <v>4.0999999999999996</v>
      </c>
      <c r="F420" s="4">
        <v>0.7</v>
      </c>
      <c r="G420">
        <v>2.33</v>
      </c>
      <c r="H420">
        <v>1.2</v>
      </c>
      <c r="I420" t="s">
        <v>19</v>
      </c>
      <c r="J420">
        <v>3</v>
      </c>
      <c r="K420">
        <v>8</v>
      </c>
      <c r="L420">
        <v>1</v>
      </c>
      <c r="M420">
        <v>0</v>
      </c>
      <c r="N420">
        <f>_xlfn.IFS(rounded[[#This Row],[social_interaction_level]] = "low", 1,rounded[[#This Row],[social_interaction_level]] = "medium", 2,rounded[[#This Row],[social_interaction_level]] = "high", 3)</f>
        <v>2</v>
      </c>
      <c r="O420">
        <f t="shared" si="6"/>
        <v>12</v>
      </c>
      <c r="P420" t="str" cm="1">
        <f t="array" ref="P420">_xlfn.SWITCH(rounded[[#This Row],[depression_label]], 0, "Not Depressed", 1, "Depressed")</f>
        <v>Not Depressed</v>
      </c>
      <c r="Q420" s="45" t="str" cm="1">
        <f t="array" ref="Q420">_xlfn.SWITCH(rounded[[#This Row],[gender]], "male", "Male", "female", "Female")</f>
        <v>Male</v>
      </c>
    </row>
    <row r="421" spans="1:17" x14ac:dyDescent="0.35">
      <c r="A421">
        <v>15</v>
      </c>
      <c r="B421" t="s">
        <v>13</v>
      </c>
      <c r="C421" s="4">
        <v>5.0999999999999996</v>
      </c>
      <c r="D421" t="s">
        <v>14</v>
      </c>
      <c r="E421" s="4">
        <v>7.4</v>
      </c>
      <c r="F421" s="4">
        <v>0.7</v>
      </c>
      <c r="G421">
        <v>2.64</v>
      </c>
      <c r="H421">
        <v>0.2</v>
      </c>
      <c r="I421" t="s">
        <v>19</v>
      </c>
      <c r="J421">
        <v>5</v>
      </c>
      <c r="K421">
        <v>8</v>
      </c>
      <c r="L421">
        <v>1</v>
      </c>
      <c r="M421">
        <v>0</v>
      </c>
      <c r="N421">
        <f>_xlfn.IFS(rounded[[#This Row],[social_interaction_level]] = "low", 1,rounded[[#This Row],[social_interaction_level]] = "medium", 2,rounded[[#This Row],[social_interaction_level]] = "high", 3)</f>
        <v>2</v>
      </c>
      <c r="O421">
        <f t="shared" si="6"/>
        <v>14</v>
      </c>
      <c r="P421" t="str" cm="1">
        <f t="array" ref="P421">_xlfn.SWITCH(rounded[[#This Row],[depression_label]], 0, "Not Depressed", 1, "Depressed")</f>
        <v>Not Depressed</v>
      </c>
      <c r="Q421" s="45" t="str" cm="1">
        <f t="array" ref="Q421">_xlfn.SWITCH(rounded[[#This Row],[gender]], "male", "Male", "female", "Female")</f>
        <v>Male</v>
      </c>
    </row>
    <row r="422" spans="1:17" x14ac:dyDescent="0.35">
      <c r="A422">
        <v>16</v>
      </c>
      <c r="B422" t="s">
        <v>13</v>
      </c>
      <c r="C422" s="4">
        <v>1.9</v>
      </c>
      <c r="D422" t="s">
        <v>20</v>
      </c>
      <c r="E422" s="4">
        <v>5.8</v>
      </c>
      <c r="F422" s="4">
        <v>2.1</v>
      </c>
      <c r="G422">
        <v>2.27</v>
      </c>
      <c r="H422">
        <v>0.6</v>
      </c>
      <c r="I422" t="s">
        <v>19</v>
      </c>
      <c r="J422">
        <v>3</v>
      </c>
      <c r="K422">
        <v>3</v>
      </c>
      <c r="L422">
        <v>2</v>
      </c>
      <c r="M422">
        <v>0</v>
      </c>
      <c r="N422">
        <f>_xlfn.IFS(rounded[[#This Row],[social_interaction_level]] = "low", 1,rounded[[#This Row],[social_interaction_level]] = "medium", 2,rounded[[#This Row],[social_interaction_level]] = "high", 3)</f>
        <v>2</v>
      </c>
      <c r="O422">
        <f t="shared" si="6"/>
        <v>8</v>
      </c>
      <c r="P422" t="str" cm="1">
        <f t="array" ref="P422">_xlfn.SWITCH(rounded[[#This Row],[depression_label]], 0, "Not Depressed", 1, "Depressed")</f>
        <v>Not Depressed</v>
      </c>
      <c r="Q422" s="45" t="str" cm="1">
        <f t="array" ref="Q422">_xlfn.SWITCH(rounded[[#This Row],[gender]], "male", "Male", "female", "Female")</f>
        <v>Male</v>
      </c>
    </row>
    <row r="423" spans="1:17" x14ac:dyDescent="0.35">
      <c r="A423">
        <v>17</v>
      </c>
      <c r="B423" t="s">
        <v>13</v>
      </c>
      <c r="C423" s="4">
        <v>8</v>
      </c>
      <c r="D423" t="s">
        <v>14</v>
      </c>
      <c r="E423" s="4">
        <v>8.6999999999999993</v>
      </c>
      <c r="F423" s="4">
        <v>1.5</v>
      </c>
      <c r="G423">
        <v>3.7</v>
      </c>
      <c r="H423">
        <v>2</v>
      </c>
      <c r="I423" t="s">
        <v>18</v>
      </c>
      <c r="J423">
        <v>10</v>
      </c>
      <c r="K423">
        <v>9</v>
      </c>
      <c r="L423">
        <v>5</v>
      </c>
      <c r="M423">
        <v>0</v>
      </c>
      <c r="N423">
        <f>_xlfn.IFS(rounded[[#This Row],[social_interaction_level]] = "low", 1,rounded[[#This Row],[social_interaction_level]] = "medium", 2,rounded[[#This Row],[social_interaction_level]] = "high", 3)</f>
        <v>3</v>
      </c>
      <c r="O423">
        <f t="shared" si="6"/>
        <v>24</v>
      </c>
      <c r="P423" t="str" cm="1">
        <f t="array" ref="P423">_xlfn.SWITCH(rounded[[#This Row],[depression_label]], 0, "Not Depressed", 1, "Depressed")</f>
        <v>Not Depressed</v>
      </c>
      <c r="Q423" s="45" t="str" cm="1">
        <f t="array" ref="Q423">_xlfn.SWITCH(rounded[[#This Row],[gender]], "male", "Male", "female", "Female")</f>
        <v>Male</v>
      </c>
    </row>
    <row r="424" spans="1:17" x14ac:dyDescent="0.35">
      <c r="A424">
        <v>19</v>
      </c>
      <c r="B424" t="s">
        <v>13</v>
      </c>
      <c r="C424" s="4">
        <v>2.9</v>
      </c>
      <c r="D424" t="s">
        <v>20</v>
      </c>
      <c r="E424" s="4">
        <v>4</v>
      </c>
      <c r="F424" s="4">
        <v>0.5</v>
      </c>
      <c r="G424">
        <v>3.16</v>
      </c>
      <c r="H424">
        <v>0.2</v>
      </c>
      <c r="I424" t="s">
        <v>18</v>
      </c>
      <c r="J424">
        <v>7</v>
      </c>
      <c r="K424">
        <v>6</v>
      </c>
      <c r="L424">
        <v>3</v>
      </c>
      <c r="M424">
        <v>0</v>
      </c>
      <c r="N424">
        <f>_xlfn.IFS(rounded[[#This Row],[social_interaction_level]] = "low", 1,rounded[[#This Row],[social_interaction_level]] = "medium", 2,rounded[[#This Row],[social_interaction_level]] = "high", 3)</f>
        <v>3</v>
      </c>
      <c r="O424">
        <f t="shared" si="6"/>
        <v>16</v>
      </c>
      <c r="P424" t="str" cm="1">
        <f t="array" ref="P424">_xlfn.SWITCH(rounded[[#This Row],[depression_label]], 0, "Not Depressed", 1, "Depressed")</f>
        <v>Not Depressed</v>
      </c>
      <c r="Q424" s="45" t="str" cm="1">
        <f t="array" ref="Q424">_xlfn.SWITCH(rounded[[#This Row],[gender]], "male", "Male", "female", "Female")</f>
        <v>Male</v>
      </c>
    </row>
    <row r="425" spans="1:17" x14ac:dyDescent="0.35">
      <c r="A425">
        <v>14</v>
      </c>
      <c r="B425" t="s">
        <v>13</v>
      </c>
      <c r="C425" s="4">
        <v>4.3</v>
      </c>
      <c r="D425" t="s">
        <v>14</v>
      </c>
      <c r="E425" s="4">
        <v>8.4</v>
      </c>
      <c r="F425" s="4">
        <v>0.9</v>
      </c>
      <c r="G425">
        <v>3.2</v>
      </c>
      <c r="H425">
        <v>1.6</v>
      </c>
      <c r="I425" t="s">
        <v>18</v>
      </c>
      <c r="J425">
        <v>10</v>
      </c>
      <c r="K425">
        <v>10</v>
      </c>
      <c r="L425">
        <v>1</v>
      </c>
      <c r="M425">
        <v>0</v>
      </c>
      <c r="N425">
        <f>_xlfn.IFS(rounded[[#This Row],[social_interaction_level]] = "low", 1,rounded[[#This Row],[social_interaction_level]] = "medium", 2,rounded[[#This Row],[social_interaction_level]] = "high", 3)</f>
        <v>3</v>
      </c>
      <c r="O425">
        <f t="shared" si="6"/>
        <v>21</v>
      </c>
      <c r="P425" t="str" cm="1">
        <f t="array" ref="P425">_xlfn.SWITCH(rounded[[#This Row],[depression_label]], 0, "Not Depressed", 1, "Depressed")</f>
        <v>Not Depressed</v>
      </c>
      <c r="Q425" s="45" t="str" cm="1">
        <f t="array" ref="Q425">_xlfn.SWITCH(rounded[[#This Row],[gender]], "male", "Male", "female", "Female")</f>
        <v>Male</v>
      </c>
    </row>
    <row r="426" spans="1:17" x14ac:dyDescent="0.35">
      <c r="A426">
        <v>16</v>
      </c>
      <c r="B426" t="s">
        <v>13</v>
      </c>
      <c r="C426" s="4">
        <v>1.1000000000000001</v>
      </c>
      <c r="D426" t="s">
        <v>14</v>
      </c>
      <c r="E426" s="4">
        <v>6.4</v>
      </c>
      <c r="F426" s="4">
        <v>3</v>
      </c>
      <c r="G426">
        <v>2.5099999999999998</v>
      </c>
      <c r="H426">
        <v>0.1</v>
      </c>
      <c r="I426" t="s">
        <v>19</v>
      </c>
      <c r="J426">
        <v>8</v>
      </c>
      <c r="K426">
        <v>6</v>
      </c>
      <c r="L426">
        <v>9</v>
      </c>
      <c r="M426">
        <v>0</v>
      </c>
      <c r="N426">
        <f>_xlfn.IFS(rounded[[#This Row],[social_interaction_level]] = "low", 1,rounded[[#This Row],[social_interaction_level]] = "medium", 2,rounded[[#This Row],[social_interaction_level]] = "high", 3)</f>
        <v>2</v>
      </c>
      <c r="O426">
        <f t="shared" si="6"/>
        <v>23</v>
      </c>
      <c r="P426" t="str" cm="1">
        <f t="array" ref="P426">_xlfn.SWITCH(rounded[[#This Row],[depression_label]], 0, "Not Depressed", 1, "Depressed")</f>
        <v>Not Depressed</v>
      </c>
      <c r="Q426" s="45" t="str" cm="1">
        <f t="array" ref="Q426">_xlfn.SWITCH(rounded[[#This Row],[gender]], "male", "Male", "female", "Female")</f>
        <v>Male</v>
      </c>
    </row>
    <row r="427" spans="1:17" x14ac:dyDescent="0.35">
      <c r="A427">
        <v>16</v>
      </c>
      <c r="B427" t="s">
        <v>13</v>
      </c>
      <c r="C427" s="4">
        <v>4.9000000000000004</v>
      </c>
      <c r="D427" t="s">
        <v>14</v>
      </c>
      <c r="E427" s="4">
        <v>5.7</v>
      </c>
      <c r="F427" s="4">
        <v>1.2</v>
      </c>
      <c r="G427">
        <v>2.0699999999999998</v>
      </c>
      <c r="H427">
        <v>0.1</v>
      </c>
      <c r="I427" t="s">
        <v>19</v>
      </c>
      <c r="J427">
        <v>8</v>
      </c>
      <c r="K427">
        <v>2</v>
      </c>
      <c r="L427">
        <v>1</v>
      </c>
      <c r="M427">
        <v>0</v>
      </c>
      <c r="N427">
        <f>_xlfn.IFS(rounded[[#This Row],[social_interaction_level]] = "low", 1,rounded[[#This Row],[social_interaction_level]] = "medium", 2,rounded[[#This Row],[social_interaction_level]] = "high", 3)</f>
        <v>2</v>
      </c>
      <c r="O427">
        <f t="shared" si="6"/>
        <v>11</v>
      </c>
      <c r="P427" t="str" cm="1">
        <f t="array" ref="P427">_xlfn.SWITCH(rounded[[#This Row],[depression_label]], 0, "Not Depressed", 1, "Depressed")</f>
        <v>Not Depressed</v>
      </c>
      <c r="Q427" s="45" t="str" cm="1">
        <f t="array" ref="Q427">_xlfn.SWITCH(rounded[[#This Row],[gender]], "male", "Male", "female", "Female")</f>
        <v>Male</v>
      </c>
    </row>
    <row r="428" spans="1:17" x14ac:dyDescent="0.35">
      <c r="A428">
        <v>14</v>
      </c>
      <c r="B428" t="s">
        <v>13</v>
      </c>
      <c r="C428" s="4">
        <v>6.1</v>
      </c>
      <c r="D428" t="s">
        <v>20</v>
      </c>
      <c r="E428" s="4">
        <v>7.6</v>
      </c>
      <c r="F428" s="4">
        <v>1.4</v>
      </c>
      <c r="G428">
        <v>2.72</v>
      </c>
      <c r="H428">
        <v>0.9</v>
      </c>
      <c r="I428" t="s">
        <v>15</v>
      </c>
      <c r="J428">
        <v>9</v>
      </c>
      <c r="K428">
        <v>3</v>
      </c>
      <c r="L428">
        <v>3</v>
      </c>
      <c r="M428">
        <v>0</v>
      </c>
      <c r="N428">
        <f>_xlfn.IFS(rounded[[#This Row],[social_interaction_level]] = "low", 1,rounded[[#This Row],[social_interaction_level]] = "medium", 2,rounded[[#This Row],[social_interaction_level]] = "high", 3)</f>
        <v>1</v>
      </c>
      <c r="O428">
        <f t="shared" si="6"/>
        <v>15</v>
      </c>
      <c r="P428" t="str" cm="1">
        <f t="array" ref="P428">_xlfn.SWITCH(rounded[[#This Row],[depression_label]], 0, "Not Depressed", 1, "Depressed")</f>
        <v>Not Depressed</v>
      </c>
      <c r="Q428" s="45" t="str" cm="1">
        <f t="array" ref="Q428">_xlfn.SWITCH(rounded[[#This Row],[gender]], "male", "Male", "female", "Female")</f>
        <v>Male</v>
      </c>
    </row>
    <row r="429" spans="1:17" x14ac:dyDescent="0.35">
      <c r="A429">
        <v>15</v>
      </c>
      <c r="B429" t="s">
        <v>16</v>
      </c>
      <c r="C429" s="4">
        <v>2.7</v>
      </c>
      <c r="D429" t="s">
        <v>20</v>
      </c>
      <c r="E429" s="4">
        <v>6.5</v>
      </c>
      <c r="F429" s="4">
        <v>1.6</v>
      </c>
      <c r="G429">
        <v>2.14</v>
      </c>
      <c r="H429">
        <v>0.4</v>
      </c>
      <c r="I429" t="s">
        <v>18</v>
      </c>
      <c r="J429">
        <v>6</v>
      </c>
      <c r="K429">
        <v>6</v>
      </c>
      <c r="L429">
        <v>6</v>
      </c>
      <c r="M429">
        <v>0</v>
      </c>
      <c r="N429">
        <f>_xlfn.IFS(rounded[[#This Row],[social_interaction_level]] = "low", 1,rounded[[#This Row],[social_interaction_level]] = "medium", 2,rounded[[#This Row],[social_interaction_level]] = "high", 3)</f>
        <v>3</v>
      </c>
      <c r="O429">
        <f t="shared" si="6"/>
        <v>18</v>
      </c>
      <c r="P429" t="str" cm="1">
        <f t="array" ref="P429">_xlfn.SWITCH(rounded[[#This Row],[depression_label]], 0, "Not Depressed", 1, "Depressed")</f>
        <v>Not Depressed</v>
      </c>
      <c r="Q429" s="45" t="str" cm="1">
        <f t="array" ref="Q429">_xlfn.SWITCH(rounded[[#This Row],[gender]], "male", "Male", "female", "Female")</f>
        <v>Female</v>
      </c>
    </row>
    <row r="430" spans="1:17" x14ac:dyDescent="0.35">
      <c r="A430">
        <v>16</v>
      </c>
      <c r="B430" t="s">
        <v>16</v>
      </c>
      <c r="C430" s="4">
        <v>7.8</v>
      </c>
      <c r="D430" t="s">
        <v>20</v>
      </c>
      <c r="E430" s="4">
        <v>7.4</v>
      </c>
      <c r="F430" s="4">
        <v>0.7</v>
      </c>
      <c r="G430">
        <v>2.54</v>
      </c>
      <c r="H430">
        <v>1.2</v>
      </c>
      <c r="I430" t="s">
        <v>19</v>
      </c>
      <c r="J430">
        <v>10</v>
      </c>
      <c r="K430">
        <v>4</v>
      </c>
      <c r="L430">
        <v>9</v>
      </c>
      <c r="M430">
        <v>0</v>
      </c>
      <c r="N430">
        <f>_xlfn.IFS(rounded[[#This Row],[social_interaction_level]] = "low", 1,rounded[[#This Row],[social_interaction_level]] = "medium", 2,rounded[[#This Row],[social_interaction_level]] = "high", 3)</f>
        <v>2</v>
      </c>
      <c r="O430">
        <f t="shared" si="6"/>
        <v>23</v>
      </c>
      <c r="P430" t="str" cm="1">
        <f t="array" ref="P430">_xlfn.SWITCH(rounded[[#This Row],[depression_label]], 0, "Not Depressed", 1, "Depressed")</f>
        <v>Not Depressed</v>
      </c>
      <c r="Q430" s="45" t="str" cm="1">
        <f t="array" ref="Q430">_xlfn.SWITCH(rounded[[#This Row],[gender]], "male", "Male", "female", "Female")</f>
        <v>Female</v>
      </c>
    </row>
    <row r="431" spans="1:17" x14ac:dyDescent="0.35">
      <c r="A431">
        <v>18</v>
      </c>
      <c r="B431" t="s">
        <v>13</v>
      </c>
      <c r="C431" s="4">
        <v>4.2</v>
      </c>
      <c r="D431" t="s">
        <v>17</v>
      </c>
      <c r="E431" s="4">
        <v>6.5</v>
      </c>
      <c r="F431" s="4">
        <v>1.4</v>
      </c>
      <c r="G431">
        <v>2.91</v>
      </c>
      <c r="H431">
        <v>1.5</v>
      </c>
      <c r="I431" t="s">
        <v>15</v>
      </c>
      <c r="J431">
        <v>5</v>
      </c>
      <c r="K431">
        <v>6</v>
      </c>
      <c r="L431">
        <v>4</v>
      </c>
      <c r="M431">
        <v>0</v>
      </c>
      <c r="N431">
        <f>_xlfn.IFS(rounded[[#This Row],[social_interaction_level]] = "low", 1,rounded[[#This Row],[social_interaction_level]] = "medium", 2,rounded[[#This Row],[social_interaction_level]] = "high", 3)</f>
        <v>1</v>
      </c>
      <c r="O431">
        <f t="shared" si="6"/>
        <v>15</v>
      </c>
      <c r="P431" t="str" cm="1">
        <f t="array" ref="P431">_xlfn.SWITCH(rounded[[#This Row],[depression_label]], 0, "Not Depressed", 1, "Depressed")</f>
        <v>Not Depressed</v>
      </c>
      <c r="Q431" s="45" t="str" cm="1">
        <f t="array" ref="Q431">_xlfn.SWITCH(rounded[[#This Row],[gender]], "male", "Male", "female", "Female")</f>
        <v>Male</v>
      </c>
    </row>
    <row r="432" spans="1:17" x14ac:dyDescent="0.35">
      <c r="A432">
        <v>13</v>
      </c>
      <c r="B432" t="s">
        <v>16</v>
      </c>
      <c r="C432" s="4">
        <v>4.4000000000000004</v>
      </c>
      <c r="D432" t="s">
        <v>14</v>
      </c>
      <c r="E432" s="4">
        <v>5.5</v>
      </c>
      <c r="F432" s="4">
        <v>2.7</v>
      </c>
      <c r="G432">
        <v>3.17</v>
      </c>
      <c r="H432">
        <v>0.3</v>
      </c>
      <c r="I432" t="s">
        <v>15</v>
      </c>
      <c r="J432">
        <v>5</v>
      </c>
      <c r="K432">
        <v>1</v>
      </c>
      <c r="L432">
        <v>5</v>
      </c>
      <c r="M432">
        <v>0</v>
      </c>
      <c r="N432">
        <f>_xlfn.IFS(rounded[[#This Row],[social_interaction_level]] = "low", 1,rounded[[#This Row],[social_interaction_level]] = "medium", 2,rounded[[#This Row],[social_interaction_level]] = "high", 3)</f>
        <v>1</v>
      </c>
      <c r="O432">
        <f t="shared" si="6"/>
        <v>11</v>
      </c>
      <c r="P432" t="str" cm="1">
        <f t="array" ref="P432">_xlfn.SWITCH(rounded[[#This Row],[depression_label]], 0, "Not Depressed", 1, "Depressed")</f>
        <v>Not Depressed</v>
      </c>
      <c r="Q432" s="45" t="str" cm="1">
        <f t="array" ref="Q432">_xlfn.SWITCH(rounded[[#This Row],[gender]], "male", "Male", "female", "Female")</f>
        <v>Female</v>
      </c>
    </row>
    <row r="433" spans="1:17" x14ac:dyDescent="0.35">
      <c r="A433">
        <v>13</v>
      </c>
      <c r="B433" t="s">
        <v>16</v>
      </c>
      <c r="C433" s="4">
        <v>1.4</v>
      </c>
      <c r="D433" t="s">
        <v>20</v>
      </c>
      <c r="E433" s="4">
        <v>7.8</v>
      </c>
      <c r="F433" s="4">
        <v>0.6</v>
      </c>
      <c r="G433">
        <v>3.42</v>
      </c>
      <c r="H433">
        <v>1.6</v>
      </c>
      <c r="I433" t="s">
        <v>19</v>
      </c>
      <c r="J433">
        <v>10</v>
      </c>
      <c r="K433">
        <v>4</v>
      </c>
      <c r="L433">
        <v>6</v>
      </c>
      <c r="M433">
        <v>0</v>
      </c>
      <c r="N433">
        <f>_xlfn.IFS(rounded[[#This Row],[social_interaction_level]] = "low", 1,rounded[[#This Row],[social_interaction_level]] = "medium", 2,rounded[[#This Row],[social_interaction_level]] = "high", 3)</f>
        <v>2</v>
      </c>
      <c r="O433">
        <f t="shared" si="6"/>
        <v>20</v>
      </c>
      <c r="P433" t="str" cm="1">
        <f t="array" ref="P433">_xlfn.SWITCH(rounded[[#This Row],[depression_label]], 0, "Not Depressed", 1, "Depressed")</f>
        <v>Not Depressed</v>
      </c>
      <c r="Q433" s="45" t="str" cm="1">
        <f t="array" ref="Q433">_xlfn.SWITCH(rounded[[#This Row],[gender]], "male", "Male", "female", "Female")</f>
        <v>Female</v>
      </c>
    </row>
    <row r="434" spans="1:17" x14ac:dyDescent="0.35">
      <c r="A434">
        <v>17</v>
      </c>
      <c r="B434" t="s">
        <v>13</v>
      </c>
      <c r="C434" s="4">
        <v>3.7</v>
      </c>
      <c r="D434" t="s">
        <v>17</v>
      </c>
      <c r="E434" s="4">
        <v>7.2</v>
      </c>
      <c r="F434" s="4">
        <v>0.6</v>
      </c>
      <c r="G434">
        <v>3.34</v>
      </c>
      <c r="H434">
        <v>1.8</v>
      </c>
      <c r="I434" t="s">
        <v>18</v>
      </c>
      <c r="J434">
        <v>2</v>
      </c>
      <c r="K434">
        <v>6</v>
      </c>
      <c r="L434">
        <v>2</v>
      </c>
      <c r="M434">
        <v>0</v>
      </c>
      <c r="N434">
        <f>_xlfn.IFS(rounded[[#This Row],[social_interaction_level]] = "low", 1,rounded[[#This Row],[social_interaction_level]] = "medium", 2,rounded[[#This Row],[social_interaction_level]] = "high", 3)</f>
        <v>3</v>
      </c>
      <c r="O434">
        <f t="shared" si="6"/>
        <v>10</v>
      </c>
      <c r="P434" t="str" cm="1">
        <f t="array" ref="P434">_xlfn.SWITCH(rounded[[#This Row],[depression_label]], 0, "Not Depressed", 1, "Depressed")</f>
        <v>Not Depressed</v>
      </c>
      <c r="Q434" s="45" t="str" cm="1">
        <f t="array" ref="Q434">_xlfn.SWITCH(rounded[[#This Row],[gender]], "male", "Male", "female", "Female")</f>
        <v>Male</v>
      </c>
    </row>
    <row r="435" spans="1:17" x14ac:dyDescent="0.35">
      <c r="A435">
        <v>14</v>
      </c>
      <c r="B435" t="s">
        <v>13</v>
      </c>
      <c r="C435" s="4">
        <v>3.8</v>
      </c>
      <c r="D435" t="s">
        <v>14</v>
      </c>
      <c r="E435" s="4">
        <v>8.9</v>
      </c>
      <c r="F435" s="4">
        <v>1.9</v>
      </c>
      <c r="G435">
        <v>2.77</v>
      </c>
      <c r="H435">
        <v>0.2</v>
      </c>
      <c r="I435" t="s">
        <v>19</v>
      </c>
      <c r="J435">
        <v>6</v>
      </c>
      <c r="K435">
        <v>2</v>
      </c>
      <c r="L435">
        <v>2</v>
      </c>
      <c r="M435">
        <v>0</v>
      </c>
      <c r="N435">
        <f>_xlfn.IFS(rounded[[#This Row],[social_interaction_level]] = "low", 1,rounded[[#This Row],[social_interaction_level]] = "medium", 2,rounded[[#This Row],[social_interaction_level]] = "high", 3)</f>
        <v>2</v>
      </c>
      <c r="O435">
        <f t="shared" si="6"/>
        <v>10</v>
      </c>
      <c r="P435" t="str" cm="1">
        <f t="array" ref="P435">_xlfn.SWITCH(rounded[[#This Row],[depression_label]], 0, "Not Depressed", 1, "Depressed")</f>
        <v>Not Depressed</v>
      </c>
      <c r="Q435" s="45" t="str" cm="1">
        <f t="array" ref="Q435">_xlfn.SWITCH(rounded[[#This Row],[gender]], "male", "Male", "female", "Female")</f>
        <v>Male</v>
      </c>
    </row>
    <row r="436" spans="1:17" x14ac:dyDescent="0.35">
      <c r="A436">
        <v>15</v>
      </c>
      <c r="B436" t="s">
        <v>16</v>
      </c>
      <c r="C436" s="4">
        <v>5.4</v>
      </c>
      <c r="D436" t="s">
        <v>17</v>
      </c>
      <c r="E436" s="4">
        <v>7</v>
      </c>
      <c r="F436" s="4">
        <v>1.8</v>
      </c>
      <c r="G436">
        <v>2.54</v>
      </c>
      <c r="H436">
        <v>0.1</v>
      </c>
      <c r="I436" t="s">
        <v>15</v>
      </c>
      <c r="J436">
        <v>1</v>
      </c>
      <c r="K436">
        <v>4</v>
      </c>
      <c r="L436">
        <v>4</v>
      </c>
      <c r="M436">
        <v>0</v>
      </c>
      <c r="N436">
        <f>_xlfn.IFS(rounded[[#This Row],[social_interaction_level]] = "low", 1,rounded[[#This Row],[social_interaction_level]] = "medium", 2,rounded[[#This Row],[social_interaction_level]] = "high", 3)</f>
        <v>1</v>
      </c>
      <c r="O436">
        <f t="shared" si="6"/>
        <v>9</v>
      </c>
      <c r="P436" t="str" cm="1">
        <f t="array" ref="P436">_xlfn.SWITCH(rounded[[#This Row],[depression_label]], 0, "Not Depressed", 1, "Depressed")</f>
        <v>Not Depressed</v>
      </c>
      <c r="Q436" s="45" t="str" cm="1">
        <f t="array" ref="Q436">_xlfn.SWITCH(rounded[[#This Row],[gender]], "male", "Male", "female", "Female")</f>
        <v>Female</v>
      </c>
    </row>
    <row r="437" spans="1:17" x14ac:dyDescent="0.35">
      <c r="A437">
        <v>17</v>
      </c>
      <c r="B437" t="s">
        <v>13</v>
      </c>
      <c r="C437" s="4">
        <v>4</v>
      </c>
      <c r="D437" t="s">
        <v>20</v>
      </c>
      <c r="E437" s="4">
        <v>4.3</v>
      </c>
      <c r="F437" s="4">
        <v>1.8</v>
      </c>
      <c r="G437">
        <v>2.17</v>
      </c>
      <c r="H437">
        <v>0.9</v>
      </c>
      <c r="I437" t="s">
        <v>18</v>
      </c>
      <c r="J437">
        <v>8</v>
      </c>
      <c r="K437">
        <v>8</v>
      </c>
      <c r="L437">
        <v>3</v>
      </c>
      <c r="M437">
        <v>0</v>
      </c>
      <c r="N437">
        <f>_xlfn.IFS(rounded[[#This Row],[social_interaction_level]] = "low", 1,rounded[[#This Row],[social_interaction_level]] = "medium", 2,rounded[[#This Row],[social_interaction_level]] = "high", 3)</f>
        <v>3</v>
      </c>
      <c r="O437">
        <f t="shared" si="6"/>
        <v>19</v>
      </c>
      <c r="P437" t="str" cm="1">
        <f t="array" ref="P437">_xlfn.SWITCH(rounded[[#This Row],[depression_label]], 0, "Not Depressed", 1, "Depressed")</f>
        <v>Not Depressed</v>
      </c>
      <c r="Q437" s="45" t="str" cm="1">
        <f t="array" ref="Q437">_xlfn.SWITCH(rounded[[#This Row],[gender]], "male", "Male", "female", "Female")</f>
        <v>Male</v>
      </c>
    </row>
    <row r="438" spans="1:17" x14ac:dyDescent="0.35">
      <c r="A438">
        <v>19</v>
      </c>
      <c r="B438" t="s">
        <v>13</v>
      </c>
      <c r="C438" s="4">
        <v>3.5</v>
      </c>
      <c r="D438" t="s">
        <v>17</v>
      </c>
      <c r="E438" s="4">
        <v>5.8</v>
      </c>
      <c r="F438" s="4">
        <v>1.8</v>
      </c>
      <c r="G438">
        <v>3.3</v>
      </c>
      <c r="H438">
        <v>0.9</v>
      </c>
      <c r="I438" t="s">
        <v>15</v>
      </c>
      <c r="J438">
        <v>7</v>
      </c>
      <c r="K438">
        <v>6</v>
      </c>
      <c r="L438">
        <v>9</v>
      </c>
      <c r="M438">
        <v>0</v>
      </c>
      <c r="N438">
        <f>_xlfn.IFS(rounded[[#This Row],[social_interaction_level]] = "low", 1,rounded[[#This Row],[social_interaction_level]] = "medium", 2,rounded[[#This Row],[social_interaction_level]] = "high", 3)</f>
        <v>1</v>
      </c>
      <c r="O438">
        <f t="shared" si="6"/>
        <v>22</v>
      </c>
      <c r="P438" t="str" cm="1">
        <f t="array" ref="P438">_xlfn.SWITCH(rounded[[#This Row],[depression_label]], 0, "Not Depressed", 1, "Depressed")</f>
        <v>Not Depressed</v>
      </c>
      <c r="Q438" s="45" t="str" cm="1">
        <f t="array" ref="Q438">_xlfn.SWITCH(rounded[[#This Row],[gender]], "male", "Male", "female", "Female")</f>
        <v>Male</v>
      </c>
    </row>
    <row r="439" spans="1:17" x14ac:dyDescent="0.35">
      <c r="A439">
        <v>17</v>
      </c>
      <c r="B439" t="s">
        <v>13</v>
      </c>
      <c r="C439" s="4">
        <v>1.3</v>
      </c>
      <c r="D439" t="s">
        <v>20</v>
      </c>
      <c r="E439" s="4">
        <v>8.3000000000000007</v>
      </c>
      <c r="F439" s="4">
        <v>1</v>
      </c>
      <c r="G439">
        <v>3.95</v>
      </c>
      <c r="H439">
        <v>1.2</v>
      </c>
      <c r="I439" t="s">
        <v>19</v>
      </c>
      <c r="J439">
        <v>4</v>
      </c>
      <c r="K439">
        <v>1</v>
      </c>
      <c r="L439">
        <v>1</v>
      </c>
      <c r="M439">
        <v>0</v>
      </c>
      <c r="N439">
        <f>_xlfn.IFS(rounded[[#This Row],[social_interaction_level]] = "low", 1,rounded[[#This Row],[social_interaction_level]] = "medium", 2,rounded[[#This Row],[social_interaction_level]] = "high", 3)</f>
        <v>2</v>
      </c>
      <c r="O439">
        <f t="shared" si="6"/>
        <v>6</v>
      </c>
      <c r="P439" t="str" cm="1">
        <f t="array" ref="P439">_xlfn.SWITCH(rounded[[#This Row],[depression_label]], 0, "Not Depressed", 1, "Depressed")</f>
        <v>Not Depressed</v>
      </c>
      <c r="Q439" s="45" t="str" cm="1">
        <f t="array" ref="Q439">_xlfn.SWITCH(rounded[[#This Row],[gender]], "male", "Male", "female", "Female")</f>
        <v>Male</v>
      </c>
    </row>
    <row r="440" spans="1:17" x14ac:dyDescent="0.35">
      <c r="A440">
        <v>14</v>
      </c>
      <c r="B440" t="s">
        <v>13</v>
      </c>
      <c r="C440" s="4">
        <v>5.6</v>
      </c>
      <c r="D440" t="s">
        <v>14</v>
      </c>
      <c r="E440" s="4">
        <v>8.8000000000000007</v>
      </c>
      <c r="F440" s="4">
        <v>0.9</v>
      </c>
      <c r="G440">
        <v>3.03</v>
      </c>
      <c r="H440">
        <v>2</v>
      </c>
      <c r="I440" t="s">
        <v>15</v>
      </c>
      <c r="J440">
        <v>8</v>
      </c>
      <c r="K440">
        <v>10</v>
      </c>
      <c r="L440">
        <v>3</v>
      </c>
      <c r="M440">
        <v>0</v>
      </c>
      <c r="N440">
        <f>_xlfn.IFS(rounded[[#This Row],[social_interaction_level]] = "low", 1,rounded[[#This Row],[social_interaction_level]] = "medium", 2,rounded[[#This Row],[social_interaction_level]] = "high", 3)</f>
        <v>1</v>
      </c>
      <c r="O440">
        <f t="shared" si="6"/>
        <v>21</v>
      </c>
      <c r="P440" t="str" cm="1">
        <f t="array" ref="P440">_xlfn.SWITCH(rounded[[#This Row],[depression_label]], 0, "Not Depressed", 1, "Depressed")</f>
        <v>Not Depressed</v>
      </c>
      <c r="Q440" s="45" t="str" cm="1">
        <f t="array" ref="Q440">_xlfn.SWITCH(rounded[[#This Row],[gender]], "male", "Male", "female", "Female")</f>
        <v>Male</v>
      </c>
    </row>
    <row r="441" spans="1:17" x14ac:dyDescent="0.35">
      <c r="A441">
        <v>13</v>
      </c>
      <c r="B441" t="s">
        <v>16</v>
      </c>
      <c r="C441" s="4">
        <v>2.4</v>
      </c>
      <c r="D441" t="s">
        <v>14</v>
      </c>
      <c r="E441" s="4">
        <v>5.5</v>
      </c>
      <c r="F441" s="4">
        <v>0.6</v>
      </c>
      <c r="G441">
        <v>3.56</v>
      </c>
      <c r="H441">
        <v>1.6</v>
      </c>
      <c r="I441" t="s">
        <v>19</v>
      </c>
      <c r="J441">
        <v>4</v>
      </c>
      <c r="K441">
        <v>8</v>
      </c>
      <c r="L441">
        <v>7</v>
      </c>
      <c r="M441">
        <v>0</v>
      </c>
      <c r="N441">
        <f>_xlfn.IFS(rounded[[#This Row],[social_interaction_level]] = "low", 1,rounded[[#This Row],[social_interaction_level]] = "medium", 2,rounded[[#This Row],[social_interaction_level]] = "high", 3)</f>
        <v>2</v>
      </c>
      <c r="O441">
        <f t="shared" si="6"/>
        <v>19</v>
      </c>
      <c r="P441" t="str" cm="1">
        <f t="array" ref="P441">_xlfn.SWITCH(rounded[[#This Row],[depression_label]], 0, "Not Depressed", 1, "Depressed")</f>
        <v>Not Depressed</v>
      </c>
      <c r="Q441" s="45" t="str" cm="1">
        <f t="array" ref="Q441">_xlfn.SWITCH(rounded[[#This Row],[gender]], "male", "Male", "female", "Female")</f>
        <v>Female</v>
      </c>
    </row>
    <row r="442" spans="1:17" x14ac:dyDescent="0.35">
      <c r="A442">
        <v>16</v>
      </c>
      <c r="B442" t="s">
        <v>13</v>
      </c>
      <c r="C442" s="4">
        <v>2</v>
      </c>
      <c r="D442" t="s">
        <v>20</v>
      </c>
      <c r="E442" s="4">
        <v>7.8</v>
      </c>
      <c r="F442" s="4">
        <v>2.8</v>
      </c>
      <c r="G442">
        <v>2.1</v>
      </c>
      <c r="H442">
        <v>0.6</v>
      </c>
      <c r="I442" t="s">
        <v>19</v>
      </c>
      <c r="J442">
        <v>2</v>
      </c>
      <c r="K442">
        <v>6</v>
      </c>
      <c r="L442">
        <v>8</v>
      </c>
      <c r="M442">
        <v>0</v>
      </c>
      <c r="N442">
        <f>_xlfn.IFS(rounded[[#This Row],[social_interaction_level]] = "low", 1,rounded[[#This Row],[social_interaction_level]] = "medium", 2,rounded[[#This Row],[social_interaction_level]] = "high", 3)</f>
        <v>2</v>
      </c>
      <c r="O442">
        <f t="shared" si="6"/>
        <v>16</v>
      </c>
      <c r="P442" t="str" cm="1">
        <f t="array" ref="P442">_xlfn.SWITCH(rounded[[#This Row],[depression_label]], 0, "Not Depressed", 1, "Depressed")</f>
        <v>Not Depressed</v>
      </c>
      <c r="Q442" s="45" t="str" cm="1">
        <f t="array" ref="Q442">_xlfn.SWITCH(rounded[[#This Row],[gender]], "male", "Male", "female", "Female")</f>
        <v>Male</v>
      </c>
    </row>
    <row r="443" spans="1:17" x14ac:dyDescent="0.35">
      <c r="A443">
        <v>15</v>
      </c>
      <c r="B443" t="s">
        <v>13</v>
      </c>
      <c r="C443" s="4">
        <v>6.6</v>
      </c>
      <c r="D443" t="s">
        <v>14</v>
      </c>
      <c r="E443" s="4">
        <v>8.6</v>
      </c>
      <c r="F443" s="4">
        <v>1.5</v>
      </c>
      <c r="G443">
        <v>2.63</v>
      </c>
      <c r="H443">
        <v>1.1000000000000001</v>
      </c>
      <c r="I443" t="s">
        <v>15</v>
      </c>
      <c r="J443">
        <v>1</v>
      </c>
      <c r="K443">
        <v>9</v>
      </c>
      <c r="L443">
        <v>9</v>
      </c>
      <c r="M443">
        <v>0</v>
      </c>
      <c r="N443">
        <f>_xlfn.IFS(rounded[[#This Row],[social_interaction_level]] = "low", 1,rounded[[#This Row],[social_interaction_level]] = "medium", 2,rounded[[#This Row],[social_interaction_level]] = "high", 3)</f>
        <v>1</v>
      </c>
      <c r="O443">
        <f t="shared" si="6"/>
        <v>19</v>
      </c>
      <c r="P443" t="str" cm="1">
        <f t="array" ref="P443">_xlfn.SWITCH(rounded[[#This Row],[depression_label]], 0, "Not Depressed", 1, "Depressed")</f>
        <v>Not Depressed</v>
      </c>
      <c r="Q443" s="45" t="str" cm="1">
        <f t="array" ref="Q443">_xlfn.SWITCH(rounded[[#This Row],[gender]], "male", "Male", "female", "Female")</f>
        <v>Male</v>
      </c>
    </row>
    <row r="444" spans="1:17" x14ac:dyDescent="0.35">
      <c r="A444">
        <v>17</v>
      </c>
      <c r="B444" t="s">
        <v>16</v>
      </c>
      <c r="C444" s="4">
        <v>2.2999999999999998</v>
      </c>
      <c r="D444" t="s">
        <v>17</v>
      </c>
      <c r="E444" s="4">
        <v>6.4</v>
      </c>
      <c r="F444" s="4">
        <v>2.4</v>
      </c>
      <c r="G444">
        <v>3.61</v>
      </c>
      <c r="H444">
        <v>0.6</v>
      </c>
      <c r="I444" t="s">
        <v>19</v>
      </c>
      <c r="J444">
        <v>2</v>
      </c>
      <c r="K444">
        <v>1</v>
      </c>
      <c r="L444">
        <v>1</v>
      </c>
      <c r="M444">
        <v>0</v>
      </c>
      <c r="N444">
        <f>_xlfn.IFS(rounded[[#This Row],[social_interaction_level]] = "low", 1,rounded[[#This Row],[social_interaction_level]] = "medium", 2,rounded[[#This Row],[social_interaction_level]] = "high", 3)</f>
        <v>2</v>
      </c>
      <c r="O444">
        <f t="shared" si="6"/>
        <v>4</v>
      </c>
      <c r="P444" t="str" cm="1">
        <f t="array" ref="P444">_xlfn.SWITCH(rounded[[#This Row],[depression_label]], 0, "Not Depressed", 1, "Depressed")</f>
        <v>Not Depressed</v>
      </c>
      <c r="Q444" s="45" t="str" cm="1">
        <f t="array" ref="Q444">_xlfn.SWITCH(rounded[[#This Row],[gender]], "male", "Male", "female", "Female")</f>
        <v>Female</v>
      </c>
    </row>
    <row r="445" spans="1:17" x14ac:dyDescent="0.35">
      <c r="A445">
        <v>16</v>
      </c>
      <c r="B445" t="s">
        <v>13</v>
      </c>
      <c r="C445" s="4">
        <v>6.4</v>
      </c>
      <c r="D445" t="s">
        <v>17</v>
      </c>
      <c r="E445" s="4">
        <v>5.4</v>
      </c>
      <c r="F445" s="4">
        <v>1.4</v>
      </c>
      <c r="G445">
        <v>2.42</v>
      </c>
      <c r="H445">
        <v>1.9</v>
      </c>
      <c r="I445" t="s">
        <v>19</v>
      </c>
      <c r="J445">
        <v>4</v>
      </c>
      <c r="K445">
        <v>9</v>
      </c>
      <c r="L445">
        <v>5</v>
      </c>
      <c r="M445">
        <v>0</v>
      </c>
      <c r="N445">
        <f>_xlfn.IFS(rounded[[#This Row],[social_interaction_level]] = "low", 1,rounded[[#This Row],[social_interaction_level]] = "medium", 2,rounded[[#This Row],[social_interaction_level]] = "high", 3)</f>
        <v>2</v>
      </c>
      <c r="O445">
        <f t="shared" si="6"/>
        <v>18</v>
      </c>
      <c r="P445" t="str" cm="1">
        <f t="array" ref="P445">_xlfn.SWITCH(rounded[[#This Row],[depression_label]], 0, "Not Depressed", 1, "Depressed")</f>
        <v>Not Depressed</v>
      </c>
      <c r="Q445" s="45" t="str" cm="1">
        <f t="array" ref="Q445">_xlfn.SWITCH(rounded[[#This Row],[gender]], "male", "Male", "female", "Female")</f>
        <v>Male</v>
      </c>
    </row>
    <row r="446" spans="1:17" x14ac:dyDescent="0.35">
      <c r="A446">
        <v>18</v>
      </c>
      <c r="B446" t="s">
        <v>16</v>
      </c>
      <c r="C446" s="4">
        <v>3.5</v>
      </c>
      <c r="D446" t="s">
        <v>20</v>
      </c>
      <c r="E446" s="4">
        <v>5.9</v>
      </c>
      <c r="F446" s="4">
        <v>1.3</v>
      </c>
      <c r="G446">
        <v>3.68</v>
      </c>
      <c r="H446">
        <v>2</v>
      </c>
      <c r="I446" t="s">
        <v>19</v>
      </c>
      <c r="J446">
        <v>7</v>
      </c>
      <c r="K446">
        <v>4</v>
      </c>
      <c r="L446">
        <v>10</v>
      </c>
      <c r="M446">
        <v>0</v>
      </c>
      <c r="N446">
        <f>_xlfn.IFS(rounded[[#This Row],[social_interaction_level]] = "low", 1,rounded[[#This Row],[social_interaction_level]] = "medium", 2,rounded[[#This Row],[social_interaction_level]] = "high", 3)</f>
        <v>2</v>
      </c>
      <c r="O446">
        <f t="shared" si="6"/>
        <v>21</v>
      </c>
      <c r="P446" t="str" cm="1">
        <f t="array" ref="P446">_xlfn.SWITCH(rounded[[#This Row],[depression_label]], 0, "Not Depressed", 1, "Depressed")</f>
        <v>Not Depressed</v>
      </c>
      <c r="Q446" s="45" t="str" cm="1">
        <f t="array" ref="Q446">_xlfn.SWITCH(rounded[[#This Row],[gender]], "male", "Male", "female", "Female")</f>
        <v>Female</v>
      </c>
    </row>
    <row r="447" spans="1:17" x14ac:dyDescent="0.35">
      <c r="A447">
        <v>18</v>
      </c>
      <c r="B447" t="s">
        <v>16</v>
      </c>
      <c r="C447" s="4">
        <v>1.7</v>
      </c>
      <c r="D447" t="s">
        <v>14</v>
      </c>
      <c r="E447" s="4">
        <v>8.5</v>
      </c>
      <c r="F447" s="4">
        <v>1</v>
      </c>
      <c r="G447">
        <v>3.32</v>
      </c>
      <c r="H447">
        <v>1.3</v>
      </c>
      <c r="I447" t="s">
        <v>19</v>
      </c>
      <c r="J447">
        <v>1</v>
      </c>
      <c r="K447">
        <v>1</v>
      </c>
      <c r="L447">
        <v>7</v>
      </c>
      <c r="M447">
        <v>0</v>
      </c>
      <c r="N447">
        <f>_xlfn.IFS(rounded[[#This Row],[social_interaction_level]] = "low", 1,rounded[[#This Row],[social_interaction_level]] = "medium", 2,rounded[[#This Row],[social_interaction_level]] = "high", 3)</f>
        <v>2</v>
      </c>
      <c r="O447">
        <f t="shared" si="6"/>
        <v>9</v>
      </c>
      <c r="P447" t="str" cm="1">
        <f t="array" ref="P447">_xlfn.SWITCH(rounded[[#This Row],[depression_label]], 0, "Not Depressed", 1, "Depressed")</f>
        <v>Not Depressed</v>
      </c>
      <c r="Q447" s="45" t="str" cm="1">
        <f t="array" ref="Q447">_xlfn.SWITCH(rounded[[#This Row],[gender]], "male", "Male", "female", "Female")</f>
        <v>Female</v>
      </c>
    </row>
    <row r="448" spans="1:17" x14ac:dyDescent="0.35">
      <c r="A448">
        <v>14</v>
      </c>
      <c r="B448" t="s">
        <v>13</v>
      </c>
      <c r="C448" s="4">
        <v>4.0999999999999996</v>
      </c>
      <c r="D448" t="s">
        <v>14</v>
      </c>
      <c r="E448" s="4">
        <v>8.1999999999999993</v>
      </c>
      <c r="F448" s="4">
        <v>1.7</v>
      </c>
      <c r="G448">
        <v>2.3199999999999998</v>
      </c>
      <c r="H448">
        <v>1.4</v>
      </c>
      <c r="I448" t="s">
        <v>18</v>
      </c>
      <c r="J448">
        <v>9</v>
      </c>
      <c r="K448">
        <v>2</v>
      </c>
      <c r="L448">
        <v>4</v>
      </c>
      <c r="M448">
        <v>0</v>
      </c>
      <c r="N448">
        <f>_xlfn.IFS(rounded[[#This Row],[social_interaction_level]] = "low", 1,rounded[[#This Row],[social_interaction_level]] = "medium", 2,rounded[[#This Row],[social_interaction_level]] = "high", 3)</f>
        <v>3</v>
      </c>
      <c r="O448">
        <f t="shared" si="6"/>
        <v>15</v>
      </c>
      <c r="P448" t="str" cm="1">
        <f t="array" ref="P448">_xlfn.SWITCH(rounded[[#This Row],[depression_label]], 0, "Not Depressed", 1, "Depressed")</f>
        <v>Not Depressed</v>
      </c>
      <c r="Q448" s="45" t="str" cm="1">
        <f t="array" ref="Q448">_xlfn.SWITCH(rounded[[#This Row],[gender]], "male", "Male", "female", "Female")</f>
        <v>Male</v>
      </c>
    </row>
    <row r="449" spans="1:17" x14ac:dyDescent="0.35">
      <c r="A449">
        <v>14</v>
      </c>
      <c r="B449" t="s">
        <v>13</v>
      </c>
      <c r="C449" s="4">
        <v>3.3</v>
      </c>
      <c r="D449" t="s">
        <v>14</v>
      </c>
      <c r="E449" s="4">
        <v>6.5</v>
      </c>
      <c r="F449" s="4">
        <v>0.8</v>
      </c>
      <c r="G449">
        <v>2.54</v>
      </c>
      <c r="H449">
        <v>0.8</v>
      </c>
      <c r="I449" t="s">
        <v>15</v>
      </c>
      <c r="J449">
        <v>1</v>
      </c>
      <c r="K449">
        <v>2</v>
      </c>
      <c r="L449">
        <v>3</v>
      </c>
      <c r="M449">
        <v>0</v>
      </c>
      <c r="N449">
        <f>_xlfn.IFS(rounded[[#This Row],[social_interaction_level]] = "low", 1,rounded[[#This Row],[social_interaction_level]] = "medium", 2,rounded[[#This Row],[social_interaction_level]] = "high", 3)</f>
        <v>1</v>
      </c>
      <c r="O449">
        <f t="shared" si="6"/>
        <v>6</v>
      </c>
      <c r="P449" t="str" cm="1">
        <f t="array" ref="P449">_xlfn.SWITCH(rounded[[#This Row],[depression_label]], 0, "Not Depressed", 1, "Depressed")</f>
        <v>Not Depressed</v>
      </c>
      <c r="Q449" s="45" t="str" cm="1">
        <f t="array" ref="Q449">_xlfn.SWITCH(rounded[[#This Row],[gender]], "male", "Male", "female", "Female")</f>
        <v>Male</v>
      </c>
    </row>
    <row r="450" spans="1:17" x14ac:dyDescent="0.35">
      <c r="A450">
        <v>14</v>
      </c>
      <c r="B450" t="s">
        <v>16</v>
      </c>
      <c r="C450" s="4">
        <v>5</v>
      </c>
      <c r="D450" t="s">
        <v>17</v>
      </c>
      <c r="E450" s="4">
        <v>4.9000000000000004</v>
      </c>
      <c r="F450" s="4">
        <v>2.6</v>
      </c>
      <c r="G450">
        <v>3.82</v>
      </c>
      <c r="H450">
        <v>1.9</v>
      </c>
      <c r="I450" t="s">
        <v>19</v>
      </c>
      <c r="J450">
        <v>3</v>
      </c>
      <c r="K450">
        <v>10</v>
      </c>
      <c r="L450">
        <v>10</v>
      </c>
      <c r="M450">
        <v>0</v>
      </c>
      <c r="N450">
        <f>_xlfn.IFS(rounded[[#This Row],[social_interaction_level]] = "low", 1,rounded[[#This Row],[social_interaction_level]] = "medium", 2,rounded[[#This Row],[social_interaction_level]] = "high", 3)</f>
        <v>2</v>
      </c>
      <c r="O450">
        <f t="shared" ref="O450:O513" si="7">SUM(J450+K450+L450)</f>
        <v>23</v>
      </c>
      <c r="P450" t="str" cm="1">
        <f t="array" ref="P450">_xlfn.SWITCH(rounded[[#This Row],[depression_label]], 0, "Not Depressed", 1, "Depressed")</f>
        <v>Not Depressed</v>
      </c>
      <c r="Q450" s="45" t="str" cm="1">
        <f t="array" ref="Q450">_xlfn.SWITCH(rounded[[#This Row],[gender]], "male", "Male", "female", "Female")</f>
        <v>Female</v>
      </c>
    </row>
    <row r="451" spans="1:17" x14ac:dyDescent="0.35">
      <c r="A451">
        <v>19</v>
      </c>
      <c r="B451" t="s">
        <v>16</v>
      </c>
      <c r="C451" s="4">
        <v>1.5</v>
      </c>
      <c r="D451" t="s">
        <v>14</v>
      </c>
      <c r="E451" s="4">
        <v>8.4</v>
      </c>
      <c r="F451" s="4">
        <v>3</v>
      </c>
      <c r="G451">
        <v>2.46</v>
      </c>
      <c r="H451">
        <v>1.5</v>
      </c>
      <c r="I451" t="s">
        <v>18</v>
      </c>
      <c r="J451">
        <v>1</v>
      </c>
      <c r="K451">
        <v>7</v>
      </c>
      <c r="L451">
        <v>6</v>
      </c>
      <c r="M451">
        <v>0</v>
      </c>
      <c r="N451">
        <f>_xlfn.IFS(rounded[[#This Row],[social_interaction_level]] = "low", 1,rounded[[#This Row],[social_interaction_level]] = "medium", 2,rounded[[#This Row],[social_interaction_level]] = "high", 3)</f>
        <v>3</v>
      </c>
      <c r="O451">
        <f t="shared" si="7"/>
        <v>14</v>
      </c>
      <c r="P451" t="str" cm="1">
        <f t="array" ref="P451">_xlfn.SWITCH(rounded[[#This Row],[depression_label]], 0, "Not Depressed", 1, "Depressed")</f>
        <v>Not Depressed</v>
      </c>
      <c r="Q451" s="45" t="str" cm="1">
        <f t="array" ref="Q451">_xlfn.SWITCH(rounded[[#This Row],[gender]], "male", "Male", "female", "Female")</f>
        <v>Female</v>
      </c>
    </row>
    <row r="452" spans="1:17" x14ac:dyDescent="0.35">
      <c r="A452">
        <v>17</v>
      </c>
      <c r="B452" t="s">
        <v>16</v>
      </c>
      <c r="C452" s="4">
        <v>3.3</v>
      </c>
      <c r="D452" t="s">
        <v>17</v>
      </c>
      <c r="E452" s="4">
        <v>8.4</v>
      </c>
      <c r="F452" s="4">
        <v>2.1</v>
      </c>
      <c r="G452">
        <v>3.4</v>
      </c>
      <c r="H452">
        <v>0.2</v>
      </c>
      <c r="I452" t="s">
        <v>18</v>
      </c>
      <c r="J452">
        <v>1</v>
      </c>
      <c r="K452">
        <v>3</v>
      </c>
      <c r="L452">
        <v>10</v>
      </c>
      <c r="M452">
        <v>0</v>
      </c>
      <c r="N452">
        <f>_xlfn.IFS(rounded[[#This Row],[social_interaction_level]] = "low", 1,rounded[[#This Row],[social_interaction_level]] = "medium", 2,rounded[[#This Row],[social_interaction_level]] = "high", 3)</f>
        <v>3</v>
      </c>
      <c r="O452">
        <f t="shared" si="7"/>
        <v>14</v>
      </c>
      <c r="P452" t="str" cm="1">
        <f t="array" ref="P452">_xlfn.SWITCH(rounded[[#This Row],[depression_label]], 0, "Not Depressed", 1, "Depressed")</f>
        <v>Not Depressed</v>
      </c>
      <c r="Q452" s="45" t="str" cm="1">
        <f t="array" ref="Q452">_xlfn.SWITCH(rounded[[#This Row],[gender]], "male", "Male", "female", "Female")</f>
        <v>Female</v>
      </c>
    </row>
    <row r="453" spans="1:17" x14ac:dyDescent="0.35">
      <c r="A453">
        <v>13</v>
      </c>
      <c r="B453" t="s">
        <v>13</v>
      </c>
      <c r="C453" s="4">
        <v>6.4</v>
      </c>
      <c r="D453" t="s">
        <v>20</v>
      </c>
      <c r="E453" s="4">
        <v>4.0999999999999996</v>
      </c>
      <c r="F453" s="4">
        <v>1.3</v>
      </c>
      <c r="G453">
        <v>2.77</v>
      </c>
      <c r="H453">
        <v>1.3</v>
      </c>
      <c r="I453" t="s">
        <v>15</v>
      </c>
      <c r="J453">
        <v>10</v>
      </c>
      <c r="K453">
        <v>6</v>
      </c>
      <c r="L453">
        <v>1</v>
      </c>
      <c r="M453">
        <v>0</v>
      </c>
      <c r="N453">
        <f>_xlfn.IFS(rounded[[#This Row],[social_interaction_level]] = "low", 1,rounded[[#This Row],[social_interaction_level]] = "medium", 2,rounded[[#This Row],[social_interaction_level]] = "high", 3)</f>
        <v>1</v>
      </c>
      <c r="O453">
        <f t="shared" si="7"/>
        <v>17</v>
      </c>
      <c r="P453" t="str" cm="1">
        <f t="array" ref="P453">_xlfn.SWITCH(rounded[[#This Row],[depression_label]], 0, "Not Depressed", 1, "Depressed")</f>
        <v>Not Depressed</v>
      </c>
      <c r="Q453" s="45" t="str" cm="1">
        <f t="array" ref="Q453">_xlfn.SWITCH(rounded[[#This Row],[gender]], "male", "Male", "female", "Female")</f>
        <v>Male</v>
      </c>
    </row>
    <row r="454" spans="1:17" x14ac:dyDescent="0.35">
      <c r="A454">
        <v>17</v>
      </c>
      <c r="B454" t="s">
        <v>16</v>
      </c>
      <c r="C454" s="4">
        <v>8</v>
      </c>
      <c r="D454" t="s">
        <v>14</v>
      </c>
      <c r="E454" s="4">
        <v>8.1</v>
      </c>
      <c r="F454" s="4">
        <v>1.2</v>
      </c>
      <c r="G454">
        <v>2.13</v>
      </c>
      <c r="H454">
        <v>1</v>
      </c>
      <c r="I454" t="s">
        <v>15</v>
      </c>
      <c r="J454">
        <v>1</v>
      </c>
      <c r="K454">
        <v>8</v>
      </c>
      <c r="L454">
        <v>7</v>
      </c>
      <c r="M454">
        <v>0</v>
      </c>
      <c r="N454">
        <f>_xlfn.IFS(rounded[[#This Row],[social_interaction_level]] = "low", 1,rounded[[#This Row],[social_interaction_level]] = "medium", 2,rounded[[#This Row],[social_interaction_level]] = "high", 3)</f>
        <v>1</v>
      </c>
      <c r="O454">
        <f t="shared" si="7"/>
        <v>16</v>
      </c>
      <c r="P454" t="str" cm="1">
        <f t="array" ref="P454">_xlfn.SWITCH(rounded[[#This Row],[depression_label]], 0, "Not Depressed", 1, "Depressed")</f>
        <v>Not Depressed</v>
      </c>
      <c r="Q454" s="45" t="str" cm="1">
        <f t="array" ref="Q454">_xlfn.SWITCH(rounded[[#This Row],[gender]], "male", "Male", "female", "Female")</f>
        <v>Female</v>
      </c>
    </row>
    <row r="455" spans="1:17" x14ac:dyDescent="0.35">
      <c r="A455">
        <v>16</v>
      </c>
      <c r="B455" t="s">
        <v>16</v>
      </c>
      <c r="C455" s="4">
        <v>1</v>
      </c>
      <c r="D455" t="s">
        <v>20</v>
      </c>
      <c r="E455" s="4">
        <v>4.0999999999999996</v>
      </c>
      <c r="F455" s="4">
        <v>1.3</v>
      </c>
      <c r="G455">
        <v>2.2200000000000002</v>
      </c>
      <c r="H455">
        <v>0.4</v>
      </c>
      <c r="I455" t="s">
        <v>15</v>
      </c>
      <c r="J455">
        <v>2</v>
      </c>
      <c r="K455">
        <v>1</v>
      </c>
      <c r="L455">
        <v>8</v>
      </c>
      <c r="M455">
        <v>0</v>
      </c>
      <c r="N455">
        <f>_xlfn.IFS(rounded[[#This Row],[social_interaction_level]] = "low", 1,rounded[[#This Row],[social_interaction_level]] = "medium", 2,rounded[[#This Row],[social_interaction_level]] = "high", 3)</f>
        <v>1</v>
      </c>
      <c r="O455">
        <f t="shared" si="7"/>
        <v>11</v>
      </c>
      <c r="P455" t="str" cm="1">
        <f t="array" ref="P455">_xlfn.SWITCH(rounded[[#This Row],[depression_label]], 0, "Not Depressed", 1, "Depressed")</f>
        <v>Not Depressed</v>
      </c>
      <c r="Q455" s="45" t="str" cm="1">
        <f t="array" ref="Q455">_xlfn.SWITCH(rounded[[#This Row],[gender]], "male", "Male", "female", "Female")</f>
        <v>Female</v>
      </c>
    </row>
    <row r="456" spans="1:17" x14ac:dyDescent="0.35">
      <c r="A456">
        <v>18</v>
      </c>
      <c r="B456" t="s">
        <v>16</v>
      </c>
      <c r="C456" s="4">
        <v>4.2</v>
      </c>
      <c r="D456" t="s">
        <v>14</v>
      </c>
      <c r="E456" s="4">
        <v>5.4</v>
      </c>
      <c r="F456" s="4">
        <v>1.1000000000000001</v>
      </c>
      <c r="G456">
        <v>2.31</v>
      </c>
      <c r="H456">
        <v>0.3</v>
      </c>
      <c r="I456" t="s">
        <v>15</v>
      </c>
      <c r="J456">
        <v>4</v>
      </c>
      <c r="K456">
        <v>9</v>
      </c>
      <c r="L456">
        <v>1</v>
      </c>
      <c r="M456">
        <v>0</v>
      </c>
      <c r="N456">
        <f>_xlfn.IFS(rounded[[#This Row],[social_interaction_level]] = "low", 1,rounded[[#This Row],[social_interaction_level]] = "medium", 2,rounded[[#This Row],[social_interaction_level]] = "high", 3)</f>
        <v>1</v>
      </c>
      <c r="O456">
        <f t="shared" si="7"/>
        <v>14</v>
      </c>
      <c r="P456" t="str" cm="1">
        <f t="array" ref="P456">_xlfn.SWITCH(rounded[[#This Row],[depression_label]], 0, "Not Depressed", 1, "Depressed")</f>
        <v>Not Depressed</v>
      </c>
      <c r="Q456" s="45" t="str" cm="1">
        <f t="array" ref="Q456">_xlfn.SWITCH(rounded[[#This Row],[gender]], "male", "Male", "female", "Female")</f>
        <v>Female</v>
      </c>
    </row>
    <row r="457" spans="1:17" x14ac:dyDescent="0.35">
      <c r="A457">
        <v>18</v>
      </c>
      <c r="B457" t="s">
        <v>16</v>
      </c>
      <c r="C457" s="4">
        <v>4.5999999999999996</v>
      </c>
      <c r="D457" t="s">
        <v>17</v>
      </c>
      <c r="E457" s="4">
        <v>7.3</v>
      </c>
      <c r="F457" s="4">
        <v>2.8</v>
      </c>
      <c r="G457">
        <v>3.22</v>
      </c>
      <c r="H457">
        <v>0.6</v>
      </c>
      <c r="I457" t="s">
        <v>18</v>
      </c>
      <c r="J457">
        <v>1</v>
      </c>
      <c r="K457">
        <v>3</v>
      </c>
      <c r="L457">
        <v>6</v>
      </c>
      <c r="M457">
        <v>0</v>
      </c>
      <c r="N457">
        <f>_xlfn.IFS(rounded[[#This Row],[social_interaction_level]] = "low", 1,rounded[[#This Row],[social_interaction_level]] = "medium", 2,rounded[[#This Row],[social_interaction_level]] = "high", 3)</f>
        <v>3</v>
      </c>
      <c r="O457">
        <f t="shared" si="7"/>
        <v>10</v>
      </c>
      <c r="P457" t="str" cm="1">
        <f t="array" ref="P457">_xlfn.SWITCH(rounded[[#This Row],[depression_label]], 0, "Not Depressed", 1, "Depressed")</f>
        <v>Not Depressed</v>
      </c>
      <c r="Q457" s="45" t="str" cm="1">
        <f t="array" ref="Q457">_xlfn.SWITCH(rounded[[#This Row],[gender]], "male", "Male", "female", "Female")</f>
        <v>Female</v>
      </c>
    </row>
    <row r="458" spans="1:17" x14ac:dyDescent="0.35">
      <c r="A458">
        <v>17</v>
      </c>
      <c r="B458" t="s">
        <v>16</v>
      </c>
      <c r="C458" s="4">
        <v>2.8</v>
      </c>
      <c r="D458" t="s">
        <v>20</v>
      </c>
      <c r="E458" s="4">
        <v>6.2</v>
      </c>
      <c r="F458" s="4">
        <v>2.4</v>
      </c>
      <c r="G458">
        <v>2.58</v>
      </c>
      <c r="H458">
        <v>0.4</v>
      </c>
      <c r="I458" t="s">
        <v>18</v>
      </c>
      <c r="J458">
        <v>4</v>
      </c>
      <c r="K458">
        <v>10</v>
      </c>
      <c r="L458">
        <v>9</v>
      </c>
      <c r="M458">
        <v>0</v>
      </c>
      <c r="N458">
        <f>_xlfn.IFS(rounded[[#This Row],[social_interaction_level]] = "low", 1,rounded[[#This Row],[social_interaction_level]] = "medium", 2,rounded[[#This Row],[social_interaction_level]] = "high", 3)</f>
        <v>3</v>
      </c>
      <c r="O458">
        <f t="shared" si="7"/>
        <v>23</v>
      </c>
      <c r="P458" t="str" cm="1">
        <f t="array" ref="P458">_xlfn.SWITCH(rounded[[#This Row],[depression_label]], 0, "Not Depressed", 1, "Depressed")</f>
        <v>Not Depressed</v>
      </c>
      <c r="Q458" s="45" t="str" cm="1">
        <f t="array" ref="Q458">_xlfn.SWITCH(rounded[[#This Row],[gender]], "male", "Male", "female", "Female")</f>
        <v>Female</v>
      </c>
    </row>
    <row r="459" spans="1:17" x14ac:dyDescent="0.35">
      <c r="A459">
        <v>16</v>
      </c>
      <c r="B459" t="s">
        <v>16</v>
      </c>
      <c r="C459" s="4">
        <v>6.3</v>
      </c>
      <c r="D459" t="s">
        <v>14</v>
      </c>
      <c r="E459" s="4">
        <v>6.9</v>
      </c>
      <c r="F459" s="4">
        <v>1.3</v>
      </c>
      <c r="G459">
        <v>2.15</v>
      </c>
      <c r="H459">
        <v>1.4</v>
      </c>
      <c r="I459" t="s">
        <v>15</v>
      </c>
      <c r="J459">
        <v>9</v>
      </c>
      <c r="K459">
        <v>2</v>
      </c>
      <c r="L459">
        <v>10</v>
      </c>
      <c r="M459">
        <v>0</v>
      </c>
      <c r="N459">
        <f>_xlfn.IFS(rounded[[#This Row],[social_interaction_level]] = "low", 1,rounded[[#This Row],[social_interaction_level]] = "medium", 2,rounded[[#This Row],[social_interaction_level]] = "high", 3)</f>
        <v>1</v>
      </c>
      <c r="O459">
        <f t="shared" si="7"/>
        <v>21</v>
      </c>
      <c r="P459" t="str" cm="1">
        <f t="array" ref="P459">_xlfn.SWITCH(rounded[[#This Row],[depression_label]], 0, "Not Depressed", 1, "Depressed")</f>
        <v>Not Depressed</v>
      </c>
      <c r="Q459" s="45" t="str" cm="1">
        <f t="array" ref="Q459">_xlfn.SWITCH(rounded[[#This Row],[gender]], "male", "Male", "female", "Female")</f>
        <v>Female</v>
      </c>
    </row>
    <row r="460" spans="1:17" x14ac:dyDescent="0.35">
      <c r="A460">
        <v>17</v>
      </c>
      <c r="B460" t="s">
        <v>16</v>
      </c>
      <c r="C460" s="4">
        <v>7.2</v>
      </c>
      <c r="D460" t="s">
        <v>17</v>
      </c>
      <c r="E460" s="4">
        <v>7</v>
      </c>
      <c r="F460" s="4">
        <v>1.3</v>
      </c>
      <c r="G460">
        <v>3.86</v>
      </c>
      <c r="H460">
        <v>0.9</v>
      </c>
      <c r="I460" t="s">
        <v>15</v>
      </c>
      <c r="J460">
        <v>7</v>
      </c>
      <c r="K460">
        <v>8</v>
      </c>
      <c r="L460">
        <v>4</v>
      </c>
      <c r="M460">
        <v>0</v>
      </c>
      <c r="N460">
        <f>_xlfn.IFS(rounded[[#This Row],[social_interaction_level]] = "low", 1,rounded[[#This Row],[social_interaction_level]] = "medium", 2,rounded[[#This Row],[social_interaction_level]] = "high", 3)</f>
        <v>1</v>
      </c>
      <c r="O460">
        <f t="shared" si="7"/>
        <v>19</v>
      </c>
      <c r="P460" t="str" cm="1">
        <f t="array" ref="P460">_xlfn.SWITCH(rounded[[#This Row],[depression_label]], 0, "Not Depressed", 1, "Depressed")</f>
        <v>Not Depressed</v>
      </c>
      <c r="Q460" s="45" t="str" cm="1">
        <f t="array" ref="Q460">_xlfn.SWITCH(rounded[[#This Row],[gender]], "male", "Male", "female", "Female")</f>
        <v>Female</v>
      </c>
    </row>
    <row r="461" spans="1:17" x14ac:dyDescent="0.35">
      <c r="A461">
        <v>13</v>
      </c>
      <c r="B461" t="s">
        <v>13</v>
      </c>
      <c r="C461" s="4">
        <v>4.5</v>
      </c>
      <c r="D461" t="s">
        <v>20</v>
      </c>
      <c r="E461" s="4">
        <v>6.7</v>
      </c>
      <c r="F461" s="4">
        <v>2.2000000000000002</v>
      </c>
      <c r="G461">
        <v>3.73</v>
      </c>
      <c r="H461">
        <v>0.3</v>
      </c>
      <c r="I461" t="s">
        <v>15</v>
      </c>
      <c r="J461">
        <v>3</v>
      </c>
      <c r="K461">
        <v>5</v>
      </c>
      <c r="L461">
        <v>10</v>
      </c>
      <c r="M461">
        <v>0</v>
      </c>
      <c r="N461">
        <f>_xlfn.IFS(rounded[[#This Row],[social_interaction_level]] = "low", 1,rounded[[#This Row],[social_interaction_level]] = "medium", 2,rounded[[#This Row],[social_interaction_level]] = "high", 3)</f>
        <v>1</v>
      </c>
      <c r="O461">
        <f t="shared" si="7"/>
        <v>18</v>
      </c>
      <c r="P461" t="str" cm="1">
        <f t="array" ref="P461">_xlfn.SWITCH(rounded[[#This Row],[depression_label]], 0, "Not Depressed", 1, "Depressed")</f>
        <v>Not Depressed</v>
      </c>
      <c r="Q461" s="45" t="str" cm="1">
        <f t="array" ref="Q461">_xlfn.SWITCH(rounded[[#This Row],[gender]], "male", "Male", "female", "Female")</f>
        <v>Male</v>
      </c>
    </row>
    <row r="462" spans="1:17" x14ac:dyDescent="0.35">
      <c r="A462">
        <v>18</v>
      </c>
      <c r="B462" t="s">
        <v>13</v>
      </c>
      <c r="C462" s="4">
        <v>5.3</v>
      </c>
      <c r="D462" t="s">
        <v>20</v>
      </c>
      <c r="E462" s="4">
        <v>5.0999999999999996</v>
      </c>
      <c r="F462" s="4">
        <v>1.2</v>
      </c>
      <c r="G462">
        <v>3.32</v>
      </c>
      <c r="H462">
        <v>1.8</v>
      </c>
      <c r="I462" t="s">
        <v>15</v>
      </c>
      <c r="J462">
        <v>7</v>
      </c>
      <c r="K462">
        <v>3</v>
      </c>
      <c r="L462">
        <v>8</v>
      </c>
      <c r="M462">
        <v>0</v>
      </c>
      <c r="N462">
        <f>_xlfn.IFS(rounded[[#This Row],[social_interaction_level]] = "low", 1,rounded[[#This Row],[social_interaction_level]] = "medium", 2,rounded[[#This Row],[social_interaction_level]] = "high", 3)</f>
        <v>1</v>
      </c>
      <c r="O462">
        <f t="shared" si="7"/>
        <v>18</v>
      </c>
      <c r="P462" t="str" cm="1">
        <f t="array" ref="P462">_xlfn.SWITCH(rounded[[#This Row],[depression_label]], 0, "Not Depressed", 1, "Depressed")</f>
        <v>Not Depressed</v>
      </c>
      <c r="Q462" s="45" t="str" cm="1">
        <f t="array" ref="Q462">_xlfn.SWITCH(rounded[[#This Row],[gender]], "male", "Male", "female", "Female")</f>
        <v>Male</v>
      </c>
    </row>
    <row r="463" spans="1:17" x14ac:dyDescent="0.35">
      <c r="A463">
        <v>13</v>
      </c>
      <c r="B463" t="s">
        <v>13</v>
      </c>
      <c r="C463" s="4">
        <v>5.2</v>
      </c>
      <c r="D463" t="s">
        <v>17</v>
      </c>
      <c r="E463" s="4">
        <v>6.7</v>
      </c>
      <c r="F463" s="4">
        <v>2.5</v>
      </c>
      <c r="G463">
        <v>3.82</v>
      </c>
      <c r="H463">
        <v>0.9</v>
      </c>
      <c r="I463" t="s">
        <v>19</v>
      </c>
      <c r="J463">
        <v>8</v>
      </c>
      <c r="K463">
        <v>8</v>
      </c>
      <c r="L463">
        <v>6</v>
      </c>
      <c r="M463">
        <v>0</v>
      </c>
      <c r="N463">
        <f>_xlfn.IFS(rounded[[#This Row],[social_interaction_level]] = "low", 1,rounded[[#This Row],[social_interaction_level]] = "medium", 2,rounded[[#This Row],[social_interaction_level]] = "high", 3)</f>
        <v>2</v>
      </c>
      <c r="O463">
        <f t="shared" si="7"/>
        <v>22</v>
      </c>
      <c r="P463" t="str" cm="1">
        <f t="array" ref="P463">_xlfn.SWITCH(rounded[[#This Row],[depression_label]], 0, "Not Depressed", 1, "Depressed")</f>
        <v>Not Depressed</v>
      </c>
      <c r="Q463" s="45" t="str" cm="1">
        <f t="array" ref="Q463">_xlfn.SWITCH(rounded[[#This Row],[gender]], "male", "Male", "female", "Female")</f>
        <v>Male</v>
      </c>
    </row>
    <row r="464" spans="1:17" x14ac:dyDescent="0.35">
      <c r="A464">
        <v>13</v>
      </c>
      <c r="B464" t="s">
        <v>13</v>
      </c>
      <c r="C464" s="4">
        <v>7.9</v>
      </c>
      <c r="D464" t="s">
        <v>17</v>
      </c>
      <c r="E464" s="4">
        <v>6</v>
      </c>
      <c r="F464" s="4">
        <v>2.7</v>
      </c>
      <c r="G464">
        <v>2.85</v>
      </c>
      <c r="H464">
        <v>0.3</v>
      </c>
      <c r="I464" t="s">
        <v>15</v>
      </c>
      <c r="J464">
        <v>9</v>
      </c>
      <c r="K464">
        <v>10</v>
      </c>
      <c r="L464">
        <v>3</v>
      </c>
      <c r="M464">
        <v>0</v>
      </c>
      <c r="N464">
        <f>_xlfn.IFS(rounded[[#This Row],[social_interaction_level]] = "low", 1,rounded[[#This Row],[social_interaction_level]] = "medium", 2,rounded[[#This Row],[social_interaction_level]] = "high", 3)</f>
        <v>1</v>
      </c>
      <c r="O464">
        <f t="shared" si="7"/>
        <v>22</v>
      </c>
      <c r="P464" t="str" cm="1">
        <f t="array" ref="P464">_xlfn.SWITCH(rounded[[#This Row],[depression_label]], 0, "Not Depressed", 1, "Depressed")</f>
        <v>Not Depressed</v>
      </c>
      <c r="Q464" s="45" t="str" cm="1">
        <f t="array" ref="Q464">_xlfn.SWITCH(rounded[[#This Row],[gender]], "male", "Male", "female", "Female")</f>
        <v>Male</v>
      </c>
    </row>
    <row r="465" spans="1:17" x14ac:dyDescent="0.35">
      <c r="A465">
        <v>19</v>
      </c>
      <c r="B465" t="s">
        <v>13</v>
      </c>
      <c r="C465" s="4">
        <v>6.9</v>
      </c>
      <c r="D465" t="s">
        <v>17</v>
      </c>
      <c r="E465" s="4">
        <v>8.5</v>
      </c>
      <c r="F465" s="4">
        <v>1.5</v>
      </c>
      <c r="G465">
        <v>3.55</v>
      </c>
      <c r="H465">
        <v>1.3</v>
      </c>
      <c r="I465" t="s">
        <v>15</v>
      </c>
      <c r="J465">
        <v>5</v>
      </c>
      <c r="K465">
        <v>6</v>
      </c>
      <c r="L465">
        <v>1</v>
      </c>
      <c r="M465">
        <v>0</v>
      </c>
      <c r="N465">
        <f>_xlfn.IFS(rounded[[#This Row],[social_interaction_level]] = "low", 1,rounded[[#This Row],[social_interaction_level]] = "medium", 2,rounded[[#This Row],[social_interaction_level]] = "high", 3)</f>
        <v>1</v>
      </c>
      <c r="O465">
        <f t="shared" si="7"/>
        <v>12</v>
      </c>
      <c r="P465" t="str" cm="1">
        <f t="array" ref="P465">_xlfn.SWITCH(rounded[[#This Row],[depression_label]], 0, "Not Depressed", 1, "Depressed")</f>
        <v>Not Depressed</v>
      </c>
      <c r="Q465" s="45" t="str" cm="1">
        <f t="array" ref="Q465">_xlfn.SWITCH(rounded[[#This Row],[gender]], "male", "Male", "female", "Female")</f>
        <v>Male</v>
      </c>
    </row>
    <row r="466" spans="1:17" x14ac:dyDescent="0.35">
      <c r="A466">
        <v>17</v>
      </c>
      <c r="B466" t="s">
        <v>16</v>
      </c>
      <c r="C466" s="4">
        <v>5.8</v>
      </c>
      <c r="D466" t="s">
        <v>14</v>
      </c>
      <c r="E466" s="4">
        <v>4.0999999999999996</v>
      </c>
      <c r="F466" s="4">
        <v>2.9</v>
      </c>
      <c r="G466">
        <v>2.33</v>
      </c>
      <c r="H466">
        <v>0.4</v>
      </c>
      <c r="I466" t="s">
        <v>18</v>
      </c>
      <c r="J466">
        <v>9</v>
      </c>
      <c r="K466">
        <v>6</v>
      </c>
      <c r="L466">
        <v>8</v>
      </c>
      <c r="M466">
        <v>0</v>
      </c>
      <c r="N466">
        <f>_xlfn.IFS(rounded[[#This Row],[social_interaction_level]] = "low", 1,rounded[[#This Row],[social_interaction_level]] = "medium", 2,rounded[[#This Row],[social_interaction_level]] = "high", 3)</f>
        <v>3</v>
      </c>
      <c r="O466">
        <f t="shared" si="7"/>
        <v>23</v>
      </c>
      <c r="P466" t="str" cm="1">
        <f t="array" ref="P466">_xlfn.SWITCH(rounded[[#This Row],[depression_label]], 0, "Not Depressed", 1, "Depressed")</f>
        <v>Not Depressed</v>
      </c>
      <c r="Q466" s="45" t="str" cm="1">
        <f t="array" ref="Q466">_xlfn.SWITCH(rounded[[#This Row],[gender]], "male", "Male", "female", "Female")</f>
        <v>Female</v>
      </c>
    </row>
    <row r="467" spans="1:17" x14ac:dyDescent="0.35">
      <c r="A467">
        <v>19</v>
      </c>
      <c r="B467" t="s">
        <v>13</v>
      </c>
      <c r="C467" s="4">
        <v>7</v>
      </c>
      <c r="D467" t="s">
        <v>14</v>
      </c>
      <c r="E467" s="4">
        <v>8.3000000000000007</v>
      </c>
      <c r="F467" s="4">
        <v>2.1</v>
      </c>
      <c r="G467">
        <v>3.09</v>
      </c>
      <c r="H467">
        <v>1.5</v>
      </c>
      <c r="I467" t="s">
        <v>15</v>
      </c>
      <c r="J467">
        <v>9</v>
      </c>
      <c r="K467">
        <v>7</v>
      </c>
      <c r="L467">
        <v>3</v>
      </c>
      <c r="M467">
        <v>0</v>
      </c>
      <c r="N467">
        <f>_xlfn.IFS(rounded[[#This Row],[social_interaction_level]] = "low", 1,rounded[[#This Row],[social_interaction_level]] = "medium", 2,rounded[[#This Row],[social_interaction_level]] = "high", 3)</f>
        <v>1</v>
      </c>
      <c r="O467">
        <f t="shared" si="7"/>
        <v>19</v>
      </c>
      <c r="P467" t="str" cm="1">
        <f t="array" ref="P467">_xlfn.SWITCH(rounded[[#This Row],[depression_label]], 0, "Not Depressed", 1, "Depressed")</f>
        <v>Not Depressed</v>
      </c>
      <c r="Q467" s="45" t="str" cm="1">
        <f t="array" ref="Q467">_xlfn.SWITCH(rounded[[#This Row],[gender]], "male", "Male", "female", "Female")</f>
        <v>Male</v>
      </c>
    </row>
    <row r="468" spans="1:17" x14ac:dyDescent="0.35">
      <c r="A468">
        <v>14</v>
      </c>
      <c r="B468" t="s">
        <v>16</v>
      </c>
      <c r="C468" s="4">
        <v>3</v>
      </c>
      <c r="D468" t="s">
        <v>17</v>
      </c>
      <c r="E468" s="4">
        <v>8.3000000000000007</v>
      </c>
      <c r="F468" s="4">
        <v>2.7</v>
      </c>
      <c r="G468">
        <v>3.9</v>
      </c>
      <c r="H468">
        <v>0.7</v>
      </c>
      <c r="I468" t="s">
        <v>18</v>
      </c>
      <c r="J468">
        <v>3</v>
      </c>
      <c r="K468">
        <v>1</v>
      </c>
      <c r="L468">
        <v>5</v>
      </c>
      <c r="M468">
        <v>0</v>
      </c>
      <c r="N468">
        <f>_xlfn.IFS(rounded[[#This Row],[social_interaction_level]] = "low", 1,rounded[[#This Row],[social_interaction_level]] = "medium", 2,rounded[[#This Row],[social_interaction_level]] = "high", 3)</f>
        <v>3</v>
      </c>
      <c r="O468">
        <f t="shared" si="7"/>
        <v>9</v>
      </c>
      <c r="P468" t="str" cm="1">
        <f t="array" ref="P468">_xlfn.SWITCH(rounded[[#This Row],[depression_label]], 0, "Not Depressed", 1, "Depressed")</f>
        <v>Not Depressed</v>
      </c>
      <c r="Q468" s="45" t="str" cm="1">
        <f t="array" ref="Q468">_xlfn.SWITCH(rounded[[#This Row],[gender]], "male", "Male", "female", "Female")</f>
        <v>Female</v>
      </c>
    </row>
    <row r="469" spans="1:17" x14ac:dyDescent="0.35">
      <c r="A469">
        <v>18</v>
      </c>
      <c r="B469" t="s">
        <v>13</v>
      </c>
      <c r="C469" s="4">
        <v>6.3</v>
      </c>
      <c r="D469" t="s">
        <v>20</v>
      </c>
      <c r="E469" s="4">
        <v>7.9</v>
      </c>
      <c r="F469" s="4">
        <v>1.7</v>
      </c>
      <c r="G469">
        <v>2.85</v>
      </c>
      <c r="H469">
        <v>0.3</v>
      </c>
      <c r="I469" t="s">
        <v>19</v>
      </c>
      <c r="J469">
        <v>1</v>
      </c>
      <c r="K469">
        <v>1</v>
      </c>
      <c r="L469">
        <v>2</v>
      </c>
      <c r="M469">
        <v>0</v>
      </c>
      <c r="N469">
        <f>_xlfn.IFS(rounded[[#This Row],[social_interaction_level]] = "low", 1,rounded[[#This Row],[social_interaction_level]] = "medium", 2,rounded[[#This Row],[social_interaction_level]] = "high", 3)</f>
        <v>2</v>
      </c>
      <c r="O469">
        <f t="shared" si="7"/>
        <v>4</v>
      </c>
      <c r="P469" t="str" cm="1">
        <f t="array" ref="P469">_xlfn.SWITCH(rounded[[#This Row],[depression_label]], 0, "Not Depressed", 1, "Depressed")</f>
        <v>Not Depressed</v>
      </c>
      <c r="Q469" s="45" t="str" cm="1">
        <f t="array" ref="Q469">_xlfn.SWITCH(rounded[[#This Row],[gender]], "male", "Male", "female", "Female")</f>
        <v>Male</v>
      </c>
    </row>
    <row r="470" spans="1:17" x14ac:dyDescent="0.35">
      <c r="A470">
        <v>17</v>
      </c>
      <c r="B470" t="s">
        <v>16</v>
      </c>
      <c r="C470" s="4">
        <v>5.5</v>
      </c>
      <c r="D470" t="s">
        <v>14</v>
      </c>
      <c r="E470" s="4">
        <v>4.9000000000000004</v>
      </c>
      <c r="F470" s="4">
        <v>2.6</v>
      </c>
      <c r="G470">
        <v>3.64</v>
      </c>
      <c r="H470">
        <v>0.8</v>
      </c>
      <c r="I470" t="s">
        <v>19</v>
      </c>
      <c r="J470">
        <v>6</v>
      </c>
      <c r="K470">
        <v>8</v>
      </c>
      <c r="L470">
        <v>3</v>
      </c>
      <c r="M470">
        <v>0</v>
      </c>
      <c r="N470">
        <f>_xlfn.IFS(rounded[[#This Row],[social_interaction_level]] = "low", 1,rounded[[#This Row],[social_interaction_level]] = "medium", 2,rounded[[#This Row],[social_interaction_level]] = "high", 3)</f>
        <v>2</v>
      </c>
      <c r="O470">
        <f t="shared" si="7"/>
        <v>17</v>
      </c>
      <c r="P470" t="str" cm="1">
        <f t="array" ref="P470">_xlfn.SWITCH(rounded[[#This Row],[depression_label]], 0, "Not Depressed", 1, "Depressed")</f>
        <v>Not Depressed</v>
      </c>
      <c r="Q470" s="45" t="str" cm="1">
        <f t="array" ref="Q470">_xlfn.SWITCH(rounded[[#This Row],[gender]], "male", "Male", "female", "Female")</f>
        <v>Female</v>
      </c>
    </row>
    <row r="471" spans="1:17" x14ac:dyDescent="0.35">
      <c r="A471">
        <v>17</v>
      </c>
      <c r="B471" t="s">
        <v>16</v>
      </c>
      <c r="C471" s="4">
        <v>2.2000000000000002</v>
      </c>
      <c r="D471" t="s">
        <v>20</v>
      </c>
      <c r="E471" s="4">
        <v>7.5</v>
      </c>
      <c r="F471" s="4">
        <v>2.2000000000000002</v>
      </c>
      <c r="G471">
        <v>2.95</v>
      </c>
      <c r="H471">
        <v>1.6</v>
      </c>
      <c r="I471" t="s">
        <v>15</v>
      </c>
      <c r="J471">
        <v>9</v>
      </c>
      <c r="K471">
        <v>7</v>
      </c>
      <c r="L471">
        <v>4</v>
      </c>
      <c r="M471">
        <v>0</v>
      </c>
      <c r="N471">
        <f>_xlfn.IFS(rounded[[#This Row],[social_interaction_level]] = "low", 1,rounded[[#This Row],[social_interaction_level]] = "medium", 2,rounded[[#This Row],[social_interaction_level]] = "high", 3)</f>
        <v>1</v>
      </c>
      <c r="O471">
        <f t="shared" si="7"/>
        <v>20</v>
      </c>
      <c r="P471" t="str" cm="1">
        <f t="array" ref="P471">_xlfn.SWITCH(rounded[[#This Row],[depression_label]], 0, "Not Depressed", 1, "Depressed")</f>
        <v>Not Depressed</v>
      </c>
      <c r="Q471" s="45" t="str" cm="1">
        <f t="array" ref="Q471">_xlfn.SWITCH(rounded[[#This Row],[gender]], "male", "Male", "female", "Female")</f>
        <v>Female</v>
      </c>
    </row>
    <row r="472" spans="1:17" x14ac:dyDescent="0.35">
      <c r="A472">
        <v>14</v>
      </c>
      <c r="B472" t="s">
        <v>13</v>
      </c>
      <c r="C472" s="4">
        <v>1.4</v>
      </c>
      <c r="D472" t="s">
        <v>20</v>
      </c>
      <c r="E472" s="4">
        <v>4.5</v>
      </c>
      <c r="F472" s="4">
        <v>1.4</v>
      </c>
      <c r="G472">
        <v>3.17</v>
      </c>
      <c r="H472">
        <v>1.7</v>
      </c>
      <c r="I472" t="s">
        <v>18</v>
      </c>
      <c r="J472">
        <v>9</v>
      </c>
      <c r="K472">
        <v>10</v>
      </c>
      <c r="L472">
        <v>9</v>
      </c>
      <c r="M472">
        <v>0</v>
      </c>
      <c r="N472">
        <f>_xlfn.IFS(rounded[[#This Row],[social_interaction_level]] = "low", 1,rounded[[#This Row],[social_interaction_level]] = "medium", 2,rounded[[#This Row],[social_interaction_level]] = "high", 3)</f>
        <v>3</v>
      </c>
      <c r="O472">
        <f t="shared" si="7"/>
        <v>28</v>
      </c>
      <c r="P472" t="str" cm="1">
        <f t="array" ref="P472">_xlfn.SWITCH(rounded[[#This Row],[depression_label]], 0, "Not Depressed", 1, "Depressed")</f>
        <v>Not Depressed</v>
      </c>
      <c r="Q472" s="45" t="str" cm="1">
        <f t="array" ref="Q472">_xlfn.SWITCH(rounded[[#This Row],[gender]], "male", "Male", "female", "Female")</f>
        <v>Male</v>
      </c>
    </row>
    <row r="473" spans="1:17" x14ac:dyDescent="0.35">
      <c r="A473">
        <v>18</v>
      </c>
      <c r="B473" t="s">
        <v>13</v>
      </c>
      <c r="C473" s="4">
        <v>4.5</v>
      </c>
      <c r="D473" t="s">
        <v>14</v>
      </c>
      <c r="E473" s="4">
        <v>4.4000000000000004</v>
      </c>
      <c r="F473" s="4">
        <v>1.9</v>
      </c>
      <c r="G473">
        <v>2.2599999999999998</v>
      </c>
      <c r="H473">
        <v>0</v>
      </c>
      <c r="I473" t="s">
        <v>15</v>
      </c>
      <c r="J473">
        <v>7</v>
      </c>
      <c r="K473">
        <v>8</v>
      </c>
      <c r="L473">
        <v>10</v>
      </c>
      <c r="M473">
        <v>0</v>
      </c>
      <c r="N473">
        <f>_xlfn.IFS(rounded[[#This Row],[social_interaction_level]] = "low", 1,rounded[[#This Row],[social_interaction_level]] = "medium", 2,rounded[[#This Row],[social_interaction_level]] = "high", 3)</f>
        <v>1</v>
      </c>
      <c r="O473">
        <f t="shared" si="7"/>
        <v>25</v>
      </c>
      <c r="P473" t="str" cm="1">
        <f t="array" ref="P473">_xlfn.SWITCH(rounded[[#This Row],[depression_label]], 0, "Not Depressed", 1, "Depressed")</f>
        <v>Not Depressed</v>
      </c>
      <c r="Q473" s="45" t="str" cm="1">
        <f t="array" ref="Q473">_xlfn.SWITCH(rounded[[#This Row],[gender]], "male", "Male", "female", "Female")</f>
        <v>Male</v>
      </c>
    </row>
    <row r="474" spans="1:17" x14ac:dyDescent="0.35">
      <c r="A474">
        <v>14</v>
      </c>
      <c r="B474" t="s">
        <v>16</v>
      </c>
      <c r="C474" s="4">
        <v>6.1</v>
      </c>
      <c r="D474" t="s">
        <v>14</v>
      </c>
      <c r="E474" s="4">
        <v>5.7</v>
      </c>
      <c r="F474" s="4">
        <v>2</v>
      </c>
      <c r="G474">
        <v>3.9</v>
      </c>
      <c r="H474">
        <v>1</v>
      </c>
      <c r="I474" t="s">
        <v>15</v>
      </c>
      <c r="J474">
        <v>8</v>
      </c>
      <c r="K474">
        <v>4</v>
      </c>
      <c r="L474">
        <v>6</v>
      </c>
      <c r="M474">
        <v>0</v>
      </c>
      <c r="N474">
        <f>_xlfn.IFS(rounded[[#This Row],[social_interaction_level]] = "low", 1,rounded[[#This Row],[social_interaction_level]] = "medium", 2,rounded[[#This Row],[social_interaction_level]] = "high", 3)</f>
        <v>1</v>
      </c>
      <c r="O474">
        <f t="shared" si="7"/>
        <v>18</v>
      </c>
      <c r="P474" t="str" cm="1">
        <f t="array" ref="P474">_xlfn.SWITCH(rounded[[#This Row],[depression_label]], 0, "Not Depressed", 1, "Depressed")</f>
        <v>Not Depressed</v>
      </c>
      <c r="Q474" s="45" t="str" cm="1">
        <f t="array" ref="Q474">_xlfn.SWITCH(rounded[[#This Row],[gender]], "male", "Male", "female", "Female")</f>
        <v>Female</v>
      </c>
    </row>
    <row r="475" spans="1:17" x14ac:dyDescent="0.35">
      <c r="A475">
        <v>17</v>
      </c>
      <c r="B475" t="s">
        <v>13</v>
      </c>
      <c r="C475" s="4">
        <v>3.3</v>
      </c>
      <c r="D475" t="s">
        <v>17</v>
      </c>
      <c r="E475" s="4">
        <v>5.7</v>
      </c>
      <c r="F475" s="4">
        <v>2</v>
      </c>
      <c r="G475">
        <v>3.71</v>
      </c>
      <c r="H475">
        <v>0.1</v>
      </c>
      <c r="I475" t="s">
        <v>15</v>
      </c>
      <c r="J475">
        <v>6</v>
      </c>
      <c r="K475">
        <v>6</v>
      </c>
      <c r="L475">
        <v>8</v>
      </c>
      <c r="M475">
        <v>0</v>
      </c>
      <c r="N475">
        <f>_xlfn.IFS(rounded[[#This Row],[social_interaction_level]] = "low", 1,rounded[[#This Row],[social_interaction_level]] = "medium", 2,rounded[[#This Row],[social_interaction_level]] = "high", 3)</f>
        <v>1</v>
      </c>
      <c r="O475">
        <f t="shared" si="7"/>
        <v>20</v>
      </c>
      <c r="P475" t="str" cm="1">
        <f t="array" ref="P475">_xlfn.SWITCH(rounded[[#This Row],[depression_label]], 0, "Not Depressed", 1, "Depressed")</f>
        <v>Not Depressed</v>
      </c>
      <c r="Q475" s="45" t="str" cm="1">
        <f t="array" ref="Q475">_xlfn.SWITCH(rounded[[#This Row],[gender]], "male", "Male", "female", "Female")</f>
        <v>Male</v>
      </c>
    </row>
    <row r="476" spans="1:17" x14ac:dyDescent="0.35">
      <c r="A476">
        <v>15</v>
      </c>
      <c r="B476" t="s">
        <v>13</v>
      </c>
      <c r="C476" s="4">
        <v>5.2</v>
      </c>
      <c r="D476" t="s">
        <v>20</v>
      </c>
      <c r="E476" s="4">
        <v>5.6</v>
      </c>
      <c r="F476" s="4">
        <v>1.1000000000000001</v>
      </c>
      <c r="G476">
        <v>2.88</v>
      </c>
      <c r="H476">
        <v>0.1</v>
      </c>
      <c r="I476" t="s">
        <v>19</v>
      </c>
      <c r="J476">
        <v>4</v>
      </c>
      <c r="K476">
        <v>8</v>
      </c>
      <c r="L476">
        <v>7</v>
      </c>
      <c r="M476">
        <v>0</v>
      </c>
      <c r="N476">
        <f>_xlfn.IFS(rounded[[#This Row],[social_interaction_level]] = "low", 1,rounded[[#This Row],[social_interaction_level]] = "medium", 2,rounded[[#This Row],[social_interaction_level]] = "high", 3)</f>
        <v>2</v>
      </c>
      <c r="O476">
        <f t="shared" si="7"/>
        <v>19</v>
      </c>
      <c r="P476" t="str" cm="1">
        <f t="array" ref="P476">_xlfn.SWITCH(rounded[[#This Row],[depression_label]], 0, "Not Depressed", 1, "Depressed")</f>
        <v>Not Depressed</v>
      </c>
      <c r="Q476" s="45" t="str" cm="1">
        <f t="array" ref="Q476">_xlfn.SWITCH(rounded[[#This Row],[gender]], "male", "Male", "female", "Female")</f>
        <v>Male</v>
      </c>
    </row>
    <row r="477" spans="1:17" x14ac:dyDescent="0.35">
      <c r="A477">
        <v>18</v>
      </c>
      <c r="B477" t="s">
        <v>13</v>
      </c>
      <c r="C477" s="4">
        <v>5</v>
      </c>
      <c r="D477" t="s">
        <v>20</v>
      </c>
      <c r="E477" s="4">
        <v>5.8</v>
      </c>
      <c r="F477" s="4">
        <v>1.3</v>
      </c>
      <c r="G477">
        <v>2.12</v>
      </c>
      <c r="H477">
        <v>0.1</v>
      </c>
      <c r="I477" t="s">
        <v>15</v>
      </c>
      <c r="J477">
        <v>1</v>
      </c>
      <c r="K477">
        <v>9</v>
      </c>
      <c r="L477">
        <v>2</v>
      </c>
      <c r="M477">
        <v>0</v>
      </c>
      <c r="N477">
        <f>_xlfn.IFS(rounded[[#This Row],[social_interaction_level]] = "low", 1,rounded[[#This Row],[social_interaction_level]] = "medium", 2,rounded[[#This Row],[social_interaction_level]] = "high", 3)</f>
        <v>1</v>
      </c>
      <c r="O477">
        <f t="shared" si="7"/>
        <v>12</v>
      </c>
      <c r="P477" t="str" cm="1">
        <f t="array" ref="P477">_xlfn.SWITCH(rounded[[#This Row],[depression_label]], 0, "Not Depressed", 1, "Depressed")</f>
        <v>Not Depressed</v>
      </c>
      <c r="Q477" s="45" t="str" cm="1">
        <f t="array" ref="Q477">_xlfn.SWITCH(rounded[[#This Row],[gender]], "male", "Male", "female", "Female")</f>
        <v>Male</v>
      </c>
    </row>
    <row r="478" spans="1:17" x14ac:dyDescent="0.35">
      <c r="A478">
        <v>17</v>
      </c>
      <c r="B478" t="s">
        <v>16</v>
      </c>
      <c r="C478" s="4">
        <v>1.8</v>
      </c>
      <c r="D478" t="s">
        <v>17</v>
      </c>
      <c r="E478" s="4">
        <v>5.9</v>
      </c>
      <c r="F478" s="4">
        <v>1.9</v>
      </c>
      <c r="G478">
        <v>2.89</v>
      </c>
      <c r="H478">
        <v>0.6</v>
      </c>
      <c r="I478" t="s">
        <v>15</v>
      </c>
      <c r="J478">
        <v>8</v>
      </c>
      <c r="K478">
        <v>8</v>
      </c>
      <c r="L478">
        <v>5</v>
      </c>
      <c r="M478">
        <v>0</v>
      </c>
      <c r="N478">
        <f>_xlfn.IFS(rounded[[#This Row],[social_interaction_level]] = "low", 1,rounded[[#This Row],[social_interaction_level]] = "medium", 2,rounded[[#This Row],[social_interaction_level]] = "high", 3)</f>
        <v>1</v>
      </c>
      <c r="O478">
        <f t="shared" si="7"/>
        <v>21</v>
      </c>
      <c r="P478" t="str" cm="1">
        <f t="array" ref="P478">_xlfn.SWITCH(rounded[[#This Row],[depression_label]], 0, "Not Depressed", 1, "Depressed")</f>
        <v>Not Depressed</v>
      </c>
      <c r="Q478" s="45" t="str" cm="1">
        <f t="array" ref="Q478">_xlfn.SWITCH(rounded[[#This Row],[gender]], "male", "Male", "female", "Female")</f>
        <v>Female</v>
      </c>
    </row>
    <row r="479" spans="1:17" x14ac:dyDescent="0.35">
      <c r="A479">
        <v>13</v>
      </c>
      <c r="B479" t="s">
        <v>13</v>
      </c>
      <c r="C479" s="4">
        <v>2.2999999999999998</v>
      </c>
      <c r="D479" t="s">
        <v>17</v>
      </c>
      <c r="E479" s="4">
        <v>4.5</v>
      </c>
      <c r="F479" s="4">
        <v>0.7</v>
      </c>
      <c r="G479">
        <v>2.71</v>
      </c>
      <c r="H479">
        <v>0.2</v>
      </c>
      <c r="I479" t="s">
        <v>15</v>
      </c>
      <c r="J479">
        <v>6</v>
      </c>
      <c r="K479">
        <v>3</v>
      </c>
      <c r="L479">
        <v>7</v>
      </c>
      <c r="M479">
        <v>0</v>
      </c>
      <c r="N479">
        <f>_xlfn.IFS(rounded[[#This Row],[social_interaction_level]] = "low", 1,rounded[[#This Row],[social_interaction_level]] = "medium", 2,rounded[[#This Row],[social_interaction_level]] = "high", 3)</f>
        <v>1</v>
      </c>
      <c r="O479">
        <f t="shared" si="7"/>
        <v>16</v>
      </c>
      <c r="P479" t="str" cm="1">
        <f t="array" ref="P479">_xlfn.SWITCH(rounded[[#This Row],[depression_label]], 0, "Not Depressed", 1, "Depressed")</f>
        <v>Not Depressed</v>
      </c>
      <c r="Q479" s="45" t="str" cm="1">
        <f t="array" ref="Q479">_xlfn.SWITCH(rounded[[#This Row],[gender]], "male", "Male", "female", "Female")</f>
        <v>Male</v>
      </c>
    </row>
    <row r="480" spans="1:17" x14ac:dyDescent="0.35">
      <c r="A480">
        <v>14</v>
      </c>
      <c r="B480" t="s">
        <v>13</v>
      </c>
      <c r="C480" s="4">
        <v>2.7</v>
      </c>
      <c r="D480" t="s">
        <v>20</v>
      </c>
      <c r="E480" s="4">
        <v>6.3</v>
      </c>
      <c r="F480" s="4">
        <v>0.6</v>
      </c>
      <c r="G480">
        <v>3.88</v>
      </c>
      <c r="H480">
        <v>0.3</v>
      </c>
      <c r="I480" t="s">
        <v>19</v>
      </c>
      <c r="J480">
        <v>6</v>
      </c>
      <c r="K480">
        <v>6</v>
      </c>
      <c r="L480">
        <v>6</v>
      </c>
      <c r="M480">
        <v>0</v>
      </c>
      <c r="N480">
        <f>_xlfn.IFS(rounded[[#This Row],[social_interaction_level]] = "low", 1,rounded[[#This Row],[social_interaction_level]] = "medium", 2,rounded[[#This Row],[social_interaction_level]] = "high", 3)</f>
        <v>2</v>
      </c>
      <c r="O480">
        <f t="shared" si="7"/>
        <v>18</v>
      </c>
      <c r="P480" t="str" cm="1">
        <f t="array" ref="P480">_xlfn.SWITCH(rounded[[#This Row],[depression_label]], 0, "Not Depressed", 1, "Depressed")</f>
        <v>Not Depressed</v>
      </c>
      <c r="Q480" s="45" t="str" cm="1">
        <f t="array" ref="Q480">_xlfn.SWITCH(rounded[[#This Row],[gender]], "male", "Male", "female", "Female")</f>
        <v>Male</v>
      </c>
    </row>
    <row r="481" spans="1:17" x14ac:dyDescent="0.35">
      <c r="A481">
        <v>16</v>
      </c>
      <c r="B481" t="s">
        <v>13</v>
      </c>
      <c r="C481" s="4">
        <v>7.4</v>
      </c>
      <c r="D481" t="s">
        <v>17</v>
      </c>
      <c r="E481" s="4">
        <v>7.5</v>
      </c>
      <c r="F481" s="4">
        <v>1.7</v>
      </c>
      <c r="G481">
        <v>3.16</v>
      </c>
      <c r="H481">
        <v>1.8</v>
      </c>
      <c r="I481" t="s">
        <v>19</v>
      </c>
      <c r="J481">
        <v>2</v>
      </c>
      <c r="K481">
        <v>3</v>
      </c>
      <c r="L481">
        <v>2</v>
      </c>
      <c r="M481">
        <v>0</v>
      </c>
      <c r="N481">
        <f>_xlfn.IFS(rounded[[#This Row],[social_interaction_level]] = "low", 1,rounded[[#This Row],[social_interaction_level]] = "medium", 2,rounded[[#This Row],[social_interaction_level]] = "high", 3)</f>
        <v>2</v>
      </c>
      <c r="O481">
        <f t="shared" si="7"/>
        <v>7</v>
      </c>
      <c r="P481" t="str" cm="1">
        <f t="array" ref="P481">_xlfn.SWITCH(rounded[[#This Row],[depression_label]], 0, "Not Depressed", 1, "Depressed")</f>
        <v>Not Depressed</v>
      </c>
      <c r="Q481" s="45" t="str" cm="1">
        <f t="array" ref="Q481">_xlfn.SWITCH(rounded[[#This Row],[gender]], "male", "Male", "female", "Female")</f>
        <v>Male</v>
      </c>
    </row>
    <row r="482" spans="1:17" x14ac:dyDescent="0.35">
      <c r="A482">
        <v>15</v>
      </c>
      <c r="B482" t="s">
        <v>13</v>
      </c>
      <c r="C482" s="4">
        <v>6.2</v>
      </c>
      <c r="D482" t="s">
        <v>17</v>
      </c>
      <c r="E482" s="4">
        <v>4.5999999999999996</v>
      </c>
      <c r="F482" s="4">
        <v>1.1000000000000001</v>
      </c>
      <c r="G482">
        <v>2.94</v>
      </c>
      <c r="H482">
        <v>1.8</v>
      </c>
      <c r="I482" t="s">
        <v>18</v>
      </c>
      <c r="J482">
        <v>4</v>
      </c>
      <c r="K482">
        <v>2</v>
      </c>
      <c r="L482">
        <v>3</v>
      </c>
      <c r="M482">
        <v>0</v>
      </c>
      <c r="N482">
        <f>_xlfn.IFS(rounded[[#This Row],[social_interaction_level]] = "low", 1,rounded[[#This Row],[social_interaction_level]] = "medium", 2,rounded[[#This Row],[social_interaction_level]] = "high", 3)</f>
        <v>3</v>
      </c>
      <c r="O482">
        <f t="shared" si="7"/>
        <v>9</v>
      </c>
      <c r="P482" t="str" cm="1">
        <f t="array" ref="P482">_xlfn.SWITCH(rounded[[#This Row],[depression_label]], 0, "Not Depressed", 1, "Depressed")</f>
        <v>Not Depressed</v>
      </c>
      <c r="Q482" s="45" t="str" cm="1">
        <f t="array" ref="Q482">_xlfn.SWITCH(rounded[[#This Row],[gender]], "male", "Male", "female", "Female")</f>
        <v>Male</v>
      </c>
    </row>
    <row r="483" spans="1:17" x14ac:dyDescent="0.35">
      <c r="A483">
        <v>16</v>
      </c>
      <c r="B483" t="s">
        <v>13</v>
      </c>
      <c r="C483" s="4">
        <v>2.2999999999999998</v>
      </c>
      <c r="D483" t="s">
        <v>17</v>
      </c>
      <c r="E483" s="4">
        <v>8.8000000000000007</v>
      </c>
      <c r="F483" s="4">
        <v>1</v>
      </c>
      <c r="G483">
        <v>2.5099999999999998</v>
      </c>
      <c r="H483">
        <v>2</v>
      </c>
      <c r="I483" t="s">
        <v>19</v>
      </c>
      <c r="J483">
        <v>6</v>
      </c>
      <c r="K483">
        <v>10</v>
      </c>
      <c r="L483">
        <v>10</v>
      </c>
      <c r="M483">
        <v>0</v>
      </c>
      <c r="N483">
        <f>_xlfn.IFS(rounded[[#This Row],[social_interaction_level]] = "low", 1,rounded[[#This Row],[social_interaction_level]] = "medium", 2,rounded[[#This Row],[social_interaction_level]] = "high", 3)</f>
        <v>2</v>
      </c>
      <c r="O483">
        <f t="shared" si="7"/>
        <v>26</v>
      </c>
      <c r="P483" t="str" cm="1">
        <f t="array" ref="P483">_xlfn.SWITCH(rounded[[#This Row],[depression_label]], 0, "Not Depressed", 1, "Depressed")</f>
        <v>Not Depressed</v>
      </c>
      <c r="Q483" s="45" t="str" cm="1">
        <f t="array" ref="Q483">_xlfn.SWITCH(rounded[[#This Row],[gender]], "male", "Male", "female", "Female")</f>
        <v>Male</v>
      </c>
    </row>
    <row r="484" spans="1:17" x14ac:dyDescent="0.35">
      <c r="A484">
        <v>18</v>
      </c>
      <c r="B484" t="s">
        <v>13</v>
      </c>
      <c r="C484" s="4">
        <v>1.8</v>
      </c>
      <c r="D484" t="s">
        <v>17</v>
      </c>
      <c r="E484" s="4">
        <v>5.2</v>
      </c>
      <c r="F484" s="4">
        <v>1.4</v>
      </c>
      <c r="G484">
        <v>2.68</v>
      </c>
      <c r="H484">
        <v>0.1</v>
      </c>
      <c r="I484" t="s">
        <v>18</v>
      </c>
      <c r="J484">
        <v>6</v>
      </c>
      <c r="K484">
        <v>2</v>
      </c>
      <c r="L484">
        <v>10</v>
      </c>
      <c r="M484">
        <v>0</v>
      </c>
      <c r="N484">
        <f>_xlfn.IFS(rounded[[#This Row],[social_interaction_level]] = "low", 1,rounded[[#This Row],[social_interaction_level]] = "medium", 2,rounded[[#This Row],[social_interaction_level]] = "high", 3)</f>
        <v>3</v>
      </c>
      <c r="O484">
        <f t="shared" si="7"/>
        <v>18</v>
      </c>
      <c r="P484" t="str" cm="1">
        <f t="array" ref="P484">_xlfn.SWITCH(rounded[[#This Row],[depression_label]], 0, "Not Depressed", 1, "Depressed")</f>
        <v>Not Depressed</v>
      </c>
      <c r="Q484" s="45" t="str" cm="1">
        <f t="array" ref="Q484">_xlfn.SWITCH(rounded[[#This Row],[gender]], "male", "Male", "female", "Female")</f>
        <v>Male</v>
      </c>
    </row>
    <row r="485" spans="1:17" x14ac:dyDescent="0.35">
      <c r="A485">
        <v>16</v>
      </c>
      <c r="B485" t="s">
        <v>16</v>
      </c>
      <c r="C485" s="4">
        <v>1.3</v>
      </c>
      <c r="D485" t="s">
        <v>14</v>
      </c>
      <c r="E485" s="4">
        <v>4.9000000000000004</v>
      </c>
      <c r="F485" s="4">
        <v>2.6</v>
      </c>
      <c r="G485">
        <v>2.89</v>
      </c>
      <c r="H485">
        <v>0.2</v>
      </c>
      <c r="I485" t="s">
        <v>15</v>
      </c>
      <c r="J485">
        <v>2</v>
      </c>
      <c r="K485">
        <v>5</v>
      </c>
      <c r="L485">
        <v>2</v>
      </c>
      <c r="M485">
        <v>0</v>
      </c>
      <c r="N485">
        <f>_xlfn.IFS(rounded[[#This Row],[social_interaction_level]] = "low", 1,rounded[[#This Row],[social_interaction_level]] = "medium", 2,rounded[[#This Row],[social_interaction_level]] = "high", 3)</f>
        <v>1</v>
      </c>
      <c r="O485">
        <f t="shared" si="7"/>
        <v>9</v>
      </c>
      <c r="P485" t="str" cm="1">
        <f t="array" ref="P485">_xlfn.SWITCH(rounded[[#This Row],[depression_label]], 0, "Not Depressed", 1, "Depressed")</f>
        <v>Not Depressed</v>
      </c>
      <c r="Q485" s="45" t="str" cm="1">
        <f t="array" ref="Q485">_xlfn.SWITCH(rounded[[#This Row],[gender]], "male", "Male", "female", "Female")</f>
        <v>Female</v>
      </c>
    </row>
    <row r="486" spans="1:17" x14ac:dyDescent="0.35">
      <c r="A486">
        <v>15</v>
      </c>
      <c r="B486" t="s">
        <v>13</v>
      </c>
      <c r="C486" s="4">
        <v>2.1</v>
      </c>
      <c r="D486" t="s">
        <v>14</v>
      </c>
      <c r="E486" s="4">
        <v>4.4000000000000004</v>
      </c>
      <c r="F486" s="4">
        <v>2.1</v>
      </c>
      <c r="G486">
        <v>3.43</v>
      </c>
      <c r="H486">
        <v>1.9</v>
      </c>
      <c r="I486" t="s">
        <v>15</v>
      </c>
      <c r="J486">
        <v>6</v>
      </c>
      <c r="K486">
        <v>6</v>
      </c>
      <c r="L486">
        <v>7</v>
      </c>
      <c r="M486">
        <v>0</v>
      </c>
      <c r="N486">
        <f>_xlfn.IFS(rounded[[#This Row],[social_interaction_level]] = "low", 1,rounded[[#This Row],[social_interaction_level]] = "medium", 2,rounded[[#This Row],[social_interaction_level]] = "high", 3)</f>
        <v>1</v>
      </c>
      <c r="O486">
        <f t="shared" si="7"/>
        <v>19</v>
      </c>
      <c r="P486" t="str" cm="1">
        <f t="array" ref="P486">_xlfn.SWITCH(rounded[[#This Row],[depression_label]], 0, "Not Depressed", 1, "Depressed")</f>
        <v>Not Depressed</v>
      </c>
      <c r="Q486" s="45" t="str" cm="1">
        <f t="array" ref="Q486">_xlfn.SWITCH(rounded[[#This Row],[gender]], "male", "Male", "female", "Female")</f>
        <v>Male</v>
      </c>
    </row>
    <row r="487" spans="1:17" x14ac:dyDescent="0.35">
      <c r="A487">
        <v>14</v>
      </c>
      <c r="B487" t="s">
        <v>13</v>
      </c>
      <c r="C487" s="4">
        <v>3.9</v>
      </c>
      <c r="D487" t="s">
        <v>14</v>
      </c>
      <c r="E487" s="4">
        <v>7.7</v>
      </c>
      <c r="F487" s="4">
        <v>1.4</v>
      </c>
      <c r="G487">
        <v>2.86</v>
      </c>
      <c r="H487">
        <v>1.7</v>
      </c>
      <c r="I487" t="s">
        <v>18</v>
      </c>
      <c r="J487">
        <v>3</v>
      </c>
      <c r="K487">
        <v>5</v>
      </c>
      <c r="L487">
        <v>1</v>
      </c>
      <c r="M487">
        <v>0</v>
      </c>
      <c r="N487">
        <f>_xlfn.IFS(rounded[[#This Row],[social_interaction_level]] = "low", 1,rounded[[#This Row],[social_interaction_level]] = "medium", 2,rounded[[#This Row],[social_interaction_level]] = "high", 3)</f>
        <v>3</v>
      </c>
      <c r="O487">
        <f t="shared" si="7"/>
        <v>9</v>
      </c>
      <c r="P487" t="str" cm="1">
        <f t="array" ref="P487">_xlfn.SWITCH(rounded[[#This Row],[depression_label]], 0, "Not Depressed", 1, "Depressed")</f>
        <v>Not Depressed</v>
      </c>
      <c r="Q487" s="45" t="str" cm="1">
        <f t="array" ref="Q487">_xlfn.SWITCH(rounded[[#This Row],[gender]], "male", "Male", "female", "Female")</f>
        <v>Male</v>
      </c>
    </row>
    <row r="488" spans="1:17" x14ac:dyDescent="0.35">
      <c r="A488">
        <v>18</v>
      </c>
      <c r="B488" t="s">
        <v>16</v>
      </c>
      <c r="C488" s="4">
        <v>3.8</v>
      </c>
      <c r="D488" t="s">
        <v>20</v>
      </c>
      <c r="E488" s="4">
        <v>4.5</v>
      </c>
      <c r="F488" s="4">
        <v>1.3</v>
      </c>
      <c r="G488">
        <v>3.06</v>
      </c>
      <c r="H488">
        <v>0.3</v>
      </c>
      <c r="I488" t="s">
        <v>19</v>
      </c>
      <c r="J488">
        <v>7</v>
      </c>
      <c r="K488">
        <v>8</v>
      </c>
      <c r="L488">
        <v>1</v>
      </c>
      <c r="M488">
        <v>0</v>
      </c>
      <c r="N488">
        <f>_xlfn.IFS(rounded[[#This Row],[social_interaction_level]] = "low", 1,rounded[[#This Row],[social_interaction_level]] = "medium", 2,rounded[[#This Row],[social_interaction_level]] = "high", 3)</f>
        <v>2</v>
      </c>
      <c r="O488">
        <f t="shared" si="7"/>
        <v>16</v>
      </c>
      <c r="P488" t="str" cm="1">
        <f t="array" ref="P488">_xlfn.SWITCH(rounded[[#This Row],[depression_label]], 0, "Not Depressed", 1, "Depressed")</f>
        <v>Not Depressed</v>
      </c>
      <c r="Q488" s="45" t="str" cm="1">
        <f t="array" ref="Q488">_xlfn.SWITCH(rounded[[#This Row],[gender]], "male", "Male", "female", "Female")</f>
        <v>Female</v>
      </c>
    </row>
    <row r="489" spans="1:17" x14ac:dyDescent="0.35">
      <c r="A489">
        <v>15</v>
      </c>
      <c r="B489" t="s">
        <v>13</v>
      </c>
      <c r="C489" s="4">
        <v>6.4</v>
      </c>
      <c r="D489" t="s">
        <v>14</v>
      </c>
      <c r="E489" s="4">
        <v>7.8</v>
      </c>
      <c r="F489" s="4">
        <v>0.7</v>
      </c>
      <c r="G489">
        <v>2.6</v>
      </c>
      <c r="H489">
        <v>0.7</v>
      </c>
      <c r="I489" t="s">
        <v>18</v>
      </c>
      <c r="J489">
        <v>4</v>
      </c>
      <c r="K489">
        <v>4</v>
      </c>
      <c r="L489">
        <v>2</v>
      </c>
      <c r="M489">
        <v>0</v>
      </c>
      <c r="N489">
        <f>_xlfn.IFS(rounded[[#This Row],[social_interaction_level]] = "low", 1,rounded[[#This Row],[social_interaction_level]] = "medium", 2,rounded[[#This Row],[social_interaction_level]] = "high", 3)</f>
        <v>3</v>
      </c>
      <c r="O489">
        <f t="shared" si="7"/>
        <v>10</v>
      </c>
      <c r="P489" t="str" cm="1">
        <f t="array" ref="P489">_xlfn.SWITCH(rounded[[#This Row],[depression_label]], 0, "Not Depressed", 1, "Depressed")</f>
        <v>Not Depressed</v>
      </c>
      <c r="Q489" s="45" t="str" cm="1">
        <f t="array" ref="Q489">_xlfn.SWITCH(rounded[[#This Row],[gender]], "male", "Male", "female", "Female")</f>
        <v>Male</v>
      </c>
    </row>
    <row r="490" spans="1:17" x14ac:dyDescent="0.35">
      <c r="A490">
        <v>19</v>
      </c>
      <c r="B490" t="s">
        <v>13</v>
      </c>
      <c r="C490" s="4">
        <v>3.2</v>
      </c>
      <c r="D490" t="s">
        <v>14</v>
      </c>
      <c r="E490" s="4">
        <v>6.2</v>
      </c>
      <c r="F490" s="4">
        <v>2.6</v>
      </c>
      <c r="G490">
        <v>3.72</v>
      </c>
      <c r="H490">
        <v>1.9</v>
      </c>
      <c r="I490" t="s">
        <v>18</v>
      </c>
      <c r="J490">
        <v>9</v>
      </c>
      <c r="K490">
        <v>5</v>
      </c>
      <c r="L490">
        <v>7</v>
      </c>
      <c r="M490">
        <v>0</v>
      </c>
      <c r="N490">
        <f>_xlfn.IFS(rounded[[#This Row],[social_interaction_level]] = "low", 1,rounded[[#This Row],[social_interaction_level]] = "medium", 2,rounded[[#This Row],[social_interaction_level]] = "high", 3)</f>
        <v>3</v>
      </c>
      <c r="O490">
        <f t="shared" si="7"/>
        <v>21</v>
      </c>
      <c r="P490" t="str" cm="1">
        <f t="array" ref="P490">_xlfn.SWITCH(rounded[[#This Row],[depression_label]], 0, "Not Depressed", 1, "Depressed")</f>
        <v>Not Depressed</v>
      </c>
      <c r="Q490" s="45" t="str" cm="1">
        <f t="array" ref="Q490">_xlfn.SWITCH(rounded[[#This Row],[gender]], "male", "Male", "female", "Female")</f>
        <v>Male</v>
      </c>
    </row>
    <row r="491" spans="1:17" x14ac:dyDescent="0.35">
      <c r="A491">
        <v>13</v>
      </c>
      <c r="B491" t="s">
        <v>13</v>
      </c>
      <c r="C491" s="4">
        <v>4.4000000000000004</v>
      </c>
      <c r="D491" t="s">
        <v>20</v>
      </c>
      <c r="E491" s="4">
        <v>8.1999999999999993</v>
      </c>
      <c r="F491" s="4">
        <v>1.5</v>
      </c>
      <c r="G491">
        <v>3.98</v>
      </c>
      <c r="H491">
        <v>1.4</v>
      </c>
      <c r="I491" t="s">
        <v>18</v>
      </c>
      <c r="J491">
        <v>9</v>
      </c>
      <c r="K491">
        <v>6</v>
      </c>
      <c r="L491">
        <v>6</v>
      </c>
      <c r="M491">
        <v>0</v>
      </c>
      <c r="N491">
        <f>_xlfn.IFS(rounded[[#This Row],[social_interaction_level]] = "low", 1,rounded[[#This Row],[social_interaction_level]] = "medium", 2,rounded[[#This Row],[social_interaction_level]] = "high", 3)</f>
        <v>3</v>
      </c>
      <c r="O491">
        <f t="shared" si="7"/>
        <v>21</v>
      </c>
      <c r="P491" t="str" cm="1">
        <f t="array" ref="P491">_xlfn.SWITCH(rounded[[#This Row],[depression_label]], 0, "Not Depressed", 1, "Depressed")</f>
        <v>Not Depressed</v>
      </c>
      <c r="Q491" s="45" t="str" cm="1">
        <f t="array" ref="Q491">_xlfn.SWITCH(rounded[[#This Row],[gender]], "male", "Male", "female", "Female")</f>
        <v>Male</v>
      </c>
    </row>
    <row r="492" spans="1:17" x14ac:dyDescent="0.35">
      <c r="A492">
        <v>15</v>
      </c>
      <c r="B492" t="s">
        <v>13</v>
      </c>
      <c r="C492" s="4">
        <v>1.3</v>
      </c>
      <c r="D492" t="s">
        <v>17</v>
      </c>
      <c r="E492" s="4">
        <v>7.5</v>
      </c>
      <c r="F492" s="4">
        <v>1.3</v>
      </c>
      <c r="G492">
        <v>2.99</v>
      </c>
      <c r="H492">
        <v>1.4</v>
      </c>
      <c r="I492" t="s">
        <v>15</v>
      </c>
      <c r="J492">
        <v>1</v>
      </c>
      <c r="K492">
        <v>5</v>
      </c>
      <c r="L492">
        <v>2</v>
      </c>
      <c r="M492">
        <v>0</v>
      </c>
      <c r="N492">
        <f>_xlfn.IFS(rounded[[#This Row],[social_interaction_level]] = "low", 1,rounded[[#This Row],[social_interaction_level]] = "medium", 2,rounded[[#This Row],[social_interaction_level]] = "high", 3)</f>
        <v>1</v>
      </c>
      <c r="O492">
        <f t="shared" si="7"/>
        <v>8</v>
      </c>
      <c r="P492" t="str" cm="1">
        <f t="array" ref="P492">_xlfn.SWITCH(rounded[[#This Row],[depression_label]], 0, "Not Depressed", 1, "Depressed")</f>
        <v>Not Depressed</v>
      </c>
      <c r="Q492" s="45" t="str" cm="1">
        <f t="array" ref="Q492">_xlfn.SWITCH(rounded[[#This Row],[gender]], "male", "Male", "female", "Female")</f>
        <v>Male</v>
      </c>
    </row>
    <row r="493" spans="1:17" x14ac:dyDescent="0.35">
      <c r="A493">
        <v>18</v>
      </c>
      <c r="B493" t="s">
        <v>16</v>
      </c>
      <c r="C493" s="4">
        <v>5.7</v>
      </c>
      <c r="D493" t="s">
        <v>17</v>
      </c>
      <c r="E493" s="4">
        <v>6.2</v>
      </c>
      <c r="F493" s="4">
        <v>0.5</v>
      </c>
      <c r="G493">
        <v>3.98</v>
      </c>
      <c r="H493">
        <v>1.7</v>
      </c>
      <c r="I493" t="s">
        <v>19</v>
      </c>
      <c r="J493">
        <v>7</v>
      </c>
      <c r="K493">
        <v>6</v>
      </c>
      <c r="L493">
        <v>3</v>
      </c>
      <c r="M493">
        <v>0</v>
      </c>
      <c r="N493">
        <f>_xlfn.IFS(rounded[[#This Row],[social_interaction_level]] = "low", 1,rounded[[#This Row],[social_interaction_level]] = "medium", 2,rounded[[#This Row],[social_interaction_level]] = "high", 3)</f>
        <v>2</v>
      </c>
      <c r="O493">
        <f t="shared" si="7"/>
        <v>16</v>
      </c>
      <c r="P493" t="str" cm="1">
        <f t="array" ref="P493">_xlfn.SWITCH(rounded[[#This Row],[depression_label]], 0, "Not Depressed", 1, "Depressed")</f>
        <v>Not Depressed</v>
      </c>
      <c r="Q493" s="45" t="str" cm="1">
        <f t="array" ref="Q493">_xlfn.SWITCH(rounded[[#This Row],[gender]], "male", "Male", "female", "Female")</f>
        <v>Female</v>
      </c>
    </row>
    <row r="494" spans="1:17" x14ac:dyDescent="0.35">
      <c r="A494">
        <v>13</v>
      </c>
      <c r="B494" t="s">
        <v>13</v>
      </c>
      <c r="C494" s="4">
        <v>4</v>
      </c>
      <c r="D494" t="s">
        <v>17</v>
      </c>
      <c r="E494" s="4">
        <v>5</v>
      </c>
      <c r="F494" s="4">
        <v>2.9</v>
      </c>
      <c r="G494">
        <v>3.84</v>
      </c>
      <c r="H494">
        <v>0.1</v>
      </c>
      <c r="I494" t="s">
        <v>15</v>
      </c>
      <c r="J494">
        <v>7</v>
      </c>
      <c r="K494">
        <v>8</v>
      </c>
      <c r="L494">
        <v>10</v>
      </c>
      <c r="M494">
        <v>0</v>
      </c>
      <c r="N494">
        <f>_xlfn.IFS(rounded[[#This Row],[social_interaction_level]] = "low", 1,rounded[[#This Row],[social_interaction_level]] = "medium", 2,rounded[[#This Row],[social_interaction_level]] = "high", 3)</f>
        <v>1</v>
      </c>
      <c r="O494">
        <f t="shared" si="7"/>
        <v>25</v>
      </c>
      <c r="P494" t="str" cm="1">
        <f t="array" ref="P494">_xlfn.SWITCH(rounded[[#This Row],[depression_label]], 0, "Not Depressed", 1, "Depressed")</f>
        <v>Not Depressed</v>
      </c>
      <c r="Q494" s="45" t="str" cm="1">
        <f t="array" ref="Q494">_xlfn.SWITCH(rounded[[#This Row],[gender]], "male", "Male", "female", "Female")</f>
        <v>Male</v>
      </c>
    </row>
    <row r="495" spans="1:17" x14ac:dyDescent="0.35">
      <c r="A495">
        <v>16</v>
      </c>
      <c r="B495" t="s">
        <v>16</v>
      </c>
      <c r="C495" s="4">
        <v>4.8</v>
      </c>
      <c r="D495" t="s">
        <v>14</v>
      </c>
      <c r="E495" s="4">
        <v>6.7</v>
      </c>
      <c r="F495" s="4">
        <v>1.4</v>
      </c>
      <c r="G495">
        <v>2.44</v>
      </c>
      <c r="H495">
        <v>0.3</v>
      </c>
      <c r="I495" t="s">
        <v>15</v>
      </c>
      <c r="J495">
        <v>1</v>
      </c>
      <c r="K495">
        <v>3</v>
      </c>
      <c r="L495">
        <v>1</v>
      </c>
      <c r="M495">
        <v>0</v>
      </c>
      <c r="N495">
        <f>_xlfn.IFS(rounded[[#This Row],[social_interaction_level]] = "low", 1,rounded[[#This Row],[social_interaction_level]] = "medium", 2,rounded[[#This Row],[social_interaction_level]] = "high", 3)</f>
        <v>1</v>
      </c>
      <c r="O495">
        <f t="shared" si="7"/>
        <v>5</v>
      </c>
      <c r="P495" t="str" cm="1">
        <f t="array" ref="P495">_xlfn.SWITCH(rounded[[#This Row],[depression_label]], 0, "Not Depressed", 1, "Depressed")</f>
        <v>Not Depressed</v>
      </c>
      <c r="Q495" s="45" t="str" cm="1">
        <f t="array" ref="Q495">_xlfn.SWITCH(rounded[[#This Row],[gender]], "male", "Male", "female", "Female")</f>
        <v>Female</v>
      </c>
    </row>
    <row r="496" spans="1:17" x14ac:dyDescent="0.35">
      <c r="A496">
        <v>19</v>
      </c>
      <c r="B496" t="s">
        <v>13</v>
      </c>
      <c r="C496" s="4">
        <v>5.8</v>
      </c>
      <c r="D496" t="s">
        <v>20</v>
      </c>
      <c r="E496" s="4">
        <v>7.5</v>
      </c>
      <c r="F496" s="4">
        <v>1.9</v>
      </c>
      <c r="G496">
        <v>2.08</v>
      </c>
      <c r="H496">
        <v>0.1</v>
      </c>
      <c r="I496" t="s">
        <v>18</v>
      </c>
      <c r="J496">
        <v>2</v>
      </c>
      <c r="K496">
        <v>1</v>
      </c>
      <c r="L496">
        <v>3</v>
      </c>
      <c r="M496">
        <v>0</v>
      </c>
      <c r="N496">
        <f>_xlfn.IFS(rounded[[#This Row],[social_interaction_level]] = "low", 1,rounded[[#This Row],[social_interaction_level]] = "medium", 2,rounded[[#This Row],[social_interaction_level]] = "high", 3)</f>
        <v>3</v>
      </c>
      <c r="O496">
        <f t="shared" si="7"/>
        <v>6</v>
      </c>
      <c r="P496" t="str" cm="1">
        <f t="array" ref="P496">_xlfn.SWITCH(rounded[[#This Row],[depression_label]], 0, "Not Depressed", 1, "Depressed")</f>
        <v>Not Depressed</v>
      </c>
      <c r="Q496" s="45" t="str" cm="1">
        <f t="array" ref="Q496">_xlfn.SWITCH(rounded[[#This Row],[gender]], "male", "Male", "female", "Female")</f>
        <v>Male</v>
      </c>
    </row>
    <row r="497" spans="1:17" x14ac:dyDescent="0.35">
      <c r="A497">
        <v>16</v>
      </c>
      <c r="B497" t="s">
        <v>13</v>
      </c>
      <c r="C497" s="4">
        <v>5.8</v>
      </c>
      <c r="D497" t="s">
        <v>20</v>
      </c>
      <c r="E497" s="4">
        <v>8.9</v>
      </c>
      <c r="F497" s="4">
        <v>1.1000000000000001</v>
      </c>
      <c r="G497">
        <v>2.08</v>
      </c>
      <c r="H497">
        <v>1.9</v>
      </c>
      <c r="I497" t="s">
        <v>19</v>
      </c>
      <c r="J497">
        <v>8</v>
      </c>
      <c r="K497">
        <v>5</v>
      </c>
      <c r="L497">
        <v>9</v>
      </c>
      <c r="M497">
        <v>0</v>
      </c>
      <c r="N497">
        <f>_xlfn.IFS(rounded[[#This Row],[social_interaction_level]] = "low", 1,rounded[[#This Row],[social_interaction_level]] = "medium", 2,rounded[[#This Row],[social_interaction_level]] = "high", 3)</f>
        <v>2</v>
      </c>
      <c r="O497">
        <f t="shared" si="7"/>
        <v>22</v>
      </c>
      <c r="P497" t="str" cm="1">
        <f t="array" ref="P497">_xlfn.SWITCH(rounded[[#This Row],[depression_label]], 0, "Not Depressed", 1, "Depressed")</f>
        <v>Not Depressed</v>
      </c>
      <c r="Q497" s="45" t="str" cm="1">
        <f t="array" ref="Q497">_xlfn.SWITCH(rounded[[#This Row],[gender]], "male", "Male", "female", "Female")</f>
        <v>Male</v>
      </c>
    </row>
    <row r="498" spans="1:17" x14ac:dyDescent="0.35">
      <c r="A498">
        <v>13</v>
      </c>
      <c r="B498" t="s">
        <v>13</v>
      </c>
      <c r="C498" s="4">
        <v>3.2</v>
      </c>
      <c r="D498" t="s">
        <v>17</v>
      </c>
      <c r="E498" s="4">
        <v>5.0999999999999996</v>
      </c>
      <c r="F498" s="4">
        <v>1.6</v>
      </c>
      <c r="G498">
        <v>2.87</v>
      </c>
      <c r="H498">
        <v>1.8</v>
      </c>
      <c r="I498" t="s">
        <v>19</v>
      </c>
      <c r="J498">
        <v>4</v>
      </c>
      <c r="K498">
        <v>9</v>
      </c>
      <c r="L498">
        <v>8</v>
      </c>
      <c r="M498">
        <v>0</v>
      </c>
      <c r="N498">
        <f>_xlfn.IFS(rounded[[#This Row],[social_interaction_level]] = "low", 1,rounded[[#This Row],[social_interaction_level]] = "medium", 2,rounded[[#This Row],[social_interaction_level]] = "high", 3)</f>
        <v>2</v>
      </c>
      <c r="O498">
        <f t="shared" si="7"/>
        <v>21</v>
      </c>
      <c r="P498" t="str" cm="1">
        <f t="array" ref="P498">_xlfn.SWITCH(rounded[[#This Row],[depression_label]], 0, "Not Depressed", 1, "Depressed")</f>
        <v>Not Depressed</v>
      </c>
      <c r="Q498" s="45" t="str" cm="1">
        <f t="array" ref="Q498">_xlfn.SWITCH(rounded[[#This Row],[gender]], "male", "Male", "female", "Female")</f>
        <v>Male</v>
      </c>
    </row>
    <row r="499" spans="1:17" x14ac:dyDescent="0.35">
      <c r="A499">
        <v>16</v>
      </c>
      <c r="B499" t="s">
        <v>16</v>
      </c>
      <c r="C499" s="4">
        <v>5.2</v>
      </c>
      <c r="D499" t="s">
        <v>20</v>
      </c>
      <c r="E499" s="4">
        <v>4</v>
      </c>
      <c r="F499" s="4">
        <v>2.4</v>
      </c>
      <c r="G499">
        <v>2.35</v>
      </c>
      <c r="H499">
        <v>1.6</v>
      </c>
      <c r="I499" t="s">
        <v>15</v>
      </c>
      <c r="J499">
        <v>10</v>
      </c>
      <c r="K499">
        <v>5</v>
      </c>
      <c r="L499">
        <v>2</v>
      </c>
      <c r="M499">
        <v>0</v>
      </c>
      <c r="N499">
        <f>_xlfn.IFS(rounded[[#This Row],[social_interaction_level]] = "low", 1,rounded[[#This Row],[social_interaction_level]] = "medium", 2,rounded[[#This Row],[social_interaction_level]] = "high", 3)</f>
        <v>1</v>
      </c>
      <c r="O499">
        <f t="shared" si="7"/>
        <v>17</v>
      </c>
      <c r="P499" t="str" cm="1">
        <f t="array" ref="P499">_xlfn.SWITCH(rounded[[#This Row],[depression_label]], 0, "Not Depressed", 1, "Depressed")</f>
        <v>Not Depressed</v>
      </c>
      <c r="Q499" s="45" t="str" cm="1">
        <f t="array" ref="Q499">_xlfn.SWITCH(rounded[[#This Row],[gender]], "male", "Male", "female", "Female")</f>
        <v>Female</v>
      </c>
    </row>
    <row r="500" spans="1:17" x14ac:dyDescent="0.35">
      <c r="A500">
        <v>17</v>
      </c>
      <c r="B500" t="s">
        <v>13</v>
      </c>
      <c r="C500" s="4">
        <v>2.4</v>
      </c>
      <c r="D500" t="s">
        <v>17</v>
      </c>
      <c r="E500" s="4">
        <v>6</v>
      </c>
      <c r="F500" s="4">
        <v>0.7</v>
      </c>
      <c r="G500">
        <v>3.67</v>
      </c>
      <c r="H500">
        <v>1.5</v>
      </c>
      <c r="I500" t="s">
        <v>15</v>
      </c>
      <c r="J500">
        <v>7</v>
      </c>
      <c r="K500">
        <v>9</v>
      </c>
      <c r="L500">
        <v>2</v>
      </c>
      <c r="M500">
        <v>0</v>
      </c>
      <c r="N500">
        <f>_xlfn.IFS(rounded[[#This Row],[social_interaction_level]] = "low", 1,rounded[[#This Row],[social_interaction_level]] = "medium", 2,rounded[[#This Row],[social_interaction_level]] = "high", 3)</f>
        <v>1</v>
      </c>
      <c r="O500">
        <f t="shared" si="7"/>
        <v>18</v>
      </c>
      <c r="P500" t="str" cm="1">
        <f t="array" ref="P500">_xlfn.SWITCH(rounded[[#This Row],[depression_label]], 0, "Not Depressed", 1, "Depressed")</f>
        <v>Not Depressed</v>
      </c>
      <c r="Q500" s="45" t="str" cm="1">
        <f t="array" ref="Q500">_xlfn.SWITCH(rounded[[#This Row],[gender]], "male", "Male", "female", "Female")</f>
        <v>Male</v>
      </c>
    </row>
    <row r="501" spans="1:17" x14ac:dyDescent="0.35">
      <c r="A501">
        <v>15</v>
      </c>
      <c r="B501" t="s">
        <v>13</v>
      </c>
      <c r="C501" s="4">
        <v>7.4</v>
      </c>
      <c r="D501" t="s">
        <v>20</v>
      </c>
      <c r="E501" s="4">
        <v>5.9</v>
      </c>
      <c r="F501" s="4">
        <v>2.6</v>
      </c>
      <c r="G501">
        <v>2.89</v>
      </c>
      <c r="H501">
        <v>1.9</v>
      </c>
      <c r="I501" t="s">
        <v>19</v>
      </c>
      <c r="J501">
        <v>7</v>
      </c>
      <c r="K501">
        <v>3</v>
      </c>
      <c r="L501">
        <v>8</v>
      </c>
      <c r="M501">
        <v>0</v>
      </c>
      <c r="N501">
        <f>_xlfn.IFS(rounded[[#This Row],[social_interaction_level]] = "low", 1,rounded[[#This Row],[social_interaction_level]] = "medium", 2,rounded[[#This Row],[social_interaction_level]] = "high", 3)</f>
        <v>2</v>
      </c>
      <c r="O501">
        <f t="shared" si="7"/>
        <v>18</v>
      </c>
      <c r="P501" t="str" cm="1">
        <f t="array" ref="P501">_xlfn.SWITCH(rounded[[#This Row],[depression_label]], 0, "Not Depressed", 1, "Depressed")</f>
        <v>Not Depressed</v>
      </c>
      <c r="Q501" s="45" t="str" cm="1">
        <f t="array" ref="Q501">_xlfn.SWITCH(rounded[[#This Row],[gender]], "male", "Male", "female", "Female")</f>
        <v>Male</v>
      </c>
    </row>
    <row r="502" spans="1:17" x14ac:dyDescent="0.35">
      <c r="A502">
        <v>18</v>
      </c>
      <c r="B502" t="s">
        <v>16</v>
      </c>
      <c r="C502" s="4">
        <v>7.1</v>
      </c>
      <c r="D502" t="s">
        <v>14</v>
      </c>
      <c r="E502" s="4">
        <v>4.8</v>
      </c>
      <c r="F502" s="4">
        <v>2.1</v>
      </c>
      <c r="G502">
        <v>2.5099999999999998</v>
      </c>
      <c r="H502">
        <v>0.9</v>
      </c>
      <c r="I502" t="s">
        <v>18</v>
      </c>
      <c r="J502">
        <v>1</v>
      </c>
      <c r="K502">
        <v>1</v>
      </c>
      <c r="L502">
        <v>10</v>
      </c>
      <c r="M502">
        <v>0</v>
      </c>
      <c r="N502">
        <f>_xlfn.IFS(rounded[[#This Row],[social_interaction_level]] = "low", 1,rounded[[#This Row],[social_interaction_level]] = "medium", 2,rounded[[#This Row],[social_interaction_level]] = "high", 3)</f>
        <v>3</v>
      </c>
      <c r="O502">
        <f t="shared" si="7"/>
        <v>12</v>
      </c>
      <c r="P502" t="str" cm="1">
        <f t="array" ref="P502">_xlfn.SWITCH(rounded[[#This Row],[depression_label]], 0, "Not Depressed", 1, "Depressed")</f>
        <v>Not Depressed</v>
      </c>
      <c r="Q502" s="45" t="str" cm="1">
        <f t="array" ref="Q502">_xlfn.SWITCH(rounded[[#This Row],[gender]], "male", "Male", "female", "Female")</f>
        <v>Female</v>
      </c>
    </row>
    <row r="503" spans="1:17" x14ac:dyDescent="0.35">
      <c r="A503">
        <v>16</v>
      </c>
      <c r="B503" t="s">
        <v>13</v>
      </c>
      <c r="C503" s="4">
        <v>6.5</v>
      </c>
      <c r="D503" t="s">
        <v>17</v>
      </c>
      <c r="E503" s="4">
        <v>7.4</v>
      </c>
      <c r="F503" s="4">
        <v>1.9</v>
      </c>
      <c r="G503">
        <v>2.2200000000000002</v>
      </c>
      <c r="H503">
        <v>1.1000000000000001</v>
      </c>
      <c r="I503" t="s">
        <v>19</v>
      </c>
      <c r="J503">
        <v>10</v>
      </c>
      <c r="K503">
        <v>10</v>
      </c>
      <c r="L503">
        <v>2</v>
      </c>
      <c r="M503">
        <v>0</v>
      </c>
      <c r="N503">
        <f>_xlfn.IFS(rounded[[#This Row],[social_interaction_level]] = "low", 1,rounded[[#This Row],[social_interaction_level]] = "medium", 2,rounded[[#This Row],[social_interaction_level]] = "high", 3)</f>
        <v>2</v>
      </c>
      <c r="O503">
        <f t="shared" si="7"/>
        <v>22</v>
      </c>
      <c r="P503" t="str" cm="1">
        <f t="array" ref="P503">_xlfn.SWITCH(rounded[[#This Row],[depression_label]], 0, "Not Depressed", 1, "Depressed")</f>
        <v>Not Depressed</v>
      </c>
      <c r="Q503" s="45" t="str" cm="1">
        <f t="array" ref="Q503">_xlfn.SWITCH(rounded[[#This Row],[gender]], "male", "Male", "female", "Female")</f>
        <v>Male</v>
      </c>
    </row>
    <row r="504" spans="1:17" x14ac:dyDescent="0.35">
      <c r="A504">
        <v>13</v>
      </c>
      <c r="B504" t="s">
        <v>13</v>
      </c>
      <c r="C504" s="4">
        <v>7.4</v>
      </c>
      <c r="D504" t="s">
        <v>20</v>
      </c>
      <c r="E504" s="4">
        <v>7</v>
      </c>
      <c r="F504" s="4">
        <v>1.8</v>
      </c>
      <c r="G504">
        <v>2.17</v>
      </c>
      <c r="H504">
        <v>1.4</v>
      </c>
      <c r="I504" t="s">
        <v>19</v>
      </c>
      <c r="J504">
        <v>9</v>
      </c>
      <c r="K504">
        <v>10</v>
      </c>
      <c r="L504">
        <v>5</v>
      </c>
      <c r="M504">
        <v>0</v>
      </c>
      <c r="N504">
        <f>_xlfn.IFS(rounded[[#This Row],[social_interaction_level]] = "low", 1,rounded[[#This Row],[social_interaction_level]] = "medium", 2,rounded[[#This Row],[social_interaction_level]] = "high", 3)</f>
        <v>2</v>
      </c>
      <c r="O504">
        <f t="shared" si="7"/>
        <v>24</v>
      </c>
      <c r="P504" t="str" cm="1">
        <f t="array" ref="P504">_xlfn.SWITCH(rounded[[#This Row],[depression_label]], 0, "Not Depressed", 1, "Depressed")</f>
        <v>Not Depressed</v>
      </c>
      <c r="Q504" s="45" t="str" cm="1">
        <f t="array" ref="Q504">_xlfn.SWITCH(rounded[[#This Row],[gender]], "male", "Male", "female", "Female")</f>
        <v>Male</v>
      </c>
    </row>
    <row r="505" spans="1:17" x14ac:dyDescent="0.35">
      <c r="A505">
        <v>15</v>
      </c>
      <c r="B505" t="s">
        <v>16</v>
      </c>
      <c r="C505" s="4">
        <v>3.9</v>
      </c>
      <c r="D505" t="s">
        <v>14</v>
      </c>
      <c r="E505" s="4">
        <v>6.4</v>
      </c>
      <c r="F505" s="4">
        <v>1.7</v>
      </c>
      <c r="G505">
        <v>2.87</v>
      </c>
      <c r="H505">
        <v>1.8</v>
      </c>
      <c r="I505" t="s">
        <v>18</v>
      </c>
      <c r="J505">
        <v>6</v>
      </c>
      <c r="K505">
        <v>6</v>
      </c>
      <c r="L505">
        <v>6</v>
      </c>
      <c r="M505">
        <v>0</v>
      </c>
      <c r="N505">
        <f>_xlfn.IFS(rounded[[#This Row],[social_interaction_level]] = "low", 1,rounded[[#This Row],[social_interaction_level]] = "medium", 2,rounded[[#This Row],[social_interaction_level]] = "high", 3)</f>
        <v>3</v>
      </c>
      <c r="O505">
        <f t="shared" si="7"/>
        <v>18</v>
      </c>
      <c r="P505" t="str" cm="1">
        <f t="array" ref="P505">_xlfn.SWITCH(rounded[[#This Row],[depression_label]], 0, "Not Depressed", 1, "Depressed")</f>
        <v>Not Depressed</v>
      </c>
      <c r="Q505" s="45" t="str" cm="1">
        <f t="array" ref="Q505">_xlfn.SWITCH(rounded[[#This Row],[gender]], "male", "Male", "female", "Female")</f>
        <v>Female</v>
      </c>
    </row>
    <row r="506" spans="1:17" x14ac:dyDescent="0.35">
      <c r="A506">
        <v>15</v>
      </c>
      <c r="B506" t="s">
        <v>16</v>
      </c>
      <c r="C506" s="4">
        <v>4.5999999999999996</v>
      </c>
      <c r="D506" t="s">
        <v>20</v>
      </c>
      <c r="E506" s="4">
        <v>8.6</v>
      </c>
      <c r="F506" s="4">
        <v>2</v>
      </c>
      <c r="G506">
        <v>3.01</v>
      </c>
      <c r="H506">
        <v>0</v>
      </c>
      <c r="I506" t="s">
        <v>15</v>
      </c>
      <c r="J506">
        <v>1</v>
      </c>
      <c r="K506">
        <v>8</v>
      </c>
      <c r="L506">
        <v>3</v>
      </c>
      <c r="M506">
        <v>0</v>
      </c>
      <c r="N506">
        <f>_xlfn.IFS(rounded[[#This Row],[social_interaction_level]] = "low", 1,rounded[[#This Row],[social_interaction_level]] = "medium", 2,rounded[[#This Row],[social_interaction_level]] = "high", 3)</f>
        <v>1</v>
      </c>
      <c r="O506">
        <f t="shared" si="7"/>
        <v>12</v>
      </c>
      <c r="P506" t="str" cm="1">
        <f t="array" ref="P506">_xlfn.SWITCH(rounded[[#This Row],[depression_label]], 0, "Not Depressed", 1, "Depressed")</f>
        <v>Not Depressed</v>
      </c>
      <c r="Q506" s="45" t="str" cm="1">
        <f t="array" ref="Q506">_xlfn.SWITCH(rounded[[#This Row],[gender]], "male", "Male", "female", "Female")</f>
        <v>Female</v>
      </c>
    </row>
    <row r="507" spans="1:17" x14ac:dyDescent="0.35">
      <c r="A507">
        <v>19</v>
      </c>
      <c r="B507" t="s">
        <v>13</v>
      </c>
      <c r="C507" s="4">
        <v>1.5</v>
      </c>
      <c r="D507" t="s">
        <v>17</v>
      </c>
      <c r="E507" s="4">
        <v>6.7</v>
      </c>
      <c r="F507" s="4">
        <v>1</v>
      </c>
      <c r="G507">
        <v>3.9</v>
      </c>
      <c r="H507">
        <v>0.4</v>
      </c>
      <c r="I507" t="s">
        <v>15</v>
      </c>
      <c r="J507">
        <v>4</v>
      </c>
      <c r="K507">
        <v>3</v>
      </c>
      <c r="L507">
        <v>3</v>
      </c>
      <c r="M507">
        <v>0</v>
      </c>
      <c r="N507">
        <f>_xlfn.IFS(rounded[[#This Row],[social_interaction_level]] = "low", 1,rounded[[#This Row],[social_interaction_level]] = "medium", 2,rounded[[#This Row],[social_interaction_level]] = "high", 3)</f>
        <v>1</v>
      </c>
      <c r="O507">
        <f t="shared" si="7"/>
        <v>10</v>
      </c>
      <c r="P507" t="str" cm="1">
        <f t="array" ref="P507">_xlfn.SWITCH(rounded[[#This Row],[depression_label]], 0, "Not Depressed", 1, "Depressed")</f>
        <v>Not Depressed</v>
      </c>
      <c r="Q507" s="45" t="str" cm="1">
        <f t="array" ref="Q507">_xlfn.SWITCH(rounded[[#This Row],[gender]], "male", "Male", "female", "Female")</f>
        <v>Male</v>
      </c>
    </row>
    <row r="508" spans="1:17" x14ac:dyDescent="0.35">
      <c r="A508">
        <v>15</v>
      </c>
      <c r="B508" t="s">
        <v>16</v>
      </c>
      <c r="C508" s="4">
        <v>5.8</v>
      </c>
      <c r="D508" t="s">
        <v>14</v>
      </c>
      <c r="E508" s="4">
        <v>7.1</v>
      </c>
      <c r="F508" s="4">
        <v>1.1000000000000001</v>
      </c>
      <c r="G508">
        <v>3.72</v>
      </c>
      <c r="H508">
        <v>1.5</v>
      </c>
      <c r="I508" t="s">
        <v>15</v>
      </c>
      <c r="J508">
        <v>9</v>
      </c>
      <c r="K508">
        <v>6</v>
      </c>
      <c r="L508">
        <v>6</v>
      </c>
      <c r="M508">
        <v>0</v>
      </c>
      <c r="N508">
        <f>_xlfn.IFS(rounded[[#This Row],[social_interaction_level]] = "low", 1,rounded[[#This Row],[social_interaction_level]] = "medium", 2,rounded[[#This Row],[social_interaction_level]] = "high", 3)</f>
        <v>1</v>
      </c>
      <c r="O508">
        <f t="shared" si="7"/>
        <v>21</v>
      </c>
      <c r="P508" t="str" cm="1">
        <f t="array" ref="P508">_xlfn.SWITCH(rounded[[#This Row],[depression_label]], 0, "Not Depressed", 1, "Depressed")</f>
        <v>Not Depressed</v>
      </c>
      <c r="Q508" s="45" t="str" cm="1">
        <f t="array" ref="Q508">_xlfn.SWITCH(rounded[[#This Row],[gender]], "male", "Male", "female", "Female")</f>
        <v>Female</v>
      </c>
    </row>
    <row r="509" spans="1:17" x14ac:dyDescent="0.35">
      <c r="A509">
        <v>17</v>
      </c>
      <c r="B509" t="s">
        <v>16</v>
      </c>
      <c r="C509" s="4">
        <v>6.4</v>
      </c>
      <c r="D509" t="s">
        <v>17</v>
      </c>
      <c r="E509" s="4">
        <v>4.9000000000000004</v>
      </c>
      <c r="F509" s="4">
        <v>2.1</v>
      </c>
      <c r="G509">
        <v>2.78</v>
      </c>
      <c r="H509">
        <v>1</v>
      </c>
      <c r="I509" t="s">
        <v>18</v>
      </c>
      <c r="J509">
        <v>2</v>
      </c>
      <c r="K509">
        <v>2</v>
      </c>
      <c r="L509">
        <v>6</v>
      </c>
      <c r="M509">
        <v>0</v>
      </c>
      <c r="N509">
        <f>_xlfn.IFS(rounded[[#This Row],[social_interaction_level]] = "low", 1,rounded[[#This Row],[social_interaction_level]] = "medium", 2,rounded[[#This Row],[social_interaction_level]] = "high", 3)</f>
        <v>3</v>
      </c>
      <c r="O509">
        <f t="shared" si="7"/>
        <v>10</v>
      </c>
      <c r="P509" t="str" cm="1">
        <f t="array" ref="P509">_xlfn.SWITCH(rounded[[#This Row],[depression_label]], 0, "Not Depressed", 1, "Depressed")</f>
        <v>Not Depressed</v>
      </c>
      <c r="Q509" s="45" t="str" cm="1">
        <f t="array" ref="Q509">_xlfn.SWITCH(rounded[[#This Row],[gender]], "male", "Male", "female", "Female")</f>
        <v>Female</v>
      </c>
    </row>
    <row r="510" spans="1:17" x14ac:dyDescent="0.35">
      <c r="A510">
        <v>16</v>
      </c>
      <c r="B510" t="s">
        <v>16</v>
      </c>
      <c r="C510" s="4">
        <v>2.1</v>
      </c>
      <c r="D510" t="s">
        <v>17</v>
      </c>
      <c r="E510" s="4">
        <v>8.1999999999999993</v>
      </c>
      <c r="F510" s="4">
        <v>2.4</v>
      </c>
      <c r="G510">
        <v>3.25</v>
      </c>
      <c r="H510">
        <v>0.1</v>
      </c>
      <c r="I510" t="s">
        <v>18</v>
      </c>
      <c r="J510">
        <v>1</v>
      </c>
      <c r="K510">
        <v>1</v>
      </c>
      <c r="L510">
        <v>8</v>
      </c>
      <c r="M510">
        <v>0</v>
      </c>
      <c r="N510">
        <f>_xlfn.IFS(rounded[[#This Row],[social_interaction_level]] = "low", 1,rounded[[#This Row],[social_interaction_level]] = "medium", 2,rounded[[#This Row],[social_interaction_level]] = "high", 3)</f>
        <v>3</v>
      </c>
      <c r="O510">
        <f t="shared" si="7"/>
        <v>10</v>
      </c>
      <c r="P510" t="str" cm="1">
        <f t="array" ref="P510">_xlfn.SWITCH(rounded[[#This Row],[depression_label]], 0, "Not Depressed", 1, "Depressed")</f>
        <v>Not Depressed</v>
      </c>
      <c r="Q510" s="45" t="str" cm="1">
        <f t="array" ref="Q510">_xlfn.SWITCH(rounded[[#This Row],[gender]], "male", "Male", "female", "Female")</f>
        <v>Female</v>
      </c>
    </row>
    <row r="511" spans="1:17" x14ac:dyDescent="0.35">
      <c r="A511">
        <v>17</v>
      </c>
      <c r="B511" t="s">
        <v>16</v>
      </c>
      <c r="C511" s="4">
        <v>2.2000000000000002</v>
      </c>
      <c r="D511" t="s">
        <v>17</v>
      </c>
      <c r="E511" s="4">
        <v>6.5</v>
      </c>
      <c r="F511" s="4">
        <v>3</v>
      </c>
      <c r="G511">
        <v>2.4900000000000002</v>
      </c>
      <c r="H511">
        <v>0.2</v>
      </c>
      <c r="I511" t="s">
        <v>19</v>
      </c>
      <c r="J511">
        <v>5</v>
      </c>
      <c r="K511">
        <v>8</v>
      </c>
      <c r="L511">
        <v>4</v>
      </c>
      <c r="M511">
        <v>0</v>
      </c>
      <c r="N511">
        <f>_xlfn.IFS(rounded[[#This Row],[social_interaction_level]] = "low", 1,rounded[[#This Row],[social_interaction_level]] = "medium", 2,rounded[[#This Row],[social_interaction_level]] = "high", 3)</f>
        <v>2</v>
      </c>
      <c r="O511">
        <f t="shared" si="7"/>
        <v>17</v>
      </c>
      <c r="P511" t="str" cm="1">
        <f t="array" ref="P511">_xlfn.SWITCH(rounded[[#This Row],[depression_label]], 0, "Not Depressed", 1, "Depressed")</f>
        <v>Not Depressed</v>
      </c>
      <c r="Q511" s="45" t="str" cm="1">
        <f t="array" ref="Q511">_xlfn.SWITCH(rounded[[#This Row],[gender]], "male", "Male", "female", "Female")</f>
        <v>Female</v>
      </c>
    </row>
    <row r="512" spans="1:17" x14ac:dyDescent="0.35">
      <c r="A512">
        <v>14</v>
      </c>
      <c r="B512" t="s">
        <v>13</v>
      </c>
      <c r="C512" s="4">
        <v>5.5</v>
      </c>
      <c r="D512" t="s">
        <v>17</v>
      </c>
      <c r="E512" s="4">
        <v>7.4</v>
      </c>
      <c r="F512" s="4">
        <v>2.9</v>
      </c>
      <c r="G512">
        <v>3.54</v>
      </c>
      <c r="H512">
        <v>1.1000000000000001</v>
      </c>
      <c r="I512" t="s">
        <v>18</v>
      </c>
      <c r="J512">
        <v>8</v>
      </c>
      <c r="K512">
        <v>4</v>
      </c>
      <c r="L512">
        <v>10</v>
      </c>
      <c r="M512">
        <v>0</v>
      </c>
      <c r="N512">
        <f>_xlfn.IFS(rounded[[#This Row],[social_interaction_level]] = "low", 1,rounded[[#This Row],[social_interaction_level]] = "medium", 2,rounded[[#This Row],[social_interaction_level]] = "high", 3)</f>
        <v>3</v>
      </c>
      <c r="O512">
        <f t="shared" si="7"/>
        <v>22</v>
      </c>
      <c r="P512" t="str" cm="1">
        <f t="array" ref="P512">_xlfn.SWITCH(rounded[[#This Row],[depression_label]], 0, "Not Depressed", 1, "Depressed")</f>
        <v>Not Depressed</v>
      </c>
      <c r="Q512" s="45" t="str" cm="1">
        <f t="array" ref="Q512">_xlfn.SWITCH(rounded[[#This Row],[gender]], "male", "Male", "female", "Female")</f>
        <v>Male</v>
      </c>
    </row>
    <row r="513" spans="1:17" x14ac:dyDescent="0.35">
      <c r="A513">
        <v>17</v>
      </c>
      <c r="B513" t="s">
        <v>16</v>
      </c>
      <c r="C513" s="4">
        <v>6.6</v>
      </c>
      <c r="D513" t="s">
        <v>20</v>
      </c>
      <c r="E513" s="4">
        <v>7.4</v>
      </c>
      <c r="F513" s="4">
        <v>2.2000000000000002</v>
      </c>
      <c r="G513">
        <v>2.63</v>
      </c>
      <c r="H513">
        <v>0.6</v>
      </c>
      <c r="I513" t="s">
        <v>18</v>
      </c>
      <c r="J513">
        <v>7</v>
      </c>
      <c r="K513">
        <v>4</v>
      </c>
      <c r="L513">
        <v>9</v>
      </c>
      <c r="M513">
        <v>0</v>
      </c>
      <c r="N513">
        <f>_xlfn.IFS(rounded[[#This Row],[social_interaction_level]] = "low", 1,rounded[[#This Row],[social_interaction_level]] = "medium", 2,rounded[[#This Row],[social_interaction_level]] = "high", 3)</f>
        <v>3</v>
      </c>
      <c r="O513">
        <f t="shared" si="7"/>
        <v>20</v>
      </c>
      <c r="P513" t="str" cm="1">
        <f t="array" ref="P513">_xlfn.SWITCH(rounded[[#This Row],[depression_label]], 0, "Not Depressed", 1, "Depressed")</f>
        <v>Not Depressed</v>
      </c>
      <c r="Q513" s="45" t="str" cm="1">
        <f t="array" ref="Q513">_xlfn.SWITCH(rounded[[#This Row],[gender]], "male", "Male", "female", "Female")</f>
        <v>Female</v>
      </c>
    </row>
    <row r="514" spans="1:17" x14ac:dyDescent="0.35">
      <c r="A514">
        <v>19</v>
      </c>
      <c r="B514" t="s">
        <v>16</v>
      </c>
      <c r="C514" s="4">
        <v>5.2</v>
      </c>
      <c r="D514" t="s">
        <v>14</v>
      </c>
      <c r="E514" s="4">
        <v>6.6</v>
      </c>
      <c r="F514" s="4">
        <v>1.6</v>
      </c>
      <c r="G514">
        <v>2.36</v>
      </c>
      <c r="H514">
        <v>1.4</v>
      </c>
      <c r="I514" t="s">
        <v>15</v>
      </c>
      <c r="J514">
        <v>2</v>
      </c>
      <c r="K514">
        <v>6</v>
      </c>
      <c r="L514">
        <v>10</v>
      </c>
      <c r="M514">
        <v>0</v>
      </c>
      <c r="N514">
        <f>_xlfn.IFS(rounded[[#This Row],[social_interaction_level]] = "low", 1,rounded[[#This Row],[social_interaction_level]] = "medium", 2,rounded[[#This Row],[social_interaction_level]] = "high", 3)</f>
        <v>1</v>
      </c>
      <c r="O514">
        <f t="shared" ref="O514:O577" si="8">SUM(J514+K514+L514)</f>
        <v>18</v>
      </c>
      <c r="P514" t="str" cm="1">
        <f t="array" ref="P514">_xlfn.SWITCH(rounded[[#This Row],[depression_label]], 0, "Not Depressed", 1, "Depressed")</f>
        <v>Not Depressed</v>
      </c>
      <c r="Q514" s="45" t="str" cm="1">
        <f t="array" ref="Q514">_xlfn.SWITCH(rounded[[#This Row],[gender]], "male", "Male", "female", "Female")</f>
        <v>Female</v>
      </c>
    </row>
    <row r="515" spans="1:17" x14ac:dyDescent="0.35">
      <c r="A515">
        <v>17</v>
      </c>
      <c r="B515" t="s">
        <v>13</v>
      </c>
      <c r="C515" s="4">
        <v>4.7</v>
      </c>
      <c r="D515" t="s">
        <v>17</v>
      </c>
      <c r="E515" s="4">
        <v>5.0999999999999996</v>
      </c>
      <c r="F515" s="4">
        <v>2</v>
      </c>
      <c r="G515">
        <v>2.35</v>
      </c>
      <c r="H515">
        <v>1.8</v>
      </c>
      <c r="I515" t="s">
        <v>15</v>
      </c>
      <c r="J515">
        <v>8</v>
      </c>
      <c r="K515">
        <v>9</v>
      </c>
      <c r="L515">
        <v>1</v>
      </c>
      <c r="M515">
        <v>0</v>
      </c>
      <c r="N515">
        <f>_xlfn.IFS(rounded[[#This Row],[social_interaction_level]] = "low", 1,rounded[[#This Row],[social_interaction_level]] = "medium", 2,rounded[[#This Row],[social_interaction_level]] = "high", 3)</f>
        <v>1</v>
      </c>
      <c r="O515">
        <f t="shared" si="8"/>
        <v>18</v>
      </c>
      <c r="P515" t="str" cm="1">
        <f t="array" ref="P515">_xlfn.SWITCH(rounded[[#This Row],[depression_label]], 0, "Not Depressed", 1, "Depressed")</f>
        <v>Not Depressed</v>
      </c>
      <c r="Q515" s="45" t="str" cm="1">
        <f t="array" ref="Q515">_xlfn.SWITCH(rounded[[#This Row],[gender]], "male", "Male", "female", "Female")</f>
        <v>Male</v>
      </c>
    </row>
    <row r="516" spans="1:17" x14ac:dyDescent="0.35">
      <c r="A516">
        <v>19</v>
      </c>
      <c r="B516" t="s">
        <v>16</v>
      </c>
      <c r="C516" s="4">
        <v>7.1</v>
      </c>
      <c r="D516" t="s">
        <v>20</v>
      </c>
      <c r="E516" s="4">
        <v>6.3</v>
      </c>
      <c r="F516" s="4">
        <v>2.2000000000000002</v>
      </c>
      <c r="G516">
        <v>3.88</v>
      </c>
      <c r="H516">
        <v>0.8</v>
      </c>
      <c r="I516" t="s">
        <v>18</v>
      </c>
      <c r="J516">
        <v>10</v>
      </c>
      <c r="K516">
        <v>4</v>
      </c>
      <c r="L516">
        <v>9</v>
      </c>
      <c r="M516">
        <v>0</v>
      </c>
      <c r="N516">
        <f>_xlfn.IFS(rounded[[#This Row],[social_interaction_level]] = "low", 1,rounded[[#This Row],[social_interaction_level]] = "medium", 2,rounded[[#This Row],[social_interaction_level]] = "high", 3)</f>
        <v>3</v>
      </c>
      <c r="O516">
        <f t="shared" si="8"/>
        <v>23</v>
      </c>
      <c r="P516" t="str" cm="1">
        <f t="array" ref="P516">_xlfn.SWITCH(rounded[[#This Row],[depression_label]], 0, "Not Depressed", 1, "Depressed")</f>
        <v>Not Depressed</v>
      </c>
      <c r="Q516" s="45" t="str" cm="1">
        <f t="array" ref="Q516">_xlfn.SWITCH(rounded[[#This Row],[gender]], "male", "Male", "female", "Female")</f>
        <v>Female</v>
      </c>
    </row>
    <row r="517" spans="1:17" x14ac:dyDescent="0.35">
      <c r="A517">
        <v>19</v>
      </c>
      <c r="B517" t="s">
        <v>16</v>
      </c>
      <c r="C517" s="4">
        <v>4.2</v>
      </c>
      <c r="D517" t="s">
        <v>20</v>
      </c>
      <c r="E517" s="4">
        <v>8.1</v>
      </c>
      <c r="F517" s="4">
        <v>1.4</v>
      </c>
      <c r="G517">
        <v>2.66</v>
      </c>
      <c r="H517">
        <v>1.9</v>
      </c>
      <c r="I517" t="s">
        <v>15</v>
      </c>
      <c r="J517">
        <v>9</v>
      </c>
      <c r="K517">
        <v>4</v>
      </c>
      <c r="L517">
        <v>2</v>
      </c>
      <c r="M517">
        <v>0</v>
      </c>
      <c r="N517">
        <f>_xlfn.IFS(rounded[[#This Row],[social_interaction_level]] = "low", 1,rounded[[#This Row],[social_interaction_level]] = "medium", 2,rounded[[#This Row],[social_interaction_level]] = "high", 3)</f>
        <v>1</v>
      </c>
      <c r="O517">
        <f t="shared" si="8"/>
        <v>15</v>
      </c>
      <c r="P517" t="str" cm="1">
        <f t="array" ref="P517">_xlfn.SWITCH(rounded[[#This Row],[depression_label]], 0, "Not Depressed", 1, "Depressed")</f>
        <v>Not Depressed</v>
      </c>
      <c r="Q517" s="45" t="str" cm="1">
        <f t="array" ref="Q517">_xlfn.SWITCH(rounded[[#This Row],[gender]], "male", "Male", "female", "Female")</f>
        <v>Female</v>
      </c>
    </row>
    <row r="518" spans="1:17" x14ac:dyDescent="0.35">
      <c r="A518">
        <v>17</v>
      </c>
      <c r="B518" t="s">
        <v>16</v>
      </c>
      <c r="C518" s="4">
        <v>1.3</v>
      </c>
      <c r="D518" t="s">
        <v>14</v>
      </c>
      <c r="E518" s="4">
        <v>5.0999999999999996</v>
      </c>
      <c r="F518" s="4">
        <v>2.2000000000000002</v>
      </c>
      <c r="G518">
        <v>3.44</v>
      </c>
      <c r="H518">
        <v>0.6</v>
      </c>
      <c r="I518" t="s">
        <v>18</v>
      </c>
      <c r="J518">
        <v>7</v>
      </c>
      <c r="K518">
        <v>8</v>
      </c>
      <c r="L518">
        <v>6</v>
      </c>
      <c r="M518">
        <v>0</v>
      </c>
      <c r="N518">
        <f>_xlfn.IFS(rounded[[#This Row],[social_interaction_level]] = "low", 1,rounded[[#This Row],[social_interaction_level]] = "medium", 2,rounded[[#This Row],[social_interaction_level]] = "high", 3)</f>
        <v>3</v>
      </c>
      <c r="O518">
        <f t="shared" si="8"/>
        <v>21</v>
      </c>
      <c r="P518" t="str" cm="1">
        <f t="array" ref="P518">_xlfn.SWITCH(rounded[[#This Row],[depression_label]], 0, "Not Depressed", 1, "Depressed")</f>
        <v>Not Depressed</v>
      </c>
      <c r="Q518" s="45" t="str" cm="1">
        <f t="array" ref="Q518">_xlfn.SWITCH(rounded[[#This Row],[gender]], "male", "Male", "female", "Female")</f>
        <v>Female</v>
      </c>
    </row>
    <row r="519" spans="1:17" x14ac:dyDescent="0.35">
      <c r="A519">
        <v>18</v>
      </c>
      <c r="B519" t="s">
        <v>13</v>
      </c>
      <c r="C519" s="4">
        <v>2.6</v>
      </c>
      <c r="D519" t="s">
        <v>20</v>
      </c>
      <c r="E519" s="4">
        <v>7.8</v>
      </c>
      <c r="F519" s="4">
        <v>1.9</v>
      </c>
      <c r="G519">
        <v>3.15</v>
      </c>
      <c r="H519">
        <v>0.4</v>
      </c>
      <c r="I519" t="s">
        <v>19</v>
      </c>
      <c r="J519">
        <v>8</v>
      </c>
      <c r="K519">
        <v>3</v>
      </c>
      <c r="L519">
        <v>2</v>
      </c>
      <c r="M519">
        <v>0</v>
      </c>
      <c r="N519">
        <f>_xlfn.IFS(rounded[[#This Row],[social_interaction_level]] = "low", 1,rounded[[#This Row],[social_interaction_level]] = "medium", 2,rounded[[#This Row],[social_interaction_level]] = "high", 3)</f>
        <v>2</v>
      </c>
      <c r="O519">
        <f t="shared" si="8"/>
        <v>13</v>
      </c>
      <c r="P519" t="str" cm="1">
        <f t="array" ref="P519">_xlfn.SWITCH(rounded[[#This Row],[depression_label]], 0, "Not Depressed", 1, "Depressed")</f>
        <v>Not Depressed</v>
      </c>
      <c r="Q519" s="45" t="str" cm="1">
        <f t="array" ref="Q519">_xlfn.SWITCH(rounded[[#This Row],[gender]], "male", "Male", "female", "Female")</f>
        <v>Male</v>
      </c>
    </row>
    <row r="520" spans="1:17" x14ac:dyDescent="0.35">
      <c r="A520">
        <v>15</v>
      </c>
      <c r="B520" t="s">
        <v>13</v>
      </c>
      <c r="C520" s="4">
        <v>6.2</v>
      </c>
      <c r="D520" t="s">
        <v>14</v>
      </c>
      <c r="E520" s="4">
        <v>8.1</v>
      </c>
      <c r="F520" s="4">
        <v>2.2999999999999998</v>
      </c>
      <c r="G520">
        <v>3.46</v>
      </c>
      <c r="H520">
        <v>1.3</v>
      </c>
      <c r="I520" t="s">
        <v>15</v>
      </c>
      <c r="J520">
        <v>5</v>
      </c>
      <c r="K520">
        <v>4</v>
      </c>
      <c r="L520">
        <v>9</v>
      </c>
      <c r="M520">
        <v>0</v>
      </c>
      <c r="N520">
        <f>_xlfn.IFS(rounded[[#This Row],[social_interaction_level]] = "low", 1,rounded[[#This Row],[social_interaction_level]] = "medium", 2,rounded[[#This Row],[social_interaction_level]] = "high", 3)</f>
        <v>1</v>
      </c>
      <c r="O520">
        <f t="shared" si="8"/>
        <v>18</v>
      </c>
      <c r="P520" t="str" cm="1">
        <f t="array" ref="P520">_xlfn.SWITCH(rounded[[#This Row],[depression_label]], 0, "Not Depressed", 1, "Depressed")</f>
        <v>Not Depressed</v>
      </c>
      <c r="Q520" s="45" t="str" cm="1">
        <f t="array" ref="Q520">_xlfn.SWITCH(rounded[[#This Row],[gender]], "male", "Male", "female", "Female")</f>
        <v>Male</v>
      </c>
    </row>
    <row r="521" spans="1:17" x14ac:dyDescent="0.35">
      <c r="A521">
        <v>14</v>
      </c>
      <c r="B521" t="s">
        <v>16</v>
      </c>
      <c r="C521" s="4">
        <v>6.2</v>
      </c>
      <c r="D521" t="s">
        <v>17</v>
      </c>
      <c r="E521" s="4">
        <v>5.0999999999999996</v>
      </c>
      <c r="F521" s="4">
        <v>1.5</v>
      </c>
      <c r="G521">
        <v>3.85</v>
      </c>
      <c r="H521">
        <v>0.2</v>
      </c>
      <c r="I521" t="s">
        <v>18</v>
      </c>
      <c r="J521">
        <v>3</v>
      </c>
      <c r="K521">
        <v>4</v>
      </c>
      <c r="L521">
        <v>10</v>
      </c>
      <c r="M521">
        <v>0</v>
      </c>
      <c r="N521">
        <f>_xlfn.IFS(rounded[[#This Row],[social_interaction_level]] = "low", 1,rounded[[#This Row],[social_interaction_level]] = "medium", 2,rounded[[#This Row],[social_interaction_level]] = "high", 3)</f>
        <v>3</v>
      </c>
      <c r="O521">
        <f t="shared" si="8"/>
        <v>17</v>
      </c>
      <c r="P521" t="str" cm="1">
        <f t="array" ref="P521">_xlfn.SWITCH(rounded[[#This Row],[depression_label]], 0, "Not Depressed", 1, "Depressed")</f>
        <v>Not Depressed</v>
      </c>
      <c r="Q521" s="45" t="str" cm="1">
        <f t="array" ref="Q521">_xlfn.SWITCH(rounded[[#This Row],[gender]], "male", "Male", "female", "Female")</f>
        <v>Female</v>
      </c>
    </row>
    <row r="522" spans="1:17" x14ac:dyDescent="0.35">
      <c r="A522">
        <v>18</v>
      </c>
      <c r="B522" t="s">
        <v>13</v>
      </c>
      <c r="C522" s="4">
        <v>4.8</v>
      </c>
      <c r="D522" t="s">
        <v>17</v>
      </c>
      <c r="E522" s="4">
        <v>8.5</v>
      </c>
      <c r="F522" s="4">
        <v>2.8</v>
      </c>
      <c r="G522">
        <v>3.77</v>
      </c>
      <c r="H522">
        <v>1.3</v>
      </c>
      <c r="I522" t="s">
        <v>15</v>
      </c>
      <c r="J522">
        <v>5</v>
      </c>
      <c r="K522">
        <v>4</v>
      </c>
      <c r="L522">
        <v>3</v>
      </c>
      <c r="M522">
        <v>0</v>
      </c>
      <c r="N522">
        <f>_xlfn.IFS(rounded[[#This Row],[social_interaction_level]] = "low", 1,rounded[[#This Row],[social_interaction_level]] = "medium", 2,rounded[[#This Row],[social_interaction_level]] = "high", 3)</f>
        <v>1</v>
      </c>
      <c r="O522">
        <f t="shared" si="8"/>
        <v>12</v>
      </c>
      <c r="P522" t="str" cm="1">
        <f t="array" ref="P522">_xlfn.SWITCH(rounded[[#This Row],[depression_label]], 0, "Not Depressed", 1, "Depressed")</f>
        <v>Not Depressed</v>
      </c>
      <c r="Q522" s="45" t="str" cm="1">
        <f t="array" ref="Q522">_xlfn.SWITCH(rounded[[#This Row],[gender]], "male", "Male", "female", "Female")</f>
        <v>Male</v>
      </c>
    </row>
    <row r="523" spans="1:17" x14ac:dyDescent="0.35">
      <c r="A523">
        <v>18</v>
      </c>
      <c r="B523" t="s">
        <v>16</v>
      </c>
      <c r="C523" s="4">
        <v>3</v>
      </c>
      <c r="D523" t="s">
        <v>20</v>
      </c>
      <c r="E523" s="4">
        <v>4.5999999999999996</v>
      </c>
      <c r="F523" s="4">
        <v>2</v>
      </c>
      <c r="G523">
        <v>2.2400000000000002</v>
      </c>
      <c r="H523">
        <v>1.5</v>
      </c>
      <c r="I523" t="s">
        <v>19</v>
      </c>
      <c r="J523">
        <v>10</v>
      </c>
      <c r="K523">
        <v>2</v>
      </c>
      <c r="L523">
        <v>5</v>
      </c>
      <c r="M523">
        <v>0</v>
      </c>
      <c r="N523">
        <f>_xlfn.IFS(rounded[[#This Row],[social_interaction_level]] = "low", 1,rounded[[#This Row],[social_interaction_level]] = "medium", 2,rounded[[#This Row],[social_interaction_level]] = "high", 3)</f>
        <v>2</v>
      </c>
      <c r="O523">
        <f t="shared" si="8"/>
        <v>17</v>
      </c>
      <c r="P523" t="str" cm="1">
        <f t="array" ref="P523">_xlfn.SWITCH(rounded[[#This Row],[depression_label]], 0, "Not Depressed", 1, "Depressed")</f>
        <v>Not Depressed</v>
      </c>
      <c r="Q523" s="45" t="str" cm="1">
        <f t="array" ref="Q523">_xlfn.SWITCH(rounded[[#This Row],[gender]], "male", "Male", "female", "Female")</f>
        <v>Female</v>
      </c>
    </row>
    <row r="524" spans="1:17" x14ac:dyDescent="0.35">
      <c r="A524">
        <v>16</v>
      </c>
      <c r="B524" t="s">
        <v>13</v>
      </c>
      <c r="C524" s="4">
        <v>4.7</v>
      </c>
      <c r="D524" t="s">
        <v>14</v>
      </c>
      <c r="E524" s="4">
        <v>8.1999999999999993</v>
      </c>
      <c r="F524" s="4">
        <v>2.7</v>
      </c>
      <c r="G524">
        <v>3.04</v>
      </c>
      <c r="H524">
        <v>0.3</v>
      </c>
      <c r="I524" t="s">
        <v>18</v>
      </c>
      <c r="J524">
        <v>1</v>
      </c>
      <c r="K524">
        <v>3</v>
      </c>
      <c r="L524">
        <v>4</v>
      </c>
      <c r="M524">
        <v>0</v>
      </c>
      <c r="N524">
        <f>_xlfn.IFS(rounded[[#This Row],[social_interaction_level]] = "low", 1,rounded[[#This Row],[social_interaction_level]] = "medium", 2,rounded[[#This Row],[social_interaction_level]] = "high", 3)</f>
        <v>3</v>
      </c>
      <c r="O524">
        <f t="shared" si="8"/>
        <v>8</v>
      </c>
      <c r="P524" t="str" cm="1">
        <f t="array" ref="P524">_xlfn.SWITCH(rounded[[#This Row],[depression_label]], 0, "Not Depressed", 1, "Depressed")</f>
        <v>Not Depressed</v>
      </c>
      <c r="Q524" s="45" t="str" cm="1">
        <f t="array" ref="Q524">_xlfn.SWITCH(rounded[[#This Row],[gender]], "male", "Male", "female", "Female")</f>
        <v>Male</v>
      </c>
    </row>
    <row r="525" spans="1:17" x14ac:dyDescent="0.35">
      <c r="A525">
        <v>18</v>
      </c>
      <c r="B525" t="s">
        <v>16</v>
      </c>
      <c r="C525" s="4">
        <v>4.4000000000000004</v>
      </c>
      <c r="D525" t="s">
        <v>20</v>
      </c>
      <c r="E525" s="4">
        <v>5.0999999999999996</v>
      </c>
      <c r="F525" s="4">
        <v>1.4</v>
      </c>
      <c r="G525">
        <v>2.33</v>
      </c>
      <c r="H525">
        <v>0.6</v>
      </c>
      <c r="I525" t="s">
        <v>15</v>
      </c>
      <c r="J525">
        <v>2</v>
      </c>
      <c r="K525">
        <v>7</v>
      </c>
      <c r="L525">
        <v>4</v>
      </c>
      <c r="M525">
        <v>0</v>
      </c>
      <c r="N525">
        <f>_xlfn.IFS(rounded[[#This Row],[social_interaction_level]] = "low", 1,rounded[[#This Row],[social_interaction_level]] = "medium", 2,rounded[[#This Row],[social_interaction_level]] = "high", 3)</f>
        <v>1</v>
      </c>
      <c r="O525">
        <f t="shared" si="8"/>
        <v>13</v>
      </c>
      <c r="P525" t="str" cm="1">
        <f t="array" ref="P525">_xlfn.SWITCH(rounded[[#This Row],[depression_label]], 0, "Not Depressed", 1, "Depressed")</f>
        <v>Not Depressed</v>
      </c>
      <c r="Q525" s="45" t="str" cm="1">
        <f t="array" ref="Q525">_xlfn.SWITCH(rounded[[#This Row],[gender]], "male", "Male", "female", "Female")</f>
        <v>Female</v>
      </c>
    </row>
    <row r="526" spans="1:17" x14ac:dyDescent="0.35">
      <c r="A526">
        <v>14</v>
      </c>
      <c r="B526" t="s">
        <v>16</v>
      </c>
      <c r="C526" s="4">
        <v>2.2999999999999998</v>
      </c>
      <c r="D526" t="s">
        <v>17</v>
      </c>
      <c r="E526" s="4">
        <v>7.3</v>
      </c>
      <c r="F526" s="4">
        <v>2.2999999999999998</v>
      </c>
      <c r="G526">
        <v>2.8</v>
      </c>
      <c r="H526">
        <v>1.5</v>
      </c>
      <c r="I526" t="s">
        <v>19</v>
      </c>
      <c r="J526">
        <v>4</v>
      </c>
      <c r="K526">
        <v>6</v>
      </c>
      <c r="L526">
        <v>5</v>
      </c>
      <c r="M526">
        <v>0</v>
      </c>
      <c r="N526">
        <f>_xlfn.IFS(rounded[[#This Row],[social_interaction_level]] = "low", 1,rounded[[#This Row],[social_interaction_level]] = "medium", 2,rounded[[#This Row],[social_interaction_level]] = "high", 3)</f>
        <v>2</v>
      </c>
      <c r="O526">
        <f t="shared" si="8"/>
        <v>15</v>
      </c>
      <c r="P526" t="str" cm="1">
        <f t="array" ref="P526">_xlfn.SWITCH(rounded[[#This Row],[depression_label]], 0, "Not Depressed", 1, "Depressed")</f>
        <v>Not Depressed</v>
      </c>
      <c r="Q526" s="45" t="str" cm="1">
        <f t="array" ref="Q526">_xlfn.SWITCH(rounded[[#This Row],[gender]], "male", "Male", "female", "Female")</f>
        <v>Female</v>
      </c>
    </row>
    <row r="527" spans="1:17" x14ac:dyDescent="0.35">
      <c r="A527">
        <v>14</v>
      </c>
      <c r="B527" t="s">
        <v>16</v>
      </c>
      <c r="C527" s="4">
        <v>3.1</v>
      </c>
      <c r="D527" t="s">
        <v>14</v>
      </c>
      <c r="E527" s="4">
        <v>6.9</v>
      </c>
      <c r="F527" s="4">
        <v>1.9</v>
      </c>
      <c r="G527">
        <v>2.2000000000000002</v>
      </c>
      <c r="H527">
        <v>1.2</v>
      </c>
      <c r="I527" t="s">
        <v>19</v>
      </c>
      <c r="J527">
        <v>3</v>
      </c>
      <c r="K527">
        <v>4</v>
      </c>
      <c r="L527">
        <v>2</v>
      </c>
      <c r="M527">
        <v>0</v>
      </c>
      <c r="N527">
        <f>_xlfn.IFS(rounded[[#This Row],[social_interaction_level]] = "low", 1,rounded[[#This Row],[social_interaction_level]] = "medium", 2,rounded[[#This Row],[social_interaction_level]] = "high", 3)</f>
        <v>2</v>
      </c>
      <c r="O527">
        <f t="shared" si="8"/>
        <v>9</v>
      </c>
      <c r="P527" t="str" cm="1">
        <f t="array" ref="P527">_xlfn.SWITCH(rounded[[#This Row],[depression_label]], 0, "Not Depressed", 1, "Depressed")</f>
        <v>Not Depressed</v>
      </c>
      <c r="Q527" s="45" t="str" cm="1">
        <f t="array" ref="Q527">_xlfn.SWITCH(rounded[[#This Row],[gender]], "male", "Male", "female", "Female")</f>
        <v>Female</v>
      </c>
    </row>
    <row r="528" spans="1:17" x14ac:dyDescent="0.35">
      <c r="A528">
        <v>18</v>
      </c>
      <c r="B528" t="s">
        <v>13</v>
      </c>
      <c r="C528" s="4">
        <v>2.9</v>
      </c>
      <c r="D528" t="s">
        <v>17</v>
      </c>
      <c r="E528" s="4">
        <v>7.5</v>
      </c>
      <c r="F528" s="4">
        <v>0.6</v>
      </c>
      <c r="G528">
        <v>2.25</v>
      </c>
      <c r="H528">
        <v>1</v>
      </c>
      <c r="I528" t="s">
        <v>18</v>
      </c>
      <c r="J528">
        <v>4</v>
      </c>
      <c r="K528">
        <v>7</v>
      </c>
      <c r="L528">
        <v>4</v>
      </c>
      <c r="M528">
        <v>0</v>
      </c>
      <c r="N528">
        <f>_xlfn.IFS(rounded[[#This Row],[social_interaction_level]] = "low", 1,rounded[[#This Row],[social_interaction_level]] = "medium", 2,rounded[[#This Row],[social_interaction_level]] = "high", 3)</f>
        <v>3</v>
      </c>
      <c r="O528">
        <f t="shared" si="8"/>
        <v>15</v>
      </c>
      <c r="P528" t="str" cm="1">
        <f t="array" ref="P528">_xlfn.SWITCH(rounded[[#This Row],[depression_label]], 0, "Not Depressed", 1, "Depressed")</f>
        <v>Not Depressed</v>
      </c>
      <c r="Q528" s="45" t="str" cm="1">
        <f t="array" ref="Q528">_xlfn.SWITCH(rounded[[#This Row],[gender]], "male", "Male", "female", "Female")</f>
        <v>Male</v>
      </c>
    </row>
    <row r="529" spans="1:17" x14ac:dyDescent="0.35">
      <c r="A529">
        <v>13</v>
      </c>
      <c r="B529" t="s">
        <v>13</v>
      </c>
      <c r="C529" s="4">
        <v>1.8</v>
      </c>
      <c r="D529" t="s">
        <v>14</v>
      </c>
      <c r="E529" s="4">
        <v>4.4000000000000004</v>
      </c>
      <c r="F529" s="4">
        <v>0.6</v>
      </c>
      <c r="G529">
        <v>3.48</v>
      </c>
      <c r="H529">
        <v>1.7</v>
      </c>
      <c r="I529" t="s">
        <v>19</v>
      </c>
      <c r="J529">
        <v>3</v>
      </c>
      <c r="K529">
        <v>1</v>
      </c>
      <c r="L529">
        <v>10</v>
      </c>
      <c r="M529">
        <v>0</v>
      </c>
      <c r="N529">
        <f>_xlfn.IFS(rounded[[#This Row],[social_interaction_level]] = "low", 1,rounded[[#This Row],[social_interaction_level]] = "medium", 2,rounded[[#This Row],[social_interaction_level]] = "high", 3)</f>
        <v>2</v>
      </c>
      <c r="O529">
        <f t="shared" si="8"/>
        <v>14</v>
      </c>
      <c r="P529" t="str" cm="1">
        <f t="array" ref="P529">_xlfn.SWITCH(rounded[[#This Row],[depression_label]], 0, "Not Depressed", 1, "Depressed")</f>
        <v>Not Depressed</v>
      </c>
      <c r="Q529" s="45" t="str" cm="1">
        <f t="array" ref="Q529">_xlfn.SWITCH(rounded[[#This Row],[gender]], "male", "Male", "female", "Female")</f>
        <v>Male</v>
      </c>
    </row>
    <row r="530" spans="1:17" x14ac:dyDescent="0.35">
      <c r="A530">
        <v>15</v>
      </c>
      <c r="B530" t="s">
        <v>16</v>
      </c>
      <c r="C530" s="4">
        <v>2</v>
      </c>
      <c r="D530" t="s">
        <v>14</v>
      </c>
      <c r="E530" s="4">
        <v>4.7</v>
      </c>
      <c r="F530" s="4">
        <v>1.3</v>
      </c>
      <c r="G530">
        <v>3.55</v>
      </c>
      <c r="H530">
        <v>1.3</v>
      </c>
      <c r="I530" t="s">
        <v>15</v>
      </c>
      <c r="J530">
        <v>2</v>
      </c>
      <c r="K530">
        <v>6</v>
      </c>
      <c r="L530">
        <v>5</v>
      </c>
      <c r="M530">
        <v>0</v>
      </c>
      <c r="N530">
        <f>_xlfn.IFS(rounded[[#This Row],[social_interaction_level]] = "low", 1,rounded[[#This Row],[social_interaction_level]] = "medium", 2,rounded[[#This Row],[social_interaction_level]] = "high", 3)</f>
        <v>1</v>
      </c>
      <c r="O530">
        <f t="shared" si="8"/>
        <v>13</v>
      </c>
      <c r="P530" t="str" cm="1">
        <f t="array" ref="P530">_xlfn.SWITCH(rounded[[#This Row],[depression_label]], 0, "Not Depressed", 1, "Depressed")</f>
        <v>Not Depressed</v>
      </c>
      <c r="Q530" s="45" t="str" cm="1">
        <f t="array" ref="Q530">_xlfn.SWITCH(rounded[[#This Row],[gender]], "male", "Male", "female", "Female")</f>
        <v>Female</v>
      </c>
    </row>
    <row r="531" spans="1:17" x14ac:dyDescent="0.35">
      <c r="A531">
        <v>13</v>
      </c>
      <c r="B531" t="s">
        <v>16</v>
      </c>
      <c r="C531" s="4">
        <v>4.2</v>
      </c>
      <c r="D531" t="s">
        <v>14</v>
      </c>
      <c r="E531" s="4">
        <v>7.9</v>
      </c>
      <c r="F531" s="4">
        <v>2.7</v>
      </c>
      <c r="G531">
        <v>3.76</v>
      </c>
      <c r="H531">
        <v>0.1</v>
      </c>
      <c r="I531" t="s">
        <v>19</v>
      </c>
      <c r="J531">
        <v>10</v>
      </c>
      <c r="K531">
        <v>7</v>
      </c>
      <c r="L531">
        <v>2</v>
      </c>
      <c r="M531">
        <v>0</v>
      </c>
      <c r="N531">
        <f>_xlfn.IFS(rounded[[#This Row],[social_interaction_level]] = "low", 1,rounded[[#This Row],[social_interaction_level]] = "medium", 2,rounded[[#This Row],[social_interaction_level]] = "high", 3)</f>
        <v>2</v>
      </c>
      <c r="O531">
        <f t="shared" si="8"/>
        <v>19</v>
      </c>
      <c r="P531" t="str" cm="1">
        <f t="array" ref="P531">_xlfn.SWITCH(rounded[[#This Row],[depression_label]], 0, "Not Depressed", 1, "Depressed")</f>
        <v>Not Depressed</v>
      </c>
      <c r="Q531" s="45" t="str" cm="1">
        <f t="array" ref="Q531">_xlfn.SWITCH(rounded[[#This Row],[gender]], "male", "Male", "female", "Female")</f>
        <v>Female</v>
      </c>
    </row>
    <row r="532" spans="1:17" x14ac:dyDescent="0.35">
      <c r="A532">
        <v>17</v>
      </c>
      <c r="B532" t="s">
        <v>16</v>
      </c>
      <c r="C532" s="4">
        <v>6.7</v>
      </c>
      <c r="D532" t="s">
        <v>20</v>
      </c>
      <c r="E532" s="4">
        <v>7.9</v>
      </c>
      <c r="F532" s="4">
        <v>1.4</v>
      </c>
      <c r="G532">
        <v>3.91</v>
      </c>
      <c r="H532">
        <v>0.4</v>
      </c>
      <c r="I532" t="s">
        <v>18</v>
      </c>
      <c r="J532">
        <v>3</v>
      </c>
      <c r="K532">
        <v>3</v>
      </c>
      <c r="L532">
        <v>1</v>
      </c>
      <c r="M532">
        <v>0</v>
      </c>
      <c r="N532">
        <f>_xlfn.IFS(rounded[[#This Row],[social_interaction_level]] = "low", 1,rounded[[#This Row],[social_interaction_level]] = "medium", 2,rounded[[#This Row],[social_interaction_level]] = "high", 3)</f>
        <v>3</v>
      </c>
      <c r="O532">
        <f t="shared" si="8"/>
        <v>7</v>
      </c>
      <c r="P532" t="str" cm="1">
        <f t="array" ref="P532">_xlfn.SWITCH(rounded[[#This Row],[depression_label]], 0, "Not Depressed", 1, "Depressed")</f>
        <v>Not Depressed</v>
      </c>
      <c r="Q532" s="45" t="str" cm="1">
        <f t="array" ref="Q532">_xlfn.SWITCH(rounded[[#This Row],[gender]], "male", "Male", "female", "Female")</f>
        <v>Female</v>
      </c>
    </row>
    <row r="533" spans="1:17" x14ac:dyDescent="0.35">
      <c r="A533">
        <v>17</v>
      </c>
      <c r="B533" t="s">
        <v>16</v>
      </c>
      <c r="C533" s="4">
        <v>2.2000000000000002</v>
      </c>
      <c r="D533" t="s">
        <v>20</v>
      </c>
      <c r="E533" s="4">
        <v>7.2</v>
      </c>
      <c r="F533" s="4">
        <v>0.5</v>
      </c>
      <c r="G533">
        <v>2.38</v>
      </c>
      <c r="H533">
        <v>1.2</v>
      </c>
      <c r="I533" t="s">
        <v>19</v>
      </c>
      <c r="J533">
        <v>10</v>
      </c>
      <c r="K533">
        <v>4</v>
      </c>
      <c r="L533">
        <v>8</v>
      </c>
      <c r="M533">
        <v>0</v>
      </c>
      <c r="N533">
        <f>_xlfn.IFS(rounded[[#This Row],[social_interaction_level]] = "low", 1,rounded[[#This Row],[social_interaction_level]] = "medium", 2,rounded[[#This Row],[social_interaction_level]] = "high", 3)</f>
        <v>2</v>
      </c>
      <c r="O533">
        <f t="shared" si="8"/>
        <v>22</v>
      </c>
      <c r="P533" t="str" cm="1">
        <f t="array" ref="P533">_xlfn.SWITCH(rounded[[#This Row],[depression_label]], 0, "Not Depressed", 1, "Depressed")</f>
        <v>Not Depressed</v>
      </c>
      <c r="Q533" s="45" t="str" cm="1">
        <f t="array" ref="Q533">_xlfn.SWITCH(rounded[[#This Row],[gender]], "male", "Male", "female", "Female")</f>
        <v>Female</v>
      </c>
    </row>
    <row r="534" spans="1:17" x14ac:dyDescent="0.35">
      <c r="A534">
        <v>17</v>
      </c>
      <c r="B534" t="s">
        <v>16</v>
      </c>
      <c r="C534" s="4">
        <v>1.1000000000000001</v>
      </c>
      <c r="D534" t="s">
        <v>17</v>
      </c>
      <c r="E534" s="4">
        <v>6.8</v>
      </c>
      <c r="F534" s="4">
        <v>0.6</v>
      </c>
      <c r="G534">
        <v>2.2799999999999998</v>
      </c>
      <c r="H534">
        <v>1.6</v>
      </c>
      <c r="I534" t="s">
        <v>19</v>
      </c>
      <c r="J534">
        <v>9</v>
      </c>
      <c r="K534">
        <v>3</v>
      </c>
      <c r="L534">
        <v>7</v>
      </c>
      <c r="M534">
        <v>0</v>
      </c>
      <c r="N534">
        <f>_xlfn.IFS(rounded[[#This Row],[social_interaction_level]] = "low", 1,rounded[[#This Row],[social_interaction_level]] = "medium", 2,rounded[[#This Row],[social_interaction_level]] = "high", 3)</f>
        <v>2</v>
      </c>
      <c r="O534">
        <f t="shared" si="8"/>
        <v>19</v>
      </c>
      <c r="P534" t="str" cm="1">
        <f t="array" ref="P534">_xlfn.SWITCH(rounded[[#This Row],[depression_label]], 0, "Not Depressed", 1, "Depressed")</f>
        <v>Not Depressed</v>
      </c>
      <c r="Q534" s="45" t="str" cm="1">
        <f t="array" ref="Q534">_xlfn.SWITCH(rounded[[#This Row],[gender]], "male", "Male", "female", "Female")</f>
        <v>Female</v>
      </c>
    </row>
    <row r="535" spans="1:17" x14ac:dyDescent="0.35">
      <c r="A535">
        <v>16</v>
      </c>
      <c r="B535" t="s">
        <v>16</v>
      </c>
      <c r="C535" s="4">
        <v>6.4</v>
      </c>
      <c r="D535" t="s">
        <v>17</v>
      </c>
      <c r="E535" s="4">
        <v>5.9</v>
      </c>
      <c r="F535" s="4">
        <v>2.8</v>
      </c>
      <c r="G535">
        <v>3.81</v>
      </c>
      <c r="H535">
        <v>1.3</v>
      </c>
      <c r="I535" t="s">
        <v>18</v>
      </c>
      <c r="J535">
        <v>1</v>
      </c>
      <c r="K535">
        <v>3</v>
      </c>
      <c r="L535">
        <v>7</v>
      </c>
      <c r="M535">
        <v>0</v>
      </c>
      <c r="N535">
        <f>_xlfn.IFS(rounded[[#This Row],[social_interaction_level]] = "low", 1,rounded[[#This Row],[social_interaction_level]] = "medium", 2,rounded[[#This Row],[social_interaction_level]] = "high", 3)</f>
        <v>3</v>
      </c>
      <c r="O535">
        <f t="shared" si="8"/>
        <v>11</v>
      </c>
      <c r="P535" t="str" cm="1">
        <f t="array" ref="P535">_xlfn.SWITCH(rounded[[#This Row],[depression_label]], 0, "Not Depressed", 1, "Depressed")</f>
        <v>Not Depressed</v>
      </c>
      <c r="Q535" s="45" t="str" cm="1">
        <f t="array" ref="Q535">_xlfn.SWITCH(rounded[[#This Row],[gender]], "male", "Male", "female", "Female")</f>
        <v>Female</v>
      </c>
    </row>
    <row r="536" spans="1:17" x14ac:dyDescent="0.35">
      <c r="A536">
        <v>19</v>
      </c>
      <c r="B536" t="s">
        <v>16</v>
      </c>
      <c r="C536" s="4">
        <v>2.8</v>
      </c>
      <c r="D536" t="s">
        <v>14</v>
      </c>
      <c r="E536" s="4">
        <v>5.9</v>
      </c>
      <c r="F536" s="4">
        <v>1.5</v>
      </c>
      <c r="G536">
        <v>2.85</v>
      </c>
      <c r="H536">
        <v>0.6</v>
      </c>
      <c r="I536" t="s">
        <v>18</v>
      </c>
      <c r="J536">
        <v>10</v>
      </c>
      <c r="K536">
        <v>9</v>
      </c>
      <c r="L536">
        <v>4</v>
      </c>
      <c r="M536">
        <v>0</v>
      </c>
      <c r="N536">
        <f>_xlfn.IFS(rounded[[#This Row],[social_interaction_level]] = "low", 1,rounded[[#This Row],[social_interaction_level]] = "medium", 2,rounded[[#This Row],[social_interaction_level]] = "high", 3)</f>
        <v>3</v>
      </c>
      <c r="O536">
        <f t="shared" si="8"/>
        <v>23</v>
      </c>
      <c r="P536" t="str" cm="1">
        <f t="array" ref="P536">_xlfn.SWITCH(rounded[[#This Row],[depression_label]], 0, "Not Depressed", 1, "Depressed")</f>
        <v>Not Depressed</v>
      </c>
      <c r="Q536" s="45" t="str" cm="1">
        <f t="array" ref="Q536">_xlfn.SWITCH(rounded[[#This Row],[gender]], "male", "Male", "female", "Female")</f>
        <v>Female</v>
      </c>
    </row>
    <row r="537" spans="1:17" x14ac:dyDescent="0.35">
      <c r="A537">
        <v>13</v>
      </c>
      <c r="B537" t="s">
        <v>13</v>
      </c>
      <c r="C537" s="4">
        <v>2.2000000000000002</v>
      </c>
      <c r="D537" t="s">
        <v>20</v>
      </c>
      <c r="E537" s="4">
        <v>5.8</v>
      </c>
      <c r="F537" s="4">
        <v>2</v>
      </c>
      <c r="G537">
        <v>3.63</v>
      </c>
      <c r="H537">
        <v>1.9</v>
      </c>
      <c r="I537" t="s">
        <v>15</v>
      </c>
      <c r="J537">
        <v>4</v>
      </c>
      <c r="K537">
        <v>4</v>
      </c>
      <c r="L537">
        <v>10</v>
      </c>
      <c r="M537">
        <v>0</v>
      </c>
      <c r="N537">
        <f>_xlfn.IFS(rounded[[#This Row],[social_interaction_level]] = "low", 1,rounded[[#This Row],[social_interaction_level]] = "medium", 2,rounded[[#This Row],[social_interaction_level]] = "high", 3)</f>
        <v>1</v>
      </c>
      <c r="O537">
        <f t="shared" si="8"/>
        <v>18</v>
      </c>
      <c r="P537" t="str" cm="1">
        <f t="array" ref="P537">_xlfn.SWITCH(rounded[[#This Row],[depression_label]], 0, "Not Depressed", 1, "Depressed")</f>
        <v>Not Depressed</v>
      </c>
      <c r="Q537" s="45" t="str" cm="1">
        <f t="array" ref="Q537">_xlfn.SWITCH(rounded[[#This Row],[gender]], "male", "Male", "female", "Female")</f>
        <v>Male</v>
      </c>
    </row>
    <row r="538" spans="1:17" x14ac:dyDescent="0.35">
      <c r="A538">
        <v>19</v>
      </c>
      <c r="B538" t="s">
        <v>13</v>
      </c>
      <c r="C538" s="4">
        <v>5.7</v>
      </c>
      <c r="D538" t="s">
        <v>14</v>
      </c>
      <c r="E538" s="4">
        <v>4.8</v>
      </c>
      <c r="F538" s="4">
        <v>2.2000000000000002</v>
      </c>
      <c r="G538">
        <v>3.66</v>
      </c>
      <c r="H538">
        <v>0.9</v>
      </c>
      <c r="I538" t="s">
        <v>15</v>
      </c>
      <c r="J538">
        <v>3</v>
      </c>
      <c r="K538">
        <v>7</v>
      </c>
      <c r="L538">
        <v>5</v>
      </c>
      <c r="M538">
        <v>0</v>
      </c>
      <c r="N538">
        <f>_xlfn.IFS(rounded[[#This Row],[social_interaction_level]] = "low", 1,rounded[[#This Row],[social_interaction_level]] = "medium", 2,rounded[[#This Row],[social_interaction_level]] = "high", 3)</f>
        <v>1</v>
      </c>
      <c r="O538">
        <f t="shared" si="8"/>
        <v>15</v>
      </c>
      <c r="P538" t="str" cm="1">
        <f t="array" ref="P538">_xlfn.SWITCH(rounded[[#This Row],[depression_label]], 0, "Not Depressed", 1, "Depressed")</f>
        <v>Not Depressed</v>
      </c>
      <c r="Q538" s="45" t="str" cm="1">
        <f t="array" ref="Q538">_xlfn.SWITCH(rounded[[#This Row],[gender]], "male", "Male", "female", "Female")</f>
        <v>Male</v>
      </c>
    </row>
    <row r="539" spans="1:17" x14ac:dyDescent="0.35">
      <c r="A539">
        <v>15</v>
      </c>
      <c r="B539" t="s">
        <v>13</v>
      </c>
      <c r="C539" s="4">
        <v>5.3</v>
      </c>
      <c r="D539" t="s">
        <v>20</v>
      </c>
      <c r="E539" s="4">
        <v>7.3</v>
      </c>
      <c r="F539" s="4">
        <v>1.9</v>
      </c>
      <c r="G539">
        <v>2.5099999999999998</v>
      </c>
      <c r="H539">
        <v>1.4</v>
      </c>
      <c r="I539" t="s">
        <v>18</v>
      </c>
      <c r="J539">
        <v>10</v>
      </c>
      <c r="K539">
        <v>4</v>
      </c>
      <c r="L539">
        <v>2</v>
      </c>
      <c r="M539">
        <v>0</v>
      </c>
      <c r="N539">
        <f>_xlfn.IFS(rounded[[#This Row],[social_interaction_level]] = "low", 1,rounded[[#This Row],[social_interaction_level]] = "medium", 2,rounded[[#This Row],[social_interaction_level]] = "high", 3)</f>
        <v>3</v>
      </c>
      <c r="O539">
        <f t="shared" si="8"/>
        <v>16</v>
      </c>
      <c r="P539" t="str" cm="1">
        <f t="array" ref="P539">_xlfn.SWITCH(rounded[[#This Row],[depression_label]], 0, "Not Depressed", 1, "Depressed")</f>
        <v>Not Depressed</v>
      </c>
      <c r="Q539" s="45" t="str" cm="1">
        <f t="array" ref="Q539">_xlfn.SWITCH(rounded[[#This Row],[gender]], "male", "Male", "female", "Female")</f>
        <v>Male</v>
      </c>
    </row>
    <row r="540" spans="1:17" x14ac:dyDescent="0.35">
      <c r="A540">
        <v>14</v>
      </c>
      <c r="B540" t="s">
        <v>13</v>
      </c>
      <c r="C540" s="4">
        <v>3.1</v>
      </c>
      <c r="D540" t="s">
        <v>17</v>
      </c>
      <c r="E540" s="4">
        <v>8.8000000000000007</v>
      </c>
      <c r="F540" s="4">
        <v>1.5</v>
      </c>
      <c r="G540">
        <v>3.91</v>
      </c>
      <c r="H540">
        <v>0.6</v>
      </c>
      <c r="I540" t="s">
        <v>19</v>
      </c>
      <c r="J540">
        <v>4</v>
      </c>
      <c r="K540">
        <v>9</v>
      </c>
      <c r="L540">
        <v>6</v>
      </c>
      <c r="M540">
        <v>0</v>
      </c>
      <c r="N540">
        <f>_xlfn.IFS(rounded[[#This Row],[social_interaction_level]] = "low", 1,rounded[[#This Row],[social_interaction_level]] = "medium", 2,rounded[[#This Row],[social_interaction_level]] = "high", 3)</f>
        <v>2</v>
      </c>
      <c r="O540">
        <f t="shared" si="8"/>
        <v>19</v>
      </c>
      <c r="P540" t="str" cm="1">
        <f t="array" ref="P540">_xlfn.SWITCH(rounded[[#This Row],[depression_label]], 0, "Not Depressed", 1, "Depressed")</f>
        <v>Not Depressed</v>
      </c>
      <c r="Q540" s="45" t="str" cm="1">
        <f t="array" ref="Q540">_xlfn.SWITCH(rounded[[#This Row],[gender]], "male", "Male", "female", "Female")</f>
        <v>Male</v>
      </c>
    </row>
    <row r="541" spans="1:17" x14ac:dyDescent="0.35">
      <c r="A541">
        <v>16</v>
      </c>
      <c r="B541" t="s">
        <v>13</v>
      </c>
      <c r="C541" s="4">
        <v>1.7</v>
      </c>
      <c r="D541" t="s">
        <v>17</v>
      </c>
      <c r="E541" s="4">
        <v>4.9000000000000004</v>
      </c>
      <c r="F541" s="4">
        <v>0.6</v>
      </c>
      <c r="G541">
        <v>3.38</v>
      </c>
      <c r="H541">
        <v>1.1000000000000001</v>
      </c>
      <c r="I541" t="s">
        <v>19</v>
      </c>
      <c r="J541">
        <v>10</v>
      </c>
      <c r="K541">
        <v>4</v>
      </c>
      <c r="L541">
        <v>6</v>
      </c>
      <c r="M541">
        <v>0</v>
      </c>
      <c r="N541">
        <f>_xlfn.IFS(rounded[[#This Row],[social_interaction_level]] = "low", 1,rounded[[#This Row],[social_interaction_level]] = "medium", 2,rounded[[#This Row],[social_interaction_level]] = "high", 3)</f>
        <v>2</v>
      </c>
      <c r="O541">
        <f t="shared" si="8"/>
        <v>20</v>
      </c>
      <c r="P541" t="str" cm="1">
        <f t="array" ref="P541">_xlfn.SWITCH(rounded[[#This Row],[depression_label]], 0, "Not Depressed", 1, "Depressed")</f>
        <v>Not Depressed</v>
      </c>
      <c r="Q541" s="45" t="str" cm="1">
        <f t="array" ref="Q541">_xlfn.SWITCH(rounded[[#This Row],[gender]], "male", "Male", "female", "Female")</f>
        <v>Male</v>
      </c>
    </row>
    <row r="542" spans="1:17" x14ac:dyDescent="0.35">
      <c r="A542">
        <v>19</v>
      </c>
      <c r="B542" t="s">
        <v>16</v>
      </c>
      <c r="C542" s="4">
        <v>6.7</v>
      </c>
      <c r="D542" t="s">
        <v>14</v>
      </c>
      <c r="E542" s="4">
        <v>7.3</v>
      </c>
      <c r="F542" s="4">
        <v>2.8</v>
      </c>
      <c r="G542">
        <v>2.2599999999999998</v>
      </c>
      <c r="H542">
        <v>1.4</v>
      </c>
      <c r="I542" t="s">
        <v>18</v>
      </c>
      <c r="J542">
        <v>7</v>
      </c>
      <c r="K542">
        <v>6</v>
      </c>
      <c r="L542">
        <v>8</v>
      </c>
      <c r="M542">
        <v>0</v>
      </c>
      <c r="N542">
        <f>_xlfn.IFS(rounded[[#This Row],[social_interaction_level]] = "low", 1,rounded[[#This Row],[social_interaction_level]] = "medium", 2,rounded[[#This Row],[social_interaction_level]] = "high", 3)</f>
        <v>3</v>
      </c>
      <c r="O542">
        <f t="shared" si="8"/>
        <v>21</v>
      </c>
      <c r="P542" t="str" cm="1">
        <f t="array" ref="P542">_xlfn.SWITCH(rounded[[#This Row],[depression_label]], 0, "Not Depressed", 1, "Depressed")</f>
        <v>Not Depressed</v>
      </c>
      <c r="Q542" s="45" t="str" cm="1">
        <f t="array" ref="Q542">_xlfn.SWITCH(rounded[[#This Row],[gender]], "male", "Male", "female", "Female")</f>
        <v>Female</v>
      </c>
    </row>
    <row r="543" spans="1:17" x14ac:dyDescent="0.35">
      <c r="A543">
        <v>13</v>
      </c>
      <c r="B543" t="s">
        <v>16</v>
      </c>
      <c r="C543" s="4">
        <v>7.8</v>
      </c>
      <c r="D543" t="s">
        <v>14</v>
      </c>
      <c r="E543" s="4">
        <v>7.4</v>
      </c>
      <c r="F543" s="4">
        <v>1.7</v>
      </c>
      <c r="G543">
        <v>2.76</v>
      </c>
      <c r="H543">
        <v>1.1000000000000001</v>
      </c>
      <c r="I543" t="s">
        <v>15</v>
      </c>
      <c r="J543">
        <v>10</v>
      </c>
      <c r="K543">
        <v>1</v>
      </c>
      <c r="L543">
        <v>4</v>
      </c>
      <c r="M543">
        <v>0</v>
      </c>
      <c r="N543">
        <f>_xlfn.IFS(rounded[[#This Row],[social_interaction_level]] = "low", 1,rounded[[#This Row],[social_interaction_level]] = "medium", 2,rounded[[#This Row],[social_interaction_level]] = "high", 3)</f>
        <v>1</v>
      </c>
      <c r="O543">
        <f t="shared" si="8"/>
        <v>15</v>
      </c>
      <c r="P543" t="str" cm="1">
        <f t="array" ref="P543">_xlfn.SWITCH(rounded[[#This Row],[depression_label]], 0, "Not Depressed", 1, "Depressed")</f>
        <v>Not Depressed</v>
      </c>
      <c r="Q543" s="45" t="str" cm="1">
        <f t="array" ref="Q543">_xlfn.SWITCH(rounded[[#This Row],[gender]], "male", "Male", "female", "Female")</f>
        <v>Female</v>
      </c>
    </row>
    <row r="544" spans="1:17" x14ac:dyDescent="0.35">
      <c r="A544">
        <v>18</v>
      </c>
      <c r="B544" t="s">
        <v>16</v>
      </c>
      <c r="C544" s="4">
        <v>2.1</v>
      </c>
      <c r="D544" t="s">
        <v>20</v>
      </c>
      <c r="E544" s="4">
        <v>6.7</v>
      </c>
      <c r="F544" s="4">
        <v>0.9</v>
      </c>
      <c r="G544">
        <v>3.73</v>
      </c>
      <c r="H544">
        <v>0.7</v>
      </c>
      <c r="I544" t="s">
        <v>15</v>
      </c>
      <c r="J544">
        <v>3</v>
      </c>
      <c r="K544">
        <v>5</v>
      </c>
      <c r="L544">
        <v>7</v>
      </c>
      <c r="M544">
        <v>0</v>
      </c>
      <c r="N544">
        <f>_xlfn.IFS(rounded[[#This Row],[social_interaction_level]] = "low", 1,rounded[[#This Row],[social_interaction_level]] = "medium", 2,rounded[[#This Row],[social_interaction_level]] = "high", 3)</f>
        <v>1</v>
      </c>
      <c r="O544">
        <f t="shared" si="8"/>
        <v>15</v>
      </c>
      <c r="P544" t="str" cm="1">
        <f t="array" ref="P544">_xlfn.SWITCH(rounded[[#This Row],[depression_label]], 0, "Not Depressed", 1, "Depressed")</f>
        <v>Not Depressed</v>
      </c>
      <c r="Q544" s="45" t="str" cm="1">
        <f t="array" ref="Q544">_xlfn.SWITCH(rounded[[#This Row],[gender]], "male", "Male", "female", "Female")</f>
        <v>Female</v>
      </c>
    </row>
    <row r="545" spans="1:17" x14ac:dyDescent="0.35">
      <c r="A545">
        <v>17</v>
      </c>
      <c r="B545" t="s">
        <v>16</v>
      </c>
      <c r="C545" s="4">
        <v>5.0999999999999996</v>
      </c>
      <c r="D545" t="s">
        <v>17</v>
      </c>
      <c r="E545" s="4">
        <v>8.6</v>
      </c>
      <c r="F545" s="4">
        <v>1.9</v>
      </c>
      <c r="G545">
        <v>3.33</v>
      </c>
      <c r="H545">
        <v>1.1000000000000001</v>
      </c>
      <c r="I545" t="s">
        <v>15</v>
      </c>
      <c r="J545">
        <v>1</v>
      </c>
      <c r="K545">
        <v>7</v>
      </c>
      <c r="L545">
        <v>8</v>
      </c>
      <c r="M545">
        <v>0</v>
      </c>
      <c r="N545">
        <f>_xlfn.IFS(rounded[[#This Row],[social_interaction_level]] = "low", 1,rounded[[#This Row],[social_interaction_level]] = "medium", 2,rounded[[#This Row],[social_interaction_level]] = "high", 3)</f>
        <v>1</v>
      </c>
      <c r="O545">
        <f t="shared" si="8"/>
        <v>16</v>
      </c>
      <c r="P545" t="str" cm="1">
        <f t="array" ref="P545">_xlfn.SWITCH(rounded[[#This Row],[depression_label]], 0, "Not Depressed", 1, "Depressed")</f>
        <v>Not Depressed</v>
      </c>
      <c r="Q545" s="45" t="str" cm="1">
        <f t="array" ref="Q545">_xlfn.SWITCH(rounded[[#This Row],[gender]], "male", "Male", "female", "Female")</f>
        <v>Female</v>
      </c>
    </row>
    <row r="546" spans="1:17" x14ac:dyDescent="0.35">
      <c r="A546">
        <v>18</v>
      </c>
      <c r="B546" t="s">
        <v>16</v>
      </c>
      <c r="C546" s="4">
        <v>3.6</v>
      </c>
      <c r="D546" t="s">
        <v>14</v>
      </c>
      <c r="E546" s="4">
        <v>5.4</v>
      </c>
      <c r="F546" s="4">
        <v>0.9</v>
      </c>
      <c r="G546">
        <v>3.45</v>
      </c>
      <c r="H546">
        <v>0.5</v>
      </c>
      <c r="I546" t="s">
        <v>19</v>
      </c>
      <c r="J546">
        <v>1</v>
      </c>
      <c r="K546">
        <v>10</v>
      </c>
      <c r="L546">
        <v>2</v>
      </c>
      <c r="M546">
        <v>0</v>
      </c>
      <c r="N546">
        <f>_xlfn.IFS(rounded[[#This Row],[social_interaction_level]] = "low", 1,rounded[[#This Row],[social_interaction_level]] = "medium", 2,rounded[[#This Row],[social_interaction_level]] = "high", 3)</f>
        <v>2</v>
      </c>
      <c r="O546">
        <f t="shared" si="8"/>
        <v>13</v>
      </c>
      <c r="P546" t="str" cm="1">
        <f t="array" ref="P546">_xlfn.SWITCH(rounded[[#This Row],[depression_label]], 0, "Not Depressed", 1, "Depressed")</f>
        <v>Not Depressed</v>
      </c>
      <c r="Q546" s="45" t="str" cm="1">
        <f t="array" ref="Q546">_xlfn.SWITCH(rounded[[#This Row],[gender]], "male", "Male", "female", "Female")</f>
        <v>Female</v>
      </c>
    </row>
    <row r="547" spans="1:17" x14ac:dyDescent="0.35">
      <c r="A547">
        <v>18</v>
      </c>
      <c r="B547" t="s">
        <v>13</v>
      </c>
      <c r="C547" s="4">
        <v>5</v>
      </c>
      <c r="D547" t="s">
        <v>20</v>
      </c>
      <c r="E547" s="4">
        <v>7.6</v>
      </c>
      <c r="F547" s="4">
        <v>2</v>
      </c>
      <c r="G547">
        <v>3.94</v>
      </c>
      <c r="H547">
        <v>0.5</v>
      </c>
      <c r="I547" t="s">
        <v>15</v>
      </c>
      <c r="J547">
        <v>4</v>
      </c>
      <c r="K547">
        <v>3</v>
      </c>
      <c r="L547">
        <v>3</v>
      </c>
      <c r="M547">
        <v>0</v>
      </c>
      <c r="N547">
        <f>_xlfn.IFS(rounded[[#This Row],[social_interaction_level]] = "low", 1,rounded[[#This Row],[social_interaction_level]] = "medium", 2,rounded[[#This Row],[social_interaction_level]] = "high", 3)</f>
        <v>1</v>
      </c>
      <c r="O547">
        <f t="shared" si="8"/>
        <v>10</v>
      </c>
      <c r="P547" t="str" cm="1">
        <f t="array" ref="P547">_xlfn.SWITCH(rounded[[#This Row],[depression_label]], 0, "Not Depressed", 1, "Depressed")</f>
        <v>Not Depressed</v>
      </c>
      <c r="Q547" s="45" t="str" cm="1">
        <f t="array" ref="Q547">_xlfn.SWITCH(rounded[[#This Row],[gender]], "male", "Male", "female", "Female")</f>
        <v>Male</v>
      </c>
    </row>
    <row r="548" spans="1:17" x14ac:dyDescent="0.35">
      <c r="A548">
        <v>17</v>
      </c>
      <c r="B548" t="s">
        <v>13</v>
      </c>
      <c r="C548" s="4">
        <v>1.7</v>
      </c>
      <c r="D548" t="s">
        <v>20</v>
      </c>
      <c r="E548" s="4">
        <v>8.6</v>
      </c>
      <c r="F548" s="4">
        <v>0.9</v>
      </c>
      <c r="G548">
        <v>2.36</v>
      </c>
      <c r="H548">
        <v>1.7</v>
      </c>
      <c r="I548" t="s">
        <v>15</v>
      </c>
      <c r="J548">
        <v>9</v>
      </c>
      <c r="K548">
        <v>1</v>
      </c>
      <c r="L548">
        <v>3</v>
      </c>
      <c r="M548">
        <v>0</v>
      </c>
      <c r="N548">
        <f>_xlfn.IFS(rounded[[#This Row],[social_interaction_level]] = "low", 1,rounded[[#This Row],[social_interaction_level]] = "medium", 2,rounded[[#This Row],[social_interaction_level]] = "high", 3)</f>
        <v>1</v>
      </c>
      <c r="O548">
        <f t="shared" si="8"/>
        <v>13</v>
      </c>
      <c r="P548" t="str" cm="1">
        <f t="array" ref="P548">_xlfn.SWITCH(rounded[[#This Row],[depression_label]], 0, "Not Depressed", 1, "Depressed")</f>
        <v>Not Depressed</v>
      </c>
      <c r="Q548" s="45" t="str" cm="1">
        <f t="array" ref="Q548">_xlfn.SWITCH(rounded[[#This Row],[gender]], "male", "Male", "female", "Female")</f>
        <v>Male</v>
      </c>
    </row>
    <row r="549" spans="1:17" x14ac:dyDescent="0.35">
      <c r="A549">
        <v>17</v>
      </c>
      <c r="B549" t="s">
        <v>13</v>
      </c>
      <c r="C549" s="4">
        <v>6.8</v>
      </c>
      <c r="D549" t="s">
        <v>14</v>
      </c>
      <c r="E549" s="4">
        <v>4.7</v>
      </c>
      <c r="F549" s="4">
        <v>0.6</v>
      </c>
      <c r="G549">
        <v>3.4</v>
      </c>
      <c r="H549">
        <v>0.9</v>
      </c>
      <c r="I549" t="s">
        <v>15</v>
      </c>
      <c r="J549">
        <v>3</v>
      </c>
      <c r="K549">
        <v>9</v>
      </c>
      <c r="L549">
        <v>7</v>
      </c>
      <c r="M549">
        <v>0</v>
      </c>
      <c r="N549">
        <f>_xlfn.IFS(rounded[[#This Row],[social_interaction_level]] = "low", 1,rounded[[#This Row],[social_interaction_level]] = "medium", 2,rounded[[#This Row],[social_interaction_level]] = "high", 3)</f>
        <v>1</v>
      </c>
      <c r="O549">
        <f t="shared" si="8"/>
        <v>19</v>
      </c>
      <c r="P549" t="str" cm="1">
        <f t="array" ref="P549">_xlfn.SWITCH(rounded[[#This Row],[depression_label]], 0, "Not Depressed", 1, "Depressed")</f>
        <v>Not Depressed</v>
      </c>
      <c r="Q549" s="45" t="str" cm="1">
        <f t="array" ref="Q549">_xlfn.SWITCH(rounded[[#This Row],[gender]], "male", "Male", "female", "Female")</f>
        <v>Male</v>
      </c>
    </row>
    <row r="550" spans="1:17" x14ac:dyDescent="0.35">
      <c r="A550">
        <v>14</v>
      </c>
      <c r="B550" t="s">
        <v>13</v>
      </c>
      <c r="C550" s="4">
        <v>3.8</v>
      </c>
      <c r="D550" t="s">
        <v>20</v>
      </c>
      <c r="E550" s="4">
        <v>7.5</v>
      </c>
      <c r="F550" s="4">
        <v>0.5</v>
      </c>
      <c r="G550">
        <v>2.1800000000000002</v>
      </c>
      <c r="H550">
        <v>1</v>
      </c>
      <c r="I550" t="s">
        <v>19</v>
      </c>
      <c r="J550">
        <v>5</v>
      </c>
      <c r="K550">
        <v>2</v>
      </c>
      <c r="L550">
        <v>2</v>
      </c>
      <c r="M550">
        <v>0</v>
      </c>
      <c r="N550">
        <f>_xlfn.IFS(rounded[[#This Row],[social_interaction_level]] = "low", 1,rounded[[#This Row],[social_interaction_level]] = "medium", 2,rounded[[#This Row],[social_interaction_level]] = "high", 3)</f>
        <v>2</v>
      </c>
      <c r="O550">
        <f t="shared" si="8"/>
        <v>9</v>
      </c>
      <c r="P550" t="str" cm="1">
        <f t="array" ref="P550">_xlfn.SWITCH(rounded[[#This Row],[depression_label]], 0, "Not Depressed", 1, "Depressed")</f>
        <v>Not Depressed</v>
      </c>
      <c r="Q550" s="45" t="str" cm="1">
        <f t="array" ref="Q550">_xlfn.SWITCH(rounded[[#This Row],[gender]], "male", "Male", "female", "Female")</f>
        <v>Male</v>
      </c>
    </row>
    <row r="551" spans="1:17" x14ac:dyDescent="0.35">
      <c r="A551">
        <v>16</v>
      </c>
      <c r="B551" t="s">
        <v>13</v>
      </c>
      <c r="C551" s="4">
        <v>2.1</v>
      </c>
      <c r="D551" t="s">
        <v>14</v>
      </c>
      <c r="E551" s="4">
        <v>7.7</v>
      </c>
      <c r="F551" s="4">
        <v>1.1000000000000001</v>
      </c>
      <c r="G551">
        <v>2.27</v>
      </c>
      <c r="H551">
        <v>1.1000000000000001</v>
      </c>
      <c r="I551" t="s">
        <v>19</v>
      </c>
      <c r="J551">
        <v>3</v>
      </c>
      <c r="K551">
        <v>2</v>
      </c>
      <c r="L551">
        <v>4</v>
      </c>
      <c r="M551">
        <v>0</v>
      </c>
      <c r="N551">
        <f>_xlfn.IFS(rounded[[#This Row],[social_interaction_level]] = "low", 1,rounded[[#This Row],[social_interaction_level]] = "medium", 2,rounded[[#This Row],[social_interaction_level]] = "high", 3)</f>
        <v>2</v>
      </c>
      <c r="O551">
        <f t="shared" si="8"/>
        <v>9</v>
      </c>
      <c r="P551" t="str" cm="1">
        <f t="array" ref="P551">_xlfn.SWITCH(rounded[[#This Row],[depression_label]], 0, "Not Depressed", 1, "Depressed")</f>
        <v>Not Depressed</v>
      </c>
      <c r="Q551" s="45" t="str" cm="1">
        <f t="array" ref="Q551">_xlfn.SWITCH(rounded[[#This Row],[gender]], "male", "Male", "female", "Female")</f>
        <v>Male</v>
      </c>
    </row>
    <row r="552" spans="1:17" x14ac:dyDescent="0.35">
      <c r="A552">
        <v>15</v>
      </c>
      <c r="B552" t="s">
        <v>16</v>
      </c>
      <c r="C552" s="4">
        <v>3.2</v>
      </c>
      <c r="D552" t="s">
        <v>14</v>
      </c>
      <c r="E552" s="4">
        <v>4</v>
      </c>
      <c r="F552" s="4">
        <v>2</v>
      </c>
      <c r="G552">
        <v>3.25</v>
      </c>
      <c r="H552">
        <v>0.7</v>
      </c>
      <c r="I552" t="s">
        <v>15</v>
      </c>
      <c r="J552">
        <v>8</v>
      </c>
      <c r="K552">
        <v>4</v>
      </c>
      <c r="L552">
        <v>8</v>
      </c>
      <c r="M552">
        <v>0</v>
      </c>
      <c r="N552">
        <f>_xlfn.IFS(rounded[[#This Row],[social_interaction_level]] = "low", 1,rounded[[#This Row],[social_interaction_level]] = "medium", 2,rounded[[#This Row],[social_interaction_level]] = "high", 3)</f>
        <v>1</v>
      </c>
      <c r="O552">
        <f t="shared" si="8"/>
        <v>20</v>
      </c>
      <c r="P552" t="str" cm="1">
        <f t="array" ref="P552">_xlfn.SWITCH(rounded[[#This Row],[depression_label]], 0, "Not Depressed", 1, "Depressed")</f>
        <v>Not Depressed</v>
      </c>
      <c r="Q552" s="45" t="str" cm="1">
        <f t="array" ref="Q552">_xlfn.SWITCH(rounded[[#This Row],[gender]], "male", "Male", "female", "Female")</f>
        <v>Female</v>
      </c>
    </row>
    <row r="553" spans="1:17" x14ac:dyDescent="0.35">
      <c r="A553">
        <v>18</v>
      </c>
      <c r="B553" t="s">
        <v>13</v>
      </c>
      <c r="C553" s="4">
        <v>1.9</v>
      </c>
      <c r="D553" t="s">
        <v>14</v>
      </c>
      <c r="E553" s="4">
        <v>5.6</v>
      </c>
      <c r="F553" s="4">
        <v>2.2999999999999998</v>
      </c>
      <c r="G553">
        <v>2.8</v>
      </c>
      <c r="H553">
        <v>1.9</v>
      </c>
      <c r="I553" t="s">
        <v>19</v>
      </c>
      <c r="J553">
        <v>8</v>
      </c>
      <c r="K553">
        <v>1</v>
      </c>
      <c r="L553">
        <v>8</v>
      </c>
      <c r="M553">
        <v>0</v>
      </c>
      <c r="N553">
        <f>_xlfn.IFS(rounded[[#This Row],[social_interaction_level]] = "low", 1,rounded[[#This Row],[social_interaction_level]] = "medium", 2,rounded[[#This Row],[social_interaction_level]] = "high", 3)</f>
        <v>2</v>
      </c>
      <c r="O553">
        <f t="shared" si="8"/>
        <v>17</v>
      </c>
      <c r="P553" t="str" cm="1">
        <f t="array" ref="P553">_xlfn.SWITCH(rounded[[#This Row],[depression_label]], 0, "Not Depressed", 1, "Depressed")</f>
        <v>Not Depressed</v>
      </c>
      <c r="Q553" s="45" t="str" cm="1">
        <f t="array" ref="Q553">_xlfn.SWITCH(rounded[[#This Row],[gender]], "male", "Male", "female", "Female")</f>
        <v>Male</v>
      </c>
    </row>
    <row r="554" spans="1:17" x14ac:dyDescent="0.35">
      <c r="A554">
        <v>13</v>
      </c>
      <c r="B554" t="s">
        <v>16</v>
      </c>
      <c r="C554" s="4">
        <v>3.5</v>
      </c>
      <c r="D554" t="s">
        <v>14</v>
      </c>
      <c r="E554" s="4">
        <v>6.8</v>
      </c>
      <c r="F554" s="4">
        <v>1.5</v>
      </c>
      <c r="G554">
        <v>2.35</v>
      </c>
      <c r="H554">
        <v>1.8</v>
      </c>
      <c r="I554" t="s">
        <v>19</v>
      </c>
      <c r="J554">
        <v>7</v>
      </c>
      <c r="K554">
        <v>3</v>
      </c>
      <c r="L554">
        <v>2</v>
      </c>
      <c r="M554">
        <v>0</v>
      </c>
      <c r="N554">
        <f>_xlfn.IFS(rounded[[#This Row],[social_interaction_level]] = "low", 1,rounded[[#This Row],[social_interaction_level]] = "medium", 2,rounded[[#This Row],[social_interaction_level]] = "high", 3)</f>
        <v>2</v>
      </c>
      <c r="O554">
        <f t="shared" si="8"/>
        <v>12</v>
      </c>
      <c r="P554" t="str" cm="1">
        <f t="array" ref="P554">_xlfn.SWITCH(rounded[[#This Row],[depression_label]], 0, "Not Depressed", 1, "Depressed")</f>
        <v>Not Depressed</v>
      </c>
      <c r="Q554" s="45" t="str" cm="1">
        <f t="array" ref="Q554">_xlfn.SWITCH(rounded[[#This Row],[gender]], "male", "Male", "female", "Female")</f>
        <v>Female</v>
      </c>
    </row>
    <row r="555" spans="1:17" x14ac:dyDescent="0.35">
      <c r="A555">
        <v>15</v>
      </c>
      <c r="B555" t="s">
        <v>16</v>
      </c>
      <c r="C555" s="4">
        <v>4.5</v>
      </c>
      <c r="D555" t="s">
        <v>14</v>
      </c>
      <c r="E555" s="4">
        <v>7.7</v>
      </c>
      <c r="F555" s="4">
        <v>0.9</v>
      </c>
      <c r="G555">
        <v>2.61</v>
      </c>
      <c r="H555">
        <v>1.1000000000000001</v>
      </c>
      <c r="I555" t="s">
        <v>19</v>
      </c>
      <c r="J555">
        <v>9</v>
      </c>
      <c r="K555">
        <v>10</v>
      </c>
      <c r="L555">
        <v>4</v>
      </c>
      <c r="M555">
        <v>0</v>
      </c>
      <c r="N555">
        <f>_xlfn.IFS(rounded[[#This Row],[social_interaction_level]] = "low", 1,rounded[[#This Row],[social_interaction_level]] = "medium", 2,rounded[[#This Row],[social_interaction_level]] = "high", 3)</f>
        <v>2</v>
      </c>
      <c r="O555">
        <f t="shared" si="8"/>
        <v>23</v>
      </c>
      <c r="P555" t="str" cm="1">
        <f t="array" ref="P555">_xlfn.SWITCH(rounded[[#This Row],[depression_label]], 0, "Not Depressed", 1, "Depressed")</f>
        <v>Not Depressed</v>
      </c>
      <c r="Q555" s="45" t="str" cm="1">
        <f t="array" ref="Q555">_xlfn.SWITCH(rounded[[#This Row],[gender]], "male", "Male", "female", "Female")</f>
        <v>Female</v>
      </c>
    </row>
    <row r="556" spans="1:17" x14ac:dyDescent="0.35">
      <c r="A556">
        <v>13</v>
      </c>
      <c r="B556" t="s">
        <v>16</v>
      </c>
      <c r="C556" s="4">
        <v>6</v>
      </c>
      <c r="D556" t="s">
        <v>17</v>
      </c>
      <c r="E556" s="4">
        <v>5</v>
      </c>
      <c r="F556" s="4">
        <v>2.5</v>
      </c>
      <c r="G556">
        <v>2.5499999999999998</v>
      </c>
      <c r="H556">
        <v>1.8</v>
      </c>
      <c r="I556" t="s">
        <v>18</v>
      </c>
      <c r="J556">
        <v>4</v>
      </c>
      <c r="K556">
        <v>9</v>
      </c>
      <c r="L556">
        <v>2</v>
      </c>
      <c r="M556">
        <v>0</v>
      </c>
      <c r="N556">
        <f>_xlfn.IFS(rounded[[#This Row],[social_interaction_level]] = "low", 1,rounded[[#This Row],[social_interaction_level]] = "medium", 2,rounded[[#This Row],[social_interaction_level]] = "high", 3)</f>
        <v>3</v>
      </c>
      <c r="O556">
        <f t="shared" si="8"/>
        <v>15</v>
      </c>
      <c r="P556" t="str" cm="1">
        <f t="array" ref="P556">_xlfn.SWITCH(rounded[[#This Row],[depression_label]], 0, "Not Depressed", 1, "Depressed")</f>
        <v>Not Depressed</v>
      </c>
      <c r="Q556" s="45" t="str" cm="1">
        <f t="array" ref="Q556">_xlfn.SWITCH(rounded[[#This Row],[gender]], "male", "Male", "female", "Female")</f>
        <v>Female</v>
      </c>
    </row>
    <row r="557" spans="1:17" x14ac:dyDescent="0.35">
      <c r="A557">
        <v>13</v>
      </c>
      <c r="B557" t="s">
        <v>16</v>
      </c>
      <c r="C557" s="4">
        <v>3.6</v>
      </c>
      <c r="D557" t="s">
        <v>17</v>
      </c>
      <c r="E557" s="4">
        <v>4.8</v>
      </c>
      <c r="F557" s="4">
        <v>2.2000000000000002</v>
      </c>
      <c r="G557">
        <v>3.58</v>
      </c>
      <c r="H557">
        <v>1.2</v>
      </c>
      <c r="I557" t="s">
        <v>19</v>
      </c>
      <c r="J557">
        <v>4</v>
      </c>
      <c r="K557">
        <v>4</v>
      </c>
      <c r="L557">
        <v>7</v>
      </c>
      <c r="M557">
        <v>0</v>
      </c>
      <c r="N557">
        <f>_xlfn.IFS(rounded[[#This Row],[social_interaction_level]] = "low", 1,rounded[[#This Row],[social_interaction_level]] = "medium", 2,rounded[[#This Row],[social_interaction_level]] = "high", 3)</f>
        <v>2</v>
      </c>
      <c r="O557">
        <f t="shared" si="8"/>
        <v>15</v>
      </c>
      <c r="P557" t="str" cm="1">
        <f t="array" ref="P557">_xlfn.SWITCH(rounded[[#This Row],[depression_label]], 0, "Not Depressed", 1, "Depressed")</f>
        <v>Not Depressed</v>
      </c>
      <c r="Q557" s="45" t="str" cm="1">
        <f t="array" ref="Q557">_xlfn.SWITCH(rounded[[#This Row],[gender]], "male", "Male", "female", "Female")</f>
        <v>Female</v>
      </c>
    </row>
    <row r="558" spans="1:17" x14ac:dyDescent="0.35">
      <c r="A558">
        <v>19</v>
      </c>
      <c r="B558" t="s">
        <v>13</v>
      </c>
      <c r="C558" s="4">
        <v>5.2</v>
      </c>
      <c r="D558" t="s">
        <v>17</v>
      </c>
      <c r="E558" s="4">
        <v>6.9</v>
      </c>
      <c r="F558" s="4">
        <v>2.2999999999999998</v>
      </c>
      <c r="G558">
        <v>2.09</v>
      </c>
      <c r="H558">
        <v>0.2</v>
      </c>
      <c r="I558" t="s">
        <v>18</v>
      </c>
      <c r="J558">
        <v>6</v>
      </c>
      <c r="K558">
        <v>4</v>
      </c>
      <c r="L558">
        <v>8</v>
      </c>
      <c r="M558">
        <v>0</v>
      </c>
      <c r="N558">
        <f>_xlfn.IFS(rounded[[#This Row],[social_interaction_level]] = "low", 1,rounded[[#This Row],[social_interaction_level]] = "medium", 2,rounded[[#This Row],[social_interaction_level]] = "high", 3)</f>
        <v>3</v>
      </c>
      <c r="O558">
        <f t="shared" si="8"/>
        <v>18</v>
      </c>
      <c r="P558" t="str" cm="1">
        <f t="array" ref="P558">_xlfn.SWITCH(rounded[[#This Row],[depression_label]], 0, "Not Depressed", 1, "Depressed")</f>
        <v>Not Depressed</v>
      </c>
      <c r="Q558" s="45" t="str" cm="1">
        <f t="array" ref="Q558">_xlfn.SWITCH(rounded[[#This Row],[gender]], "male", "Male", "female", "Female")</f>
        <v>Male</v>
      </c>
    </row>
    <row r="559" spans="1:17" x14ac:dyDescent="0.35">
      <c r="A559">
        <v>13</v>
      </c>
      <c r="B559" t="s">
        <v>13</v>
      </c>
      <c r="C559" s="4">
        <v>2.7</v>
      </c>
      <c r="D559" t="s">
        <v>20</v>
      </c>
      <c r="E559" s="4">
        <v>6.9</v>
      </c>
      <c r="F559" s="4">
        <v>1.4</v>
      </c>
      <c r="G559">
        <v>2.87</v>
      </c>
      <c r="H559">
        <v>1.5</v>
      </c>
      <c r="I559" t="s">
        <v>15</v>
      </c>
      <c r="J559">
        <v>2</v>
      </c>
      <c r="K559">
        <v>6</v>
      </c>
      <c r="L559">
        <v>3</v>
      </c>
      <c r="M559">
        <v>0</v>
      </c>
      <c r="N559">
        <f>_xlfn.IFS(rounded[[#This Row],[social_interaction_level]] = "low", 1,rounded[[#This Row],[social_interaction_level]] = "medium", 2,rounded[[#This Row],[social_interaction_level]] = "high", 3)</f>
        <v>1</v>
      </c>
      <c r="O559">
        <f t="shared" si="8"/>
        <v>11</v>
      </c>
      <c r="P559" t="str" cm="1">
        <f t="array" ref="P559">_xlfn.SWITCH(rounded[[#This Row],[depression_label]], 0, "Not Depressed", 1, "Depressed")</f>
        <v>Not Depressed</v>
      </c>
      <c r="Q559" s="45" t="str" cm="1">
        <f t="array" ref="Q559">_xlfn.SWITCH(rounded[[#This Row],[gender]], "male", "Male", "female", "Female")</f>
        <v>Male</v>
      </c>
    </row>
    <row r="560" spans="1:17" x14ac:dyDescent="0.35">
      <c r="A560">
        <v>16</v>
      </c>
      <c r="B560" t="s">
        <v>16</v>
      </c>
      <c r="C560" s="4">
        <v>2.8</v>
      </c>
      <c r="D560" t="s">
        <v>17</v>
      </c>
      <c r="E560" s="4">
        <v>7.1</v>
      </c>
      <c r="F560" s="4">
        <v>1.4</v>
      </c>
      <c r="G560">
        <v>3.85</v>
      </c>
      <c r="H560">
        <v>0.4</v>
      </c>
      <c r="I560" t="s">
        <v>18</v>
      </c>
      <c r="J560">
        <v>7</v>
      </c>
      <c r="K560">
        <v>9</v>
      </c>
      <c r="L560">
        <v>8</v>
      </c>
      <c r="M560">
        <v>0</v>
      </c>
      <c r="N560">
        <f>_xlfn.IFS(rounded[[#This Row],[social_interaction_level]] = "low", 1,rounded[[#This Row],[social_interaction_level]] = "medium", 2,rounded[[#This Row],[social_interaction_level]] = "high", 3)</f>
        <v>3</v>
      </c>
      <c r="O560">
        <f t="shared" si="8"/>
        <v>24</v>
      </c>
      <c r="P560" t="str" cm="1">
        <f t="array" ref="P560">_xlfn.SWITCH(rounded[[#This Row],[depression_label]], 0, "Not Depressed", 1, "Depressed")</f>
        <v>Not Depressed</v>
      </c>
      <c r="Q560" s="45" t="str" cm="1">
        <f t="array" ref="Q560">_xlfn.SWITCH(rounded[[#This Row],[gender]], "male", "Male", "female", "Female")</f>
        <v>Female</v>
      </c>
    </row>
    <row r="561" spans="1:17" x14ac:dyDescent="0.35">
      <c r="A561">
        <v>14</v>
      </c>
      <c r="B561" t="s">
        <v>13</v>
      </c>
      <c r="C561" s="4">
        <v>5.6</v>
      </c>
      <c r="D561" t="s">
        <v>14</v>
      </c>
      <c r="E561" s="4">
        <v>7</v>
      </c>
      <c r="F561" s="4">
        <v>1.9</v>
      </c>
      <c r="G561">
        <v>2.58</v>
      </c>
      <c r="H561">
        <v>0.4</v>
      </c>
      <c r="I561" t="s">
        <v>15</v>
      </c>
      <c r="J561">
        <v>5</v>
      </c>
      <c r="K561">
        <v>7</v>
      </c>
      <c r="L561">
        <v>3</v>
      </c>
      <c r="M561">
        <v>0</v>
      </c>
      <c r="N561">
        <f>_xlfn.IFS(rounded[[#This Row],[social_interaction_level]] = "low", 1,rounded[[#This Row],[social_interaction_level]] = "medium", 2,rounded[[#This Row],[social_interaction_level]] = "high", 3)</f>
        <v>1</v>
      </c>
      <c r="O561">
        <f t="shared" si="8"/>
        <v>15</v>
      </c>
      <c r="P561" t="str" cm="1">
        <f t="array" ref="P561">_xlfn.SWITCH(rounded[[#This Row],[depression_label]], 0, "Not Depressed", 1, "Depressed")</f>
        <v>Not Depressed</v>
      </c>
      <c r="Q561" s="45" t="str" cm="1">
        <f t="array" ref="Q561">_xlfn.SWITCH(rounded[[#This Row],[gender]], "male", "Male", "female", "Female")</f>
        <v>Male</v>
      </c>
    </row>
    <row r="562" spans="1:17" x14ac:dyDescent="0.35">
      <c r="A562">
        <v>16</v>
      </c>
      <c r="B562" t="s">
        <v>13</v>
      </c>
      <c r="C562" s="4">
        <v>2.7</v>
      </c>
      <c r="D562" t="s">
        <v>20</v>
      </c>
      <c r="E562" s="4">
        <v>7.2</v>
      </c>
      <c r="F562" s="4">
        <v>0.6</v>
      </c>
      <c r="G562">
        <v>3.98</v>
      </c>
      <c r="H562">
        <v>1.7</v>
      </c>
      <c r="I562" t="s">
        <v>15</v>
      </c>
      <c r="J562">
        <v>6</v>
      </c>
      <c r="K562">
        <v>1</v>
      </c>
      <c r="L562">
        <v>5</v>
      </c>
      <c r="M562">
        <v>0</v>
      </c>
      <c r="N562">
        <f>_xlfn.IFS(rounded[[#This Row],[social_interaction_level]] = "low", 1,rounded[[#This Row],[social_interaction_level]] = "medium", 2,rounded[[#This Row],[social_interaction_level]] = "high", 3)</f>
        <v>1</v>
      </c>
      <c r="O562">
        <f t="shared" si="8"/>
        <v>12</v>
      </c>
      <c r="P562" t="str" cm="1">
        <f t="array" ref="P562">_xlfn.SWITCH(rounded[[#This Row],[depression_label]], 0, "Not Depressed", 1, "Depressed")</f>
        <v>Not Depressed</v>
      </c>
      <c r="Q562" s="45" t="str" cm="1">
        <f t="array" ref="Q562">_xlfn.SWITCH(rounded[[#This Row],[gender]], "male", "Male", "female", "Female")</f>
        <v>Male</v>
      </c>
    </row>
    <row r="563" spans="1:17" x14ac:dyDescent="0.35">
      <c r="A563">
        <v>14</v>
      </c>
      <c r="B563" t="s">
        <v>13</v>
      </c>
      <c r="C563" s="4">
        <v>4.2</v>
      </c>
      <c r="D563" t="s">
        <v>20</v>
      </c>
      <c r="E563" s="4">
        <v>7</v>
      </c>
      <c r="F563" s="4">
        <v>1.1000000000000001</v>
      </c>
      <c r="G563">
        <v>2.12</v>
      </c>
      <c r="H563">
        <v>0.9</v>
      </c>
      <c r="I563" t="s">
        <v>18</v>
      </c>
      <c r="J563">
        <v>4</v>
      </c>
      <c r="K563">
        <v>8</v>
      </c>
      <c r="L563">
        <v>1</v>
      </c>
      <c r="M563">
        <v>0</v>
      </c>
      <c r="N563">
        <f>_xlfn.IFS(rounded[[#This Row],[social_interaction_level]] = "low", 1,rounded[[#This Row],[social_interaction_level]] = "medium", 2,rounded[[#This Row],[social_interaction_level]] = "high", 3)</f>
        <v>3</v>
      </c>
      <c r="O563">
        <f t="shared" si="8"/>
        <v>13</v>
      </c>
      <c r="P563" t="str" cm="1">
        <f t="array" ref="P563">_xlfn.SWITCH(rounded[[#This Row],[depression_label]], 0, "Not Depressed", 1, "Depressed")</f>
        <v>Not Depressed</v>
      </c>
      <c r="Q563" s="45" t="str" cm="1">
        <f t="array" ref="Q563">_xlfn.SWITCH(rounded[[#This Row],[gender]], "male", "Male", "female", "Female")</f>
        <v>Male</v>
      </c>
    </row>
    <row r="564" spans="1:17" x14ac:dyDescent="0.35">
      <c r="A564">
        <v>18</v>
      </c>
      <c r="B564" t="s">
        <v>16</v>
      </c>
      <c r="C564" s="4">
        <v>5.0999999999999996</v>
      </c>
      <c r="D564" t="s">
        <v>17</v>
      </c>
      <c r="E564" s="4">
        <v>8.1999999999999993</v>
      </c>
      <c r="F564" s="4">
        <v>2.8</v>
      </c>
      <c r="G564">
        <v>2.1800000000000002</v>
      </c>
      <c r="H564">
        <v>0.5</v>
      </c>
      <c r="I564" t="s">
        <v>18</v>
      </c>
      <c r="J564">
        <v>8</v>
      </c>
      <c r="K564">
        <v>8</v>
      </c>
      <c r="L564">
        <v>8</v>
      </c>
      <c r="M564">
        <v>0</v>
      </c>
      <c r="N564">
        <f>_xlfn.IFS(rounded[[#This Row],[social_interaction_level]] = "low", 1,rounded[[#This Row],[social_interaction_level]] = "medium", 2,rounded[[#This Row],[social_interaction_level]] = "high", 3)</f>
        <v>3</v>
      </c>
      <c r="O564">
        <f t="shared" si="8"/>
        <v>24</v>
      </c>
      <c r="P564" t="str" cm="1">
        <f t="array" ref="P564">_xlfn.SWITCH(rounded[[#This Row],[depression_label]], 0, "Not Depressed", 1, "Depressed")</f>
        <v>Not Depressed</v>
      </c>
      <c r="Q564" s="45" t="str" cm="1">
        <f t="array" ref="Q564">_xlfn.SWITCH(rounded[[#This Row],[gender]], "male", "Male", "female", "Female")</f>
        <v>Female</v>
      </c>
    </row>
    <row r="565" spans="1:17" x14ac:dyDescent="0.35">
      <c r="A565">
        <v>15</v>
      </c>
      <c r="B565" t="s">
        <v>16</v>
      </c>
      <c r="C565" s="4">
        <v>5.7</v>
      </c>
      <c r="D565" t="s">
        <v>14</v>
      </c>
      <c r="E565" s="4">
        <v>6.1</v>
      </c>
      <c r="F565" s="4">
        <v>0.7</v>
      </c>
      <c r="G565">
        <v>3.08</v>
      </c>
      <c r="H565">
        <v>0.6</v>
      </c>
      <c r="I565" t="s">
        <v>19</v>
      </c>
      <c r="J565">
        <v>5</v>
      </c>
      <c r="K565">
        <v>9</v>
      </c>
      <c r="L565">
        <v>7</v>
      </c>
      <c r="M565">
        <v>0</v>
      </c>
      <c r="N565">
        <f>_xlfn.IFS(rounded[[#This Row],[social_interaction_level]] = "low", 1,rounded[[#This Row],[social_interaction_level]] = "medium", 2,rounded[[#This Row],[social_interaction_level]] = "high", 3)</f>
        <v>2</v>
      </c>
      <c r="O565">
        <f t="shared" si="8"/>
        <v>21</v>
      </c>
      <c r="P565" t="str" cm="1">
        <f t="array" ref="P565">_xlfn.SWITCH(rounded[[#This Row],[depression_label]], 0, "Not Depressed", 1, "Depressed")</f>
        <v>Not Depressed</v>
      </c>
      <c r="Q565" s="45" t="str" cm="1">
        <f t="array" ref="Q565">_xlfn.SWITCH(rounded[[#This Row],[gender]], "male", "Male", "female", "Female")</f>
        <v>Female</v>
      </c>
    </row>
    <row r="566" spans="1:17" x14ac:dyDescent="0.35">
      <c r="A566">
        <v>13</v>
      </c>
      <c r="B566" t="s">
        <v>16</v>
      </c>
      <c r="C566" s="4">
        <v>1.5</v>
      </c>
      <c r="D566" t="s">
        <v>20</v>
      </c>
      <c r="E566" s="4">
        <v>7.9</v>
      </c>
      <c r="F566" s="4">
        <v>1.8</v>
      </c>
      <c r="G566">
        <v>2.85</v>
      </c>
      <c r="H566">
        <v>1.1000000000000001</v>
      </c>
      <c r="I566" t="s">
        <v>19</v>
      </c>
      <c r="J566">
        <v>5</v>
      </c>
      <c r="K566">
        <v>7</v>
      </c>
      <c r="L566">
        <v>1</v>
      </c>
      <c r="M566">
        <v>0</v>
      </c>
      <c r="N566">
        <f>_xlfn.IFS(rounded[[#This Row],[social_interaction_level]] = "low", 1,rounded[[#This Row],[social_interaction_level]] = "medium", 2,rounded[[#This Row],[social_interaction_level]] = "high", 3)</f>
        <v>2</v>
      </c>
      <c r="O566">
        <f t="shared" si="8"/>
        <v>13</v>
      </c>
      <c r="P566" t="str" cm="1">
        <f t="array" ref="P566">_xlfn.SWITCH(rounded[[#This Row],[depression_label]], 0, "Not Depressed", 1, "Depressed")</f>
        <v>Not Depressed</v>
      </c>
      <c r="Q566" s="45" t="str" cm="1">
        <f t="array" ref="Q566">_xlfn.SWITCH(rounded[[#This Row],[gender]], "male", "Male", "female", "Female")</f>
        <v>Female</v>
      </c>
    </row>
    <row r="567" spans="1:17" x14ac:dyDescent="0.35">
      <c r="A567">
        <v>15</v>
      </c>
      <c r="B567" t="s">
        <v>16</v>
      </c>
      <c r="C567" s="4">
        <v>6.9</v>
      </c>
      <c r="D567" t="s">
        <v>17</v>
      </c>
      <c r="E567" s="4">
        <v>8.3000000000000007</v>
      </c>
      <c r="F567" s="4">
        <v>2.4</v>
      </c>
      <c r="G567">
        <v>3.34</v>
      </c>
      <c r="H567">
        <v>1.2</v>
      </c>
      <c r="I567" t="s">
        <v>18</v>
      </c>
      <c r="J567">
        <v>2</v>
      </c>
      <c r="K567">
        <v>4</v>
      </c>
      <c r="L567">
        <v>9</v>
      </c>
      <c r="M567">
        <v>0</v>
      </c>
      <c r="N567">
        <f>_xlfn.IFS(rounded[[#This Row],[social_interaction_level]] = "low", 1,rounded[[#This Row],[social_interaction_level]] = "medium", 2,rounded[[#This Row],[social_interaction_level]] = "high", 3)</f>
        <v>3</v>
      </c>
      <c r="O567">
        <f t="shared" si="8"/>
        <v>15</v>
      </c>
      <c r="P567" t="str" cm="1">
        <f t="array" ref="P567">_xlfn.SWITCH(rounded[[#This Row],[depression_label]], 0, "Not Depressed", 1, "Depressed")</f>
        <v>Not Depressed</v>
      </c>
      <c r="Q567" s="45" t="str" cm="1">
        <f t="array" ref="Q567">_xlfn.SWITCH(rounded[[#This Row],[gender]], "male", "Male", "female", "Female")</f>
        <v>Female</v>
      </c>
    </row>
    <row r="568" spans="1:17" x14ac:dyDescent="0.35">
      <c r="A568">
        <v>14</v>
      </c>
      <c r="B568" t="s">
        <v>13</v>
      </c>
      <c r="C568" s="4">
        <v>4.7</v>
      </c>
      <c r="D568" t="s">
        <v>17</v>
      </c>
      <c r="E568" s="4">
        <v>7.9</v>
      </c>
      <c r="F568" s="4">
        <v>2.9</v>
      </c>
      <c r="G568">
        <v>2.54</v>
      </c>
      <c r="H568">
        <v>0.7</v>
      </c>
      <c r="I568" t="s">
        <v>18</v>
      </c>
      <c r="J568">
        <v>5</v>
      </c>
      <c r="K568">
        <v>8</v>
      </c>
      <c r="L568">
        <v>7</v>
      </c>
      <c r="M568">
        <v>0</v>
      </c>
      <c r="N568">
        <f>_xlfn.IFS(rounded[[#This Row],[social_interaction_level]] = "low", 1,rounded[[#This Row],[social_interaction_level]] = "medium", 2,rounded[[#This Row],[social_interaction_level]] = "high", 3)</f>
        <v>3</v>
      </c>
      <c r="O568">
        <f t="shared" si="8"/>
        <v>20</v>
      </c>
      <c r="P568" t="str" cm="1">
        <f t="array" ref="P568">_xlfn.SWITCH(rounded[[#This Row],[depression_label]], 0, "Not Depressed", 1, "Depressed")</f>
        <v>Not Depressed</v>
      </c>
      <c r="Q568" s="45" t="str" cm="1">
        <f t="array" ref="Q568">_xlfn.SWITCH(rounded[[#This Row],[gender]], "male", "Male", "female", "Female")</f>
        <v>Male</v>
      </c>
    </row>
    <row r="569" spans="1:17" x14ac:dyDescent="0.35">
      <c r="A569">
        <v>15</v>
      </c>
      <c r="B569" t="s">
        <v>16</v>
      </c>
      <c r="C569" s="4">
        <v>2.7</v>
      </c>
      <c r="D569" t="s">
        <v>20</v>
      </c>
      <c r="E569" s="4">
        <v>8.5</v>
      </c>
      <c r="F569" s="4">
        <v>0.8</v>
      </c>
      <c r="G569">
        <v>2.91</v>
      </c>
      <c r="H569">
        <v>1.3</v>
      </c>
      <c r="I569" t="s">
        <v>15</v>
      </c>
      <c r="J569">
        <v>6</v>
      </c>
      <c r="K569">
        <v>3</v>
      </c>
      <c r="L569">
        <v>1</v>
      </c>
      <c r="M569">
        <v>0</v>
      </c>
      <c r="N569">
        <f>_xlfn.IFS(rounded[[#This Row],[social_interaction_level]] = "low", 1,rounded[[#This Row],[social_interaction_level]] = "medium", 2,rounded[[#This Row],[social_interaction_level]] = "high", 3)</f>
        <v>1</v>
      </c>
      <c r="O569">
        <f t="shared" si="8"/>
        <v>10</v>
      </c>
      <c r="P569" t="str" cm="1">
        <f t="array" ref="P569">_xlfn.SWITCH(rounded[[#This Row],[depression_label]], 0, "Not Depressed", 1, "Depressed")</f>
        <v>Not Depressed</v>
      </c>
      <c r="Q569" s="45" t="str" cm="1">
        <f t="array" ref="Q569">_xlfn.SWITCH(rounded[[#This Row],[gender]], "male", "Male", "female", "Female")</f>
        <v>Female</v>
      </c>
    </row>
    <row r="570" spans="1:17" x14ac:dyDescent="0.35">
      <c r="A570">
        <v>13</v>
      </c>
      <c r="B570" t="s">
        <v>16</v>
      </c>
      <c r="C570" s="4">
        <v>6.1</v>
      </c>
      <c r="D570" t="s">
        <v>20</v>
      </c>
      <c r="E570" s="4">
        <v>6.4</v>
      </c>
      <c r="F570" s="4">
        <v>2.8</v>
      </c>
      <c r="G570">
        <v>2.5099999999999998</v>
      </c>
      <c r="H570">
        <v>1.9</v>
      </c>
      <c r="I570" t="s">
        <v>15</v>
      </c>
      <c r="J570">
        <v>6</v>
      </c>
      <c r="K570">
        <v>1</v>
      </c>
      <c r="L570">
        <v>9</v>
      </c>
      <c r="M570">
        <v>0</v>
      </c>
      <c r="N570">
        <f>_xlfn.IFS(rounded[[#This Row],[social_interaction_level]] = "low", 1,rounded[[#This Row],[social_interaction_level]] = "medium", 2,rounded[[#This Row],[social_interaction_level]] = "high", 3)</f>
        <v>1</v>
      </c>
      <c r="O570">
        <f t="shared" si="8"/>
        <v>16</v>
      </c>
      <c r="P570" t="str" cm="1">
        <f t="array" ref="P570">_xlfn.SWITCH(rounded[[#This Row],[depression_label]], 0, "Not Depressed", 1, "Depressed")</f>
        <v>Not Depressed</v>
      </c>
      <c r="Q570" s="45" t="str" cm="1">
        <f t="array" ref="Q570">_xlfn.SWITCH(rounded[[#This Row],[gender]], "male", "Male", "female", "Female")</f>
        <v>Female</v>
      </c>
    </row>
    <row r="571" spans="1:17" x14ac:dyDescent="0.35">
      <c r="A571">
        <v>17</v>
      </c>
      <c r="B571" t="s">
        <v>16</v>
      </c>
      <c r="C571" s="4">
        <v>5</v>
      </c>
      <c r="D571" t="s">
        <v>17</v>
      </c>
      <c r="E571" s="4">
        <v>7.3</v>
      </c>
      <c r="F571" s="4">
        <v>1.9</v>
      </c>
      <c r="G571">
        <v>3.83</v>
      </c>
      <c r="H571">
        <v>0.4</v>
      </c>
      <c r="I571" t="s">
        <v>18</v>
      </c>
      <c r="J571">
        <v>8</v>
      </c>
      <c r="K571">
        <v>9</v>
      </c>
      <c r="L571">
        <v>9</v>
      </c>
      <c r="M571">
        <v>0</v>
      </c>
      <c r="N571">
        <f>_xlfn.IFS(rounded[[#This Row],[social_interaction_level]] = "low", 1,rounded[[#This Row],[social_interaction_level]] = "medium", 2,rounded[[#This Row],[social_interaction_level]] = "high", 3)</f>
        <v>3</v>
      </c>
      <c r="O571">
        <f t="shared" si="8"/>
        <v>26</v>
      </c>
      <c r="P571" t="str" cm="1">
        <f t="array" ref="P571">_xlfn.SWITCH(rounded[[#This Row],[depression_label]], 0, "Not Depressed", 1, "Depressed")</f>
        <v>Not Depressed</v>
      </c>
      <c r="Q571" s="45" t="str" cm="1">
        <f t="array" ref="Q571">_xlfn.SWITCH(rounded[[#This Row],[gender]], "male", "Male", "female", "Female")</f>
        <v>Female</v>
      </c>
    </row>
    <row r="572" spans="1:17" x14ac:dyDescent="0.35">
      <c r="A572">
        <v>17</v>
      </c>
      <c r="B572" t="s">
        <v>16</v>
      </c>
      <c r="C572" s="4">
        <v>5.3</v>
      </c>
      <c r="D572" t="s">
        <v>20</v>
      </c>
      <c r="E572" s="4">
        <v>6.8</v>
      </c>
      <c r="F572" s="4">
        <v>1.9</v>
      </c>
      <c r="G572">
        <v>3.39</v>
      </c>
      <c r="H572">
        <v>1.6</v>
      </c>
      <c r="I572" t="s">
        <v>15</v>
      </c>
      <c r="J572">
        <v>10</v>
      </c>
      <c r="K572">
        <v>6</v>
      </c>
      <c r="L572">
        <v>8</v>
      </c>
      <c r="M572">
        <v>0</v>
      </c>
      <c r="N572">
        <f>_xlfn.IFS(rounded[[#This Row],[social_interaction_level]] = "low", 1,rounded[[#This Row],[social_interaction_level]] = "medium", 2,rounded[[#This Row],[social_interaction_level]] = "high", 3)</f>
        <v>1</v>
      </c>
      <c r="O572">
        <f t="shared" si="8"/>
        <v>24</v>
      </c>
      <c r="P572" t="str" cm="1">
        <f t="array" ref="P572">_xlfn.SWITCH(rounded[[#This Row],[depression_label]], 0, "Not Depressed", 1, "Depressed")</f>
        <v>Not Depressed</v>
      </c>
      <c r="Q572" s="45" t="str" cm="1">
        <f t="array" ref="Q572">_xlfn.SWITCH(rounded[[#This Row],[gender]], "male", "Male", "female", "Female")</f>
        <v>Female</v>
      </c>
    </row>
    <row r="573" spans="1:17" x14ac:dyDescent="0.35">
      <c r="A573">
        <v>19</v>
      </c>
      <c r="B573" t="s">
        <v>13</v>
      </c>
      <c r="C573" s="4">
        <v>7.2</v>
      </c>
      <c r="D573" t="s">
        <v>17</v>
      </c>
      <c r="E573" s="4">
        <v>6.6</v>
      </c>
      <c r="F573" s="4">
        <v>2.9</v>
      </c>
      <c r="G573">
        <v>2.74</v>
      </c>
      <c r="H573">
        <v>0.3</v>
      </c>
      <c r="I573" t="s">
        <v>19</v>
      </c>
      <c r="J573">
        <v>1</v>
      </c>
      <c r="K573">
        <v>10</v>
      </c>
      <c r="L573">
        <v>9</v>
      </c>
      <c r="M573">
        <v>0</v>
      </c>
      <c r="N573">
        <f>_xlfn.IFS(rounded[[#This Row],[social_interaction_level]] = "low", 1,rounded[[#This Row],[social_interaction_level]] = "medium", 2,rounded[[#This Row],[social_interaction_level]] = "high", 3)</f>
        <v>2</v>
      </c>
      <c r="O573">
        <f t="shared" si="8"/>
        <v>20</v>
      </c>
      <c r="P573" t="str" cm="1">
        <f t="array" ref="P573">_xlfn.SWITCH(rounded[[#This Row],[depression_label]], 0, "Not Depressed", 1, "Depressed")</f>
        <v>Not Depressed</v>
      </c>
      <c r="Q573" s="45" t="str" cm="1">
        <f t="array" ref="Q573">_xlfn.SWITCH(rounded[[#This Row],[gender]], "male", "Male", "female", "Female")</f>
        <v>Male</v>
      </c>
    </row>
    <row r="574" spans="1:17" x14ac:dyDescent="0.35">
      <c r="A574">
        <v>15</v>
      </c>
      <c r="B574" t="s">
        <v>13</v>
      </c>
      <c r="C574" s="4">
        <v>2.2999999999999998</v>
      </c>
      <c r="D574" t="s">
        <v>20</v>
      </c>
      <c r="E574" s="4">
        <v>5.7</v>
      </c>
      <c r="F574" s="4">
        <v>2.8</v>
      </c>
      <c r="G574">
        <v>2.79</v>
      </c>
      <c r="H574">
        <v>1.9</v>
      </c>
      <c r="I574" t="s">
        <v>19</v>
      </c>
      <c r="J574">
        <v>4</v>
      </c>
      <c r="K574">
        <v>1</v>
      </c>
      <c r="L574">
        <v>4</v>
      </c>
      <c r="M574">
        <v>0</v>
      </c>
      <c r="N574">
        <f>_xlfn.IFS(rounded[[#This Row],[social_interaction_level]] = "low", 1,rounded[[#This Row],[social_interaction_level]] = "medium", 2,rounded[[#This Row],[social_interaction_level]] = "high", 3)</f>
        <v>2</v>
      </c>
      <c r="O574">
        <f t="shared" si="8"/>
        <v>9</v>
      </c>
      <c r="P574" t="str" cm="1">
        <f t="array" ref="P574">_xlfn.SWITCH(rounded[[#This Row],[depression_label]], 0, "Not Depressed", 1, "Depressed")</f>
        <v>Not Depressed</v>
      </c>
      <c r="Q574" s="45" t="str" cm="1">
        <f t="array" ref="Q574">_xlfn.SWITCH(rounded[[#This Row],[gender]], "male", "Male", "female", "Female")</f>
        <v>Male</v>
      </c>
    </row>
    <row r="575" spans="1:17" x14ac:dyDescent="0.35">
      <c r="A575">
        <v>17</v>
      </c>
      <c r="B575" t="s">
        <v>16</v>
      </c>
      <c r="C575" s="4">
        <v>7.3</v>
      </c>
      <c r="D575" t="s">
        <v>20</v>
      </c>
      <c r="E575" s="4">
        <v>7.8</v>
      </c>
      <c r="F575" s="4">
        <v>1.1000000000000001</v>
      </c>
      <c r="G575">
        <v>2.0299999999999998</v>
      </c>
      <c r="H575">
        <v>1.1000000000000001</v>
      </c>
      <c r="I575" t="s">
        <v>15</v>
      </c>
      <c r="J575">
        <v>3</v>
      </c>
      <c r="K575">
        <v>10</v>
      </c>
      <c r="L575">
        <v>6</v>
      </c>
      <c r="M575">
        <v>0</v>
      </c>
      <c r="N575">
        <f>_xlfn.IFS(rounded[[#This Row],[social_interaction_level]] = "low", 1,rounded[[#This Row],[social_interaction_level]] = "medium", 2,rounded[[#This Row],[social_interaction_level]] = "high", 3)</f>
        <v>1</v>
      </c>
      <c r="O575">
        <f t="shared" si="8"/>
        <v>19</v>
      </c>
      <c r="P575" t="str" cm="1">
        <f t="array" ref="P575">_xlfn.SWITCH(rounded[[#This Row],[depression_label]], 0, "Not Depressed", 1, "Depressed")</f>
        <v>Not Depressed</v>
      </c>
      <c r="Q575" s="45" t="str" cm="1">
        <f t="array" ref="Q575">_xlfn.SWITCH(rounded[[#This Row],[gender]], "male", "Male", "female", "Female")</f>
        <v>Female</v>
      </c>
    </row>
    <row r="576" spans="1:17" x14ac:dyDescent="0.35">
      <c r="A576">
        <v>16</v>
      </c>
      <c r="B576" t="s">
        <v>16</v>
      </c>
      <c r="C576" s="4">
        <v>1.5</v>
      </c>
      <c r="D576" t="s">
        <v>14</v>
      </c>
      <c r="E576" s="4">
        <v>8</v>
      </c>
      <c r="F576" s="4">
        <v>0.7</v>
      </c>
      <c r="G576">
        <v>2.1800000000000002</v>
      </c>
      <c r="H576">
        <v>0.6</v>
      </c>
      <c r="I576" t="s">
        <v>19</v>
      </c>
      <c r="J576">
        <v>4</v>
      </c>
      <c r="K576">
        <v>7</v>
      </c>
      <c r="L576">
        <v>5</v>
      </c>
      <c r="M576">
        <v>0</v>
      </c>
      <c r="N576">
        <f>_xlfn.IFS(rounded[[#This Row],[social_interaction_level]] = "low", 1,rounded[[#This Row],[social_interaction_level]] = "medium", 2,rounded[[#This Row],[social_interaction_level]] = "high", 3)</f>
        <v>2</v>
      </c>
      <c r="O576">
        <f t="shared" si="8"/>
        <v>16</v>
      </c>
      <c r="P576" t="str" cm="1">
        <f t="array" ref="P576">_xlfn.SWITCH(rounded[[#This Row],[depression_label]], 0, "Not Depressed", 1, "Depressed")</f>
        <v>Not Depressed</v>
      </c>
      <c r="Q576" s="45" t="str" cm="1">
        <f t="array" ref="Q576">_xlfn.SWITCH(rounded[[#This Row],[gender]], "male", "Male", "female", "Female")</f>
        <v>Female</v>
      </c>
    </row>
    <row r="577" spans="1:17" x14ac:dyDescent="0.35">
      <c r="A577">
        <v>18</v>
      </c>
      <c r="B577" t="s">
        <v>16</v>
      </c>
      <c r="C577" s="4">
        <v>2.2000000000000002</v>
      </c>
      <c r="D577" t="s">
        <v>14</v>
      </c>
      <c r="E577" s="4">
        <v>6.5</v>
      </c>
      <c r="F577" s="4">
        <v>1.9</v>
      </c>
      <c r="G577">
        <v>3.79</v>
      </c>
      <c r="H577">
        <v>0.2</v>
      </c>
      <c r="I577" t="s">
        <v>15</v>
      </c>
      <c r="J577">
        <v>1</v>
      </c>
      <c r="K577">
        <v>6</v>
      </c>
      <c r="L577">
        <v>2</v>
      </c>
      <c r="M577">
        <v>0</v>
      </c>
      <c r="N577">
        <f>_xlfn.IFS(rounded[[#This Row],[social_interaction_level]] = "low", 1,rounded[[#This Row],[social_interaction_level]] = "medium", 2,rounded[[#This Row],[social_interaction_level]] = "high", 3)</f>
        <v>1</v>
      </c>
      <c r="O577">
        <f t="shared" si="8"/>
        <v>9</v>
      </c>
      <c r="P577" t="str" cm="1">
        <f t="array" ref="P577">_xlfn.SWITCH(rounded[[#This Row],[depression_label]], 0, "Not Depressed", 1, "Depressed")</f>
        <v>Not Depressed</v>
      </c>
      <c r="Q577" s="45" t="str" cm="1">
        <f t="array" ref="Q577">_xlfn.SWITCH(rounded[[#This Row],[gender]], "male", "Male", "female", "Female")</f>
        <v>Female</v>
      </c>
    </row>
    <row r="578" spans="1:17" x14ac:dyDescent="0.35">
      <c r="A578">
        <v>13</v>
      </c>
      <c r="B578" t="s">
        <v>16</v>
      </c>
      <c r="C578" s="4">
        <v>5.5</v>
      </c>
      <c r="D578" t="s">
        <v>20</v>
      </c>
      <c r="E578" s="4">
        <v>6.7</v>
      </c>
      <c r="F578" s="4">
        <v>1.6</v>
      </c>
      <c r="G578">
        <v>3.09</v>
      </c>
      <c r="H578">
        <v>1.7</v>
      </c>
      <c r="I578" t="s">
        <v>18</v>
      </c>
      <c r="J578">
        <v>10</v>
      </c>
      <c r="K578">
        <v>1</v>
      </c>
      <c r="L578">
        <v>6</v>
      </c>
      <c r="M578">
        <v>0</v>
      </c>
      <c r="N578">
        <f>_xlfn.IFS(rounded[[#This Row],[social_interaction_level]] = "low", 1,rounded[[#This Row],[social_interaction_level]] = "medium", 2,rounded[[#This Row],[social_interaction_level]] = "high", 3)</f>
        <v>3</v>
      </c>
      <c r="O578">
        <f t="shared" ref="O578:O641" si="9">SUM(J578+K578+L578)</f>
        <v>17</v>
      </c>
      <c r="P578" t="str" cm="1">
        <f t="array" ref="P578">_xlfn.SWITCH(rounded[[#This Row],[depression_label]], 0, "Not Depressed", 1, "Depressed")</f>
        <v>Not Depressed</v>
      </c>
      <c r="Q578" s="45" t="str" cm="1">
        <f t="array" ref="Q578">_xlfn.SWITCH(rounded[[#This Row],[gender]], "male", "Male", "female", "Female")</f>
        <v>Female</v>
      </c>
    </row>
    <row r="579" spans="1:17" x14ac:dyDescent="0.35">
      <c r="A579">
        <v>19</v>
      </c>
      <c r="B579" t="s">
        <v>13</v>
      </c>
      <c r="C579" s="4">
        <v>2.1</v>
      </c>
      <c r="D579" t="s">
        <v>17</v>
      </c>
      <c r="E579" s="4">
        <v>5.2</v>
      </c>
      <c r="F579" s="4">
        <v>2.5</v>
      </c>
      <c r="G579">
        <v>3.1</v>
      </c>
      <c r="H579">
        <v>0.3</v>
      </c>
      <c r="I579" t="s">
        <v>15</v>
      </c>
      <c r="J579">
        <v>9</v>
      </c>
      <c r="K579">
        <v>9</v>
      </c>
      <c r="L579">
        <v>3</v>
      </c>
      <c r="M579">
        <v>0</v>
      </c>
      <c r="N579">
        <f>_xlfn.IFS(rounded[[#This Row],[social_interaction_level]] = "low", 1,rounded[[#This Row],[social_interaction_level]] = "medium", 2,rounded[[#This Row],[social_interaction_level]] = "high", 3)</f>
        <v>1</v>
      </c>
      <c r="O579">
        <f t="shared" si="9"/>
        <v>21</v>
      </c>
      <c r="P579" t="str" cm="1">
        <f t="array" ref="P579">_xlfn.SWITCH(rounded[[#This Row],[depression_label]], 0, "Not Depressed", 1, "Depressed")</f>
        <v>Not Depressed</v>
      </c>
      <c r="Q579" s="45" t="str" cm="1">
        <f t="array" ref="Q579">_xlfn.SWITCH(rounded[[#This Row],[gender]], "male", "Male", "female", "Female")</f>
        <v>Male</v>
      </c>
    </row>
    <row r="580" spans="1:17" x14ac:dyDescent="0.35">
      <c r="A580">
        <v>15</v>
      </c>
      <c r="B580" t="s">
        <v>16</v>
      </c>
      <c r="C580" s="4">
        <v>4.5</v>
      </c>
      <c r="D580" t="s">
        <v>20</v>
      </c>
      <c r="E580" s="4">
        <v>5.4</v>
      </c>
      <c r="F580" s="4">
        <v>1.2</v>
      </c>
      <c r="G580">
        <v>3.76</v>
      </c>
      <c r="H580">
        <v>1.7</v>
      </c>
      <c r="I580" t="s">
        <v>18</v>
      </c>
      <c r="J580">
        <v>1</v>
      </c>
      <c r="K580">
        <v>8</v>
      </c>
      <c r="L580">
        <v>7</v>
      </c>
      <c r="M580">
        <v>0</v>
      </c>
      <c r="N580">
        <f>_xlfn.IFS(rounded[[#This Row],[social_interaction_level]] = "low", 1,rounded[[#This Row],[social_interaction_level]] = "medium", 2,rounded[[#This Row],[social_interaction_level]] = "high", 3)</f>
        <v>3</v>
      </c>
      <c r="O580">
        <f t="shared" si="9"/>
        <v>16</v>
      </c>
      <c r="P580" t="str" cm="1">
        <f t="array" ref="P580">_xlfn.SWITCH(rounded[[#This Row],[depression_label]], 0, "Not Depressed", 1, "Depressed")</f>
        <v>Not Depressed</v>
      </c>
      <c r="Q580" s="45" t="str" cm="1">
        <f t="array" ref="Q580">_xlfn.SWITCH(rounded[[#This Row],[gender]], "male", "Male", "female", "Female")</f>
        <v>Female</v>
      </c>
    </row>
    <row r="581" spans="1:17" x14ac:dyDescent="0.35">
      <c r="A581">
        <v>13</v>
      </c>
      <c r="B581" t="s">
        <v>13</v>
      </c>
      <c r="C581" s="4">
        <v>3.9</v>
      </c>
      <c r="D581" t="s">
        <v>20</v>
      </c>
      <c r="E581" s="4">
        <v>5.8</v>
      </c>
      <c r="F581" s="4">
        <v>0.7</v>
      </c>
      <c r="G581">
        <v>2.77</v>
      </c>
      <c r="H581">
        <v>1.3</v>
      </c>
      <c r="I581" t="s">
        <v>19</v>
      </c>
      <c r="J581">
        <v>10</v>
      </c>
      <c r="K581">
        <v>3</v>
      </c>
      <c r="L581">
        <v>1</v>
      </c>
      <c r="M581">
        <v>0</v>
      </c>
      <c r="N581">
        <f>_xlfn.IFS(rounded[[#This Row],[social_interaction_level]] = "low", 1,rounded[[#This Row],[social_interaction_level]] = "medium", 2,rounded[[#This Row],[social_interaction_level]] = "high", 3)</f>
        <v>2</v>
      </c>
      <c r="O581">
        <f t="shared" si="9"/>
        <v>14</v>
      </c>
      <c r="P581" t="str" cm="1">
        <f t="array" ref="P581">_xlfn.SWITCH(rounded[[#This Row],[depression_label]], 0, "Not Depressed", 1, "Depressed")</f>
        <v>Not Depressed</v>
      </c>
      <c r="Q581" s="45" t="str" cm="1">
        <f t="array" ref="Q581">_xlfn.SWITCH(rounded[[#This Row],[gender]], "male", "Male", "female", "Female")</f>
        <v>Male</v>
      </c>
    </row>
    <row r="582" spans="1:17" x14ac:dyDescent="0.35">
      <c r="A582">
        <v>14</v>
      </c>
      <c r="B582" t="s">
        <v>13</v>
      </c>
      <c r="C582" s="4">
        <v>5.8</v>
      </c>
      <c r="D582" t="s">
        <v>14</v>
      </c>
      <c r="E582" s="4">
        <v>5.0999999999999996</v>
      </c>
      <c r="F582" s="4">
        <v>2.6</v>
      </c>
      <c r="G582">
        <v>2.06</v>
      </c>
      <c r="H582">
        <v>1.5</v>
      </c>
      <c r="I582" t="s">
        <v>19</v>
      </c>
      <c r="J582">
        <v>7</v>
      </c>
      <c r="K582">
        <v>5</v>
      </c>
      <c r="L582">
        <v>2</v>
      </c>
      <c r="M582">
        <v>0</v>
      </c>
      <c r="N582">
        <f>_xlfn.IFS(rounded[[#This Row],[social_interaction_level]] = "low", 1,rounded[[#This Row],[social_interaction_level]] = "medium", 2,rounded[[#This Row],[social_interaction_level]] = "high", 3)</f>
        <v>2</v>
      </c>
      <c r="O582">
        <f t="shared" si="9"/>
        <v>14</v>
      </c>
      <c r="P582" t="str" cm="1">
        <f t="array" ref="P582">_xlfn.SWITCH(rounded[[#This Row],[depression_label]], 0, "Not Depressed", 1, "Depressed")</f>
        <v>Not Depressed</v>
      </c>
      <c r="Q582" s="45" t="str" cm="1">
        <f t="array" ref="Q582">_xlfn.SWITCH(rounded[[#This Row],[gender]], "male", "Male", "female", "Female")</f>
        <v>Male</v>
      </c>
    </row>
    <row r="583" spans="1:17" x14ac:dyDescent="0.35">
      <c r="A583">
        <v>13</v>
      </c>
      <c r="B583" t="s">
        <v>16</v>
      </c>
      <c r="C583" s="4">
        <v>7.2</v>
      </c>
      <c r="D583" t="s">
        <v>20</v>
      </c>
      <c r="E583" s="4">
        <v>4.2</v>
      </c>
      <c r="F583" s="4">
        <v>2.5</v>
      </c>
      <c r="G583">
        <v>2.65</v>
      </c>
      <c r="H583">
        <v>1.6</v>
      </c>
      <c r="I583" t="s">
        <v>15</v>
      </c>
      <c r="J583">
        <v>10</v>
      </c>
      <c r="K583">
        <v>9</v>
      </c>
      <c r="L583">
        <v>3</v>
      </c>
      <c r="M583">
        <v>1</v>
      </c>
      <c r="N583">
        <f>_xlfn.IFS(rounded[[#This Row],[social_interaction_level]] = "low", 1,rounded[[#This Row],[social_interaction_level]] = "medium", 2,rounded[[#This Row],[social_interaction_level]] = "high", 3)</f>
        <v>1</v>
      </c>
      <c r="O583">
        <f t="shared" si="9"/>
        <v>22</v>
      </c>
      <c r="P583" t="str" cm="1">
        <f t="array" ref="P583">_xlfn.SWITCH(rounded[[#This Row],[depression_label]], 0, "Not Depressed", 1, "Depressed")</f>
        <v>Depressed</v>
      </c>
      <c r="Q583" s="45" t="str" cm="1">
        <f t="array" ref="Q583">_xlfn.SWITCH(rounded[[#This Row],[gender]], "male", "Male", "female", "Female")</f>
        <v>Female</v>
      </c>
    </row>
    <row r="584" spans="1:17" x14ac:dyDescent="0.35">
      <c r="A584">
        <v>17</v>
      </c>
      <c r="B584" t="s">
        <v>16</v>
      </c>
      <c r="C584" s="4">
        <v>2.9</v>
      </c>
      <c r="D584" t="s">
        <v>20</v>
      </c>
      <c r="E584" s="4">
        <v>7.5</v>
      </c>
      <c r="F584" s="4">
        <v>1.4</v>
      </c>
      <c r="G584">
        <v>3.42</v>
      </c>
      <c r="H584">
        <v>1.7</v>
      </c>
      <c r="I584" t="s">
        <v>15</v>
      </c>
      <c r="J584">
        <v>5</v>
      </c>
      <c r="K584">
        <v>6</v>
      </c>
      <c r="L584">
        <v>3</v>
      </c>
      <c r="M584">
        <v>0</v>
      </c>
      <c r="N584">
        <f>_xlfn.IFS(rounded[[#This Row],[social_interaction_level]] = "low", 1,rounded[[#This Row],[social_interaction_level]] = "medium", 2,rounded[[#This Row],[social_interaction_level]] = "high", 3)</f>
        <v>1</v>
      </c>
      <c r="O584">
        <f t="shared" si="9"/>
        <v>14</v>
      </c>
      <c r="P584" t="str" cm="1">
        <f t="array" ref="P584">_xlfn.SWITCH(rounded[[#This Row],[depression_label]], 0, "Not Depressed", 1, "Depressed")</f>
        <v>Not Depressed</v>
      </c>
      <c r="Q584" s="45" t="str" cm="1">
        <f t="array" ref="Q584">_xlfn.SWITCH(rounded[[#This Row],[gender]], "male", "Male", "female", "Female")</f>
        <v>Female</v>
      </c>
    </row>
    <row r="585" spans="1:17" x14ac:dyDescent="0.35">
      <c r="A585">
        <v>17</v>
      </c>
      <c r="B585" t="s">
        <v>13</v>
      </c>
      <c r="C585" s="4">
        <v>6.2</v>
      </c>
      <c r="D585" t="s">
        <v>14</v>
      </c>
      <c r="E585" s="4">
        <v>7.4</v>
      </c>
      <c r="F585" s="4">
        <v>0.6</v>
      </c>
      <c r="G585">
        <v>3.38</v>
      </c>
      <c r="H585">
        <v>1.5</v>
      </c>
      <c r="I585" t="s">
        <v>15</v>
      </c>
      <c r="J585">
        <v>4</v>
      </c>
      <c r="K585">
        <v>7</v>
      </c>
      <c r="L585">
        <v>9</v>
      </c>
      <c r="M585">
        <v>0</v>
      </c>
      <c r="N585">
        <f>_xlfn.IFS(rounded[[#This Row],[social_interaction_level]] = "low", 1,rounded[[#This Row],[social_interaction_level]] = "medium", 2,rounded[[#This Row],[social_interaction_level]] = "high", 3)</f>
        <v>1</v>
      </c>
      <c r="O585">
        <f t="shared" si="9"/>
        <v>20</v>
      </c>
      <c r="P585" t="str" cm="1">
        <f t="array" ref="P585">_xlfn.SWITCH(rounded[[#This Row],[depression_label]], 0, "Not Depressed", 1, "Depressed")</f>
        <v>Not Depressed</v>
      </c>
      <c r="Q585" s="45" t="str" cm="1">
        <f t="array" ref="Q585">_xlfn.SWITCH(rounded[[#This Row],[gender]], "male", "Male", "female", "Female")</f>
        <v>Male</v>
      </c>
    </row>
    <row r="586" spans="1:17" x14ac:dyDescent="0.35">
      <c r="A586">
        <v>18</v>
      </c>
      <c r="B586" t="s">
        <v>16</v>
      </c>
      <c r="C586" s="4">
        <v>1.1000000000000001</v>
      </c>
      <c r="D586" t="s">
        <v>20</v>
      </c>
      <c r="E586" s="4">
        <v>4.9000000000000004</v>
      </c>
      <c r="F586" s="4">
        <v>2.6</v>
      </c>
      <c r="G586">
        <v>2.4300000000000002</v>
      </c>
      <c r="H586">
        <v>1.3</v>
      </c>
      <c r="I586" t="s">
        <v>18</v>
      </c>
      <c r="J586">
        <v>9</v>
      </c>
      <c r="K586">
        <v>7</v>
      </c>
      <c r="L586">
        <v>6</v>
      </c>
      <c r="M586">
        <v>0</v>
      </c>
      <c r="N586">
        <f>_xlfn.IFS(rounded[[#This Row],[social_interaction_level]] = "low", 1,rounded[[#This Row],[social_interaction_level]] = "medium", 2,rounded[[#This Row],[social_interaction_level]] = "high", 3)</f>
        <v>3</v>
      </c>
      <c r="O586">
        <f t="shared" si="9"/>
        <v>22</v>
      </c>
      <c r="P586" t="str" cm="1">
        <f t="array" ref="P586">_xlfn.SWITCH(rounded[[#This Row],[depression_label]], 0, "Not Depressed", 1, "Depressed")</f>
        <v>Not Depressed</v>
      </c>
      <c r="Q586" s="45" t="str" cm="1">
        <f t="array" ref="Q586">_xlfn.SWITCH(rounded[[#This Row],[gender]], "male", "Male", "female", "Female")</f>
        <v>Female</v>
      </c>
    </row>
    <row r="587" spans="1:17" x14ac:dyDescent="0.35">
      <c r="A587">
        <v>19</v>
      </c>
      <c r="B587" t="s">
        <v>13</v>
      </c>
      <c r="C587" s="4">
        <v>5.2</v>
      </c>
      <c r="D587" t="s">
        <v>14</v>
      </c>
      <c r="E587" s="4">
        <v>4.3</v>
      </c>
      <c r="F587" s="4">
        <v>1.3</v>
      </c>
      <c r="G587">
        <v>2.29</v>
      </c>
      <c r="H587">
        <v>1.3</v>
      </c>
      <c r="I587" t="s">
        <v>19</v>
      </c>
      <c r="J587">
        <v>10</v>
      </c>
      <c r="K587">
        <v>8</v>
      </c>
      <c r="L587">
        <v>10</v>
      </c>
      <c r="M587">
        <v>1</v>
      </c>
      <c r="N587">
        <f>_xlfn.IFS(rounded[[#This Row],[social_interaction_level]] = "low", 1,rounded[[#This Row],[social_interaction_level]] = "medium", 2,rounded[[#This Row],[social_interaction_level]] = "high", 3)</f>
        <v>2</v>
      </c>
      <c r="O587">
        <f t="shared" si="9"/>
        <v>28</v>
      </c>
      <c r="P587" t="str" cm="1">
        <f t="array" ref="P587">_xlfn.SWITCH(rounded[[#This Row],[depression_label]], 0, "Not Depressed", 1, "Depressed")</f>
        <v>Depressed</v>
      </c>
      <c r="Q587" s="45" t="str" cm="1">
        <f t="array" ref="Q587">_xlfn.SWITCH(rounded[[#This Row],[gender]], "male", "Male", "female", "Female")</f>
        <v>Male</v>
      </c>
    </row>
    <row r="588" spans="1:17" x14ac:dyDescent="0.35">
      <c r="A588">
        <v>15</v>
      </c>
      <c r="B588" t="s">
        <v>16</v>
      </c>
      <c r="C588" s="4">
        <v>5</v>
      </c>
      <c r="D588" t="s">
        <v>14</v>
      </c>
      <c r="E588" s="4">
        <v>7.6</v>
      </c>
      <c r="F588" s="4">
        <v>1.8</v>
      </c>
      <c r="G588">
        <v>2.52</v>
      </c>
      <c r="H588">
        <v>1.4</v>
      </c>
      <c r="I588" t="s">
        <v>18</v>
      </c>
      <c r="J588">
        <v>1</v>
      </c>
      <c r="K588">
        <v>4</v>
      </c>
      <c r="L588">
        <v>3</v>
      </c>
      <c r="M588">
        <v>0</v>
      </c>
      <c r="N588">
        <f>_xlfn.IFS(rounded[[#This Row],[social_interaction_level]] = "low", 1,rounded[[#This Row],[social_interaction_level]] = "medium", 2,rounded[[#This Row],[social_interaction_level]] = "high", 3)</f>
        <v>3</v>
      </c>
      <c r="O588">
        <f t="shared" si="9"/>
        <v>8</v>
      </c>
      <c r="P588" t="str" cm="1">
        <f t="array" ref="P588">_xlfn.SWITCH(rounded[[#This Row],[depression_label]], 0, "Not Depressed", 1, "Depressed")</f>
        <v>Not Depressed</v>
      </c>
      <c r="Q588" s="45" t="str" cm="1">
        <f t="array" ref="Q588">_xlfn.SWITCH(rounded[[#This Row],[gender]], "male", "Male", "female", "Female")</f>
        <v>Female</v>
      </c>
    </row>
    <row r="589" spans="1:17" x14ac:dyDescent="0.35">
      <c r="A589">
        <v>13</v>
      </c>
      <c r="B589" t="s">
        <v>16</v>
      </c>
      <c r="C589" s="4">
        <v>2.2999999999999998</v>
      </c>
      <c r="D589" t="s">
        <v>17</v>
      </c>
      <c r="E589" s="4">
        <v>8.6999999999999993</v>
      </c>
      <c r="F589" s="4">
        <v>1.2</v>
      </c>
      <c r="G589">
        <v>3.25</v>
      </c>
      <c r="H589">
        <v>1.5</v>
      </c>
      <c r="I589" t="s">
        <v>18</v>
      </c>
      <c r="J589">
        <v>9</v>
      </c>
      <c r="K589">
        <v>9</v>
      </c>
      <c r="L589">
        <v>1</v>
      </c>
      <c r="M589">
        <v>0</v>
      </c>
      <c r="N589">
        <f>_xlfn.IFS(rounded[[#This Row],[social_interaction_level]] = "low", 1,rounded[[#This Row],[social_interaction_level]] = "medium", 2,rounded[[#This Row],[social_interaction_level]] = "high", 3)</f>
        <v>3</v>
      </c>
      <c r="O589">
        <f t="shared" si="9"/>
        <v>19</v>
      </c>
      <c r="P589" t="str" cm="1">
        <f t="array" ref="P589">_xlfn.SWITCH(rounded[[#This Row],[depression_label]], 0, "Not Depressed", 1, "Depressed")</f>
        <v>Not Depressed</v>
      </c>
      <c r="Q589" s="45" t="str" cm="1">
        <f t="array" ref="Q589">_xlfn.SWITCH(rounded[[#This Row],[gender]], "male", "Male", "female", "Female")</f>
        <v>Female</v>
      </c>
    </row>
    <row r="590" spans="1:17" x14ac:dyDescent="0.35">
      <c r="A590">
        <v>15</v>
      </c>
      <c r="B590" t="s">
        <v>16</v>
      </c>
      <c r="C590" s="4">
        <v>5.2</v>
      </c>
      <c r="D590" t="s">
        <v>17</v>
      </c>
      <c r="E590" s="4">
        <v>5.6</v>
      </c>
      <c r="F590" s="4">
        <v>1.5</v>
      </c>
      <c r="G590">
        <v>3.13</v>
      </c>
      <c r="H590">
        <v>0.1</v>
      </c>
      <c r="I590" t="s">
        <v>15</v>
      </c>
      <c r="J590">
        <v>7</v>
      </c>
      <c r="K590">
        <v>9</v>
      </c>
      <c r="L590">
        <v>4</v>
      </c>
      <c r="M590">
        <v>1</v>
      </c>
      <c r="N590">
        <f>_xlfn.IFS(rounded[[#This Row],[social_interaction_level]] = "low", 1,rounded[[#This Row],[social_interaction_level]] = "medium", 2,rounded[[#This Row],[social_interaction_level]] = "high", 3)</f>
        <v>1</v>
      </c>
      <c r="O590">
        <f t="shared" si="9"/>
        <v>20</v>
      </c>
      <c r="P590" t="str" cm="1">
        <f t="array" ref="P590">_xlfn.SWITCH(rounded[[#This Row],[depression_label]], 0, "Not Depressed", 1, "Depressed")</f>
        <v>Depressed</v>
      </c>
      <c r="Q590" s="45" t="str" cm="1">
        <f t="array" ref="Q590">_xlfn.SWITCH(rounded[[#This Row],[gender]], "male", "Male", "female", "Female")</f>
        <v>Female</v>
      </c>
    </row>
    <row r="591" spans="1:17" x14ac:dyDescent="0.35">
      <c r="A591">
        <v>13</v>
      </c>
      <c r="B591" t="s">
        <v>16</v>
      </c>
      <c r="C591" s="4">
        <v>3.5</v>
      </c>
      <c r="D591" t="s">
        <v>20</v>
      </c>
      <c r="E591" s="4">
        <v>8.6999999999999993</v>
      </c>
      <c r="F591" s="4">
        <v>1.4</v>
      </c>
      <c r="G591">
        <v>3.5</v>
      </c>
      <c r="H591">
        <v>1.3</v>
      </c>
      <c r="I591" t="s">
        <v>18</v>
      </c>
      <c r="J591">
        <v>9</v>
      </c>
      <c r="K591">
        <v>4</v>
      </c>
      <c r="L591">
        <v>5</v>
      </c>
      <c r="M591">
        <v>0</v>
      </c>
      <c r="N591">
        <f>_xlfn.IFS(rounded[[#This Row],[social_interaction_level]] = "low", 1,rounded[[#This Row],[social_interaction_level]] = "medium", 2,rounded[[#This Row],[social_interaction_level]] = "high", 3)</f>
        <v>3</v>
      </c>
      <c r="O591">
        <f t="shared" si="9"/>
        <v>18</v>
      </c>
      <c r="P591" t="str" cm="1">
        <f t="array" ref="P591">_xlfn.SWITCH(rounded[[#This Row],[depression_label]], 0, "Not Depressed", 1, "Depressed")</f>
        <v>Not Depressed</v>
      </c>
      <c r="Q591" s="45" t="str" cm="1">
        <f t="array" ref="Q591">_xlfn.SWITCH(rounded[[#This Row],[gender]], "male", "Male", "female", "Female")</f>
        <v>Female</v>
      </c>
    </row>
    <row r="592" spans="1:17" x14ac:dyDescent="0.35">
      <c r="A592">
        <v>16</v>
      </c>
      <c r="B592" t="s">
        <v>16</v>
      </c>
      <c r="C592" s="4">
        <v>3.5</v>
      </c>
      <c r="D592" t="s">
        <v>20</v>
      </c>
      <c r="E592" s="4">
        <v>4.2</v>
      </c>
      <c r="F592" s="4">
        <v>1.5</v>
      </c>
      <c r="G592">
        <v>3.98</v>
      </c>
      <c r="H592">
        <v>0.4</v>
      </c>
      <c r="I592" t="s">
        <v>19</v>
      </c>
      <c r="J592">
        <v>1</v>
      </c>
      <c r="K592">
        <v>7</v>
      </c>
      <c r="L592">
        <v>2</v>
      </c>
      <c r="M592">
        <v>0</v>
      </c>
      <c r="N592">
        <f>_xlfn.IFS(rounded[[#This Row],[social_interaction_level]] = "low", 1,rounded[[#This Row],[social_interaction_level]] = "medium", 2,rounded[[#This Row],[social_interaction_level]] = "high", 3)</f>
        <v>2</v>
      </c>
      <c r="O592">
        <f t="shared" si="9"/>
        <v>10</v>
      </c>
      <c r="P592" t="str" cm="1">
        <f t="array" ref="P592">_xlfn.SWITCH(rounded[[#This Row],[depression_label]], 0, "Not Depressed", 1, "Depressed")</f>
        <v>Not Depressed</v>
      </c>
      <c r="Q592" s="45" t="str" cm="1">
        <f t="array" ref="Q592">_xlfn.SWITCH(rounded[[#This Row],[gender]], "male", "Male", "female", "Female")</f>
        <v>Female</v>
      </c>
    </row>
    <row r="593" spans="1:17" x14ac:dyDescent="0.35">
      <c r="A593">
        <v>19</v>
      </c>
      <c r="B593" t="s">
        <v>13</v>
      </c>
      <c r="C593" s="4">
        <v>7.7</v>
      </c>
      <c r="D593" t="s">
        <v>14</v>
      </c>
      <c r="E593" s="4">
        <v>4.2</v>
      </c>
      <c r="F593" s="4">
        <v>2.6</v>
      </c>
      <c r="G593">
        <v>2.2000000000000002</v>
      </c>
      <c r="H593">
        <v>1.8</v>
      </c>
      <c r="I593" t="s">
        <v>15</v>
      </c>
      <c r="J593">
        <v>8</v>
      </c>
      <c r="K593">
        <v>9</v>
      </c>
      <c r="L593">
        <v>4</v>
      </c>
      <c r="M593">
        <v>1</v>
      </c>
      <c r="N593">
        <f>_xlfn.IFS(rounded[[#This Row],[social_interaction_level]] = "low", 1,rounded[[#This Row],[social_interaction_level]] = "medium", 2,rounded[[#This Row],[social_interaction_level]] = "high", 3)</f>
        <v>1</v>
      </c>
      <c r="O593">
        <f t="shared" si="9"/>
        <v>21</v>
      </c>
      <c r="P593" t="str" cm="1">
        <f t="array" ref="P593">_xlfn.SWITCH(rounded[[#This Row],[depression_label]], 0, "Not Depressed", 1, "Depressed")</f>
        <v>Depressed</v>
      </c>
      <c r="Q593" s="45" t="str" cm="1">
        <f t="array" ref="Q593">_xlfn.SWITCH(rounded[[#This Row],[gender]], "male", "Male", "female", "Female")</f>
        <v>Male</v>
      </c>
    </row>
    <row r="594" spans="1:17" x14ac:dyDescent="0.35">
      <c r="A594">
        <v>18</v>
      </c>
      <c r="B594" t="s">
        <v>16</v>
      </c>
      <c r="C594" s="4">
        <v>2</v>
      </c>
      <c r="D594" t="s">
        <v>20</v>
      </c>
      <c r="E594" s="4">
        <v>8.6</v>
      </c>
      <c r="F594" s="4">
        <v>2.2000000000000002</v>
      </c>
      <c r="G594">
        <v>3.53</v>
      </c>
      <c r="H594">
        <v>1.9</v>
      </c>
      <c r="I594" t="s">
        <v>15</v>
      </c>
      <c r="J594">
        <v>2</v>
      </c>
      <c r="K594">
        <v>5</v>
      </c>
      <c r="L594">
        <v>8</v>
      </c>
      <c r="M594">
        <v>0</v>
      </c>
      <c r="N594">
        <f>_xlfn.IFS(rounded[[#This Row],[social_interaction_level]] = "low", 1,rounded[[#This Row],[social_interaction_level]] = "medium", 2,rounded[[#This Row],[social_interaction_level]] = "high", 3)</f>
        <v>1</v>
      </c>
      <c r="O594">
        <f t="shared" si="9"/>
        <v>15</v>
      </c>
      <c r="P594" t="str" cm="1">
        <f t="array" ref="P594">_xlfn.SWITCH(rounded[[#This Row],[depression_label]], 0, "Not Depressed", 1, "Depressed")</f>
        <v>Not Depressed</v>
      </c>
      <c r="Q594" s="45" t="str" cm="1">
        <f t="array" ref="Q594">_xlfn.SWITCH(rounded[[#This Row],[gender]], "male", "Male", "female", "Female")</f>
        <v>Female</v>
      </c>
    </row>
    <row r="595" spans="1:17" x14ac:dyDescent="0.35">
      <c r="A595">
        <v>13</v>
      </c>
      <c r="B595" t="s">
        <v>16</v>
      </c>
      <c r="C595" s="4">
        <v>5.0999999999999996</v>
      </c>
      <c r="D595" t="s">
        <v>17</v>
      </c>
      <c r="E595" s="4">
        <v>4.5</v>
      </c>
      <c r="F595" s="4">
        <v>2.7</v>
      </c>
      <c r="G595">
        <v>2.54</v>
      </c>
      <c r="H595">
        <v>1.4</v>
      </c>
      <c r="I595" t="s">
        <v>18</v>
      </c>
      <c r="J595">
        <v>2</v>
      </c>
      <c r="K595">
        <v>3</v>
      </c>
      <c r="L595">
        <v>10</v>
      </c>
      <c r="M595">
        <v>0</v>
      </c>
      <c r="N595">
        <f>_xlfn.IFS(rounded[[#This Row],[social_interaction_level]] = "low", 1,rounded[[#This Row],[social_interaction_level]] = "medium", 2,rounded[[#This Row],[social_interaction_level]] = "high", 3)</f>
        <v>3</v>
      </c>
      <c r="O595">
        <f t="shared" si="9"/>
        <v>15</v>
      </c>
      <c r="P595" t="str" cm="1">
        <f t="array" ref="P595">_xlfn.SWITCH(rounded[[#This Row],[depression_label]], 0, "Not Depressed", 1, "Depressed")</f>
        <v>Not Depressed</v>
      </c>
      <c r="Q595" s="45" t="str" cm="1">
        <f t="array" ref="Q595">_xlfn.SWITCH(rounded[[#This Row],[gender]], "male", "Male", "female", "Female")</f>
        <v>Female</v>
      </c>
    </row>
    <row r="596" spans="1:17" x14ac:dyDescent="0.35">
      <c r="A596">
        <v>16</v>
      </c>
      <c r="B596" t="s">
        <v>13</v>
      </c>
      <c r="C596" s="4">
        <v>2</v>
      </c>
      <c r="D596" t="s">
        <v>14</v>
      </c>
      <c r="E596" s="4">
        <v>7.9</v>
      </c>
      <c r="F596" s="4">
        <v>2.4</v>
      </c>
      <c r="G596">
        <v>2.81</v>
      </c>
      <c r="H596">
        <v>1.9</v>
      </c>
      <c r="I596" t="s">
        <v>15</v>
      </c>
      <c r="J596">
        <v>10</v>
      </c>
      <c r="K596">
        <v>6</v>
      </c>
      <c r="L596">
        <v>6</v>
      </c>
      <c r="M596">
        <v>0</v>
      </c>
      <c r="N596">
        <f>_xlfn.IFS(rounded[[#This Row],[social_interaction_level]] = "low", 1,rounded[[#This Row],[social_interaction_level]] = "medium", 2,rounded[[#This Row],[social_interaction_level]] = "high", 3)</f>
        <v>1</v>
      </c>
      <c r="O596">
        <f t="shared" si="9"/>
        <v>22</v>
      </c>
      <c r="P596" t="str" cm="1">
        <f t="array" ref="P596">_xlfn.SWITCH(rounded[[#This Row],[depression_label]], 0, "Not Depressed", 1, "Depressed")</f>
        <v>Not Depressed</v>
      </c>
      <c r="Q596" s="45" t="str" cm="1">
        <f t="array" ref="Q596">_xlfn.SWITCH(rounded[[#This Row],[gender]], "male", "Male", "female", "Female")</f>
        <v>Male</v>
      </c>
    </row>
    <row r="597" spans="1:17" x14ac:dyDescent="0.35">
      <c r="A597">
        <v>15</v>
      </c>
      <c r="B597" t="s">
        <v>13</v>
      </c>
      <c r="C597" s="4">
        <v>4.7</v>
      </c>
      <c r="D597" t="s">
        <v>14</v>
      </c>
      <c r="E597" s="4">
        <v>8.4</v>
      </c>
      <c r="F597" s="4">
        <v>1.9</v>
      </c>
      <c r="G597">
        <v>3.9</v>
      </c>
      <c r="H597">
        <v>1</v>
      </c>
      <c r="I597" t="s">
        <v>18</v>
      </c>
      <c r="J597">
        <v>4</v>
      </c>
      <c r="K597">
        <v>10</v>
      </c>
      <c r="L597">
        <v>6</v>
      </c>
      <c r="M597">
        <v>0</v>
      </c>
      <c r="N597">
        <f>_xlfn.IFS(rounded[[#This Row],[social_interaction_level]] = "low", 1,rounded[[#This Row],[social_interaction_level]] = "medium", 2,rounded[[#This Row],[social_interaction_level]] = "high", 3)</f>
        <v>3</v>
      </c>
      <c r="O597">
        <f t="shared" si="9"/>
        <v>20</v>
      </c>
      <c r="P597" t="str" cm="1">
        <f t="array" ref="P597">_xlfn.SWITCH(rounded[[#This Row],[depression_label]], 0, "Not Depressed", 1, "Depressed")</f>
        <v>Not Depressed</v>
      </c>
      <c r="Q597" s="45" t="str" cm="1">
        <f t="array" ref="Q597">_xlfn.SWITCH(rounded[[#This Row],[gender]], "male", "Male", "female", "Female")</f>
        <v>Male</v>
      </c>
    </row>
    <row r="598" spans="1:17" x14ac:dyDescent="0.35">
      <c r="A598">
        <v>17</v>
      </c>
      <c r="B598" t="s">
        <v>16</v>
      </c>
      <c r="C598" s="4">
        <v>6.9</v>
      </c>
      <c r="D598" t="s">
        <v>17</v>
      </c>
      <c r="E598" s="4">
        <v>6.1</v>
      </c>
      <c r="F598" s="4">
        <v>2.4</v>
      </c>
      <c r="G598">
        <v>3.77</v>
      </c>
      <c r="H598">
        <v>1.1000000000000001</v>
      </c>
      <c r="I598" t="s">
        <v>19</v>
      </c>
      <c r="J598">
        <v>9</v>
      </c>
      <c r="K598">
        <v>4</v>
      </c>
      <c r="L598">
        <v>9</v>
      </c>
      <c r="M598">
        <v>0</v>
      </c>
      <c r="N598">
        <f>_xlfn.IFS(rounded[[#This Row],[social_interaction_level]] = "low", 1,rounded[[#This Row],[social_interaction_level]] = "medium", 2,rounded[[#This Row],[social_interaction_level]] = "high", 3)</f>
        <v>2</v>
      </c>
      <c r="O598">
        <f t="shared" si="9"/>
        <v>22</v>
      </c>
      <c r="P598" t="str" cm="1">
        <f t="array" ref="P598">_xlfn.SWITCH(rounded[[#This Row],[depression_label]], 0, "Not Depressed", 1, "Depressed")</f>
        <v>Not Depressed</v>
      </c>
      <c r="Q598" s="45" t="str" cm="1">
        <f t="array" ref="Q598">_xlfn.SWITCH(rounded[[#This Row],[gender]], "male", "Male", "female", "Female")</f>
        <v>Female</v>
      </c>
    </row>
    <row r="599" spans="1:17" x14ac:dyDescent="0.35">
      <c r="A599">
        <v>18</v>
      </c>
      <c r="B599" t="s">
        <v>13</v>
      </c>
      <c r="C599" s="4">
        <v>5.9</v>
      </c>
      <c r="D599" t="s">
        <v>14</v>
      </c>
      <c r="E599" s="4">
        <v>4.4000000000000004</v>
      </c>
      <c r="F599" s="4">
        <v>2.7</v>
      </c>
      <c r="G599">
        <v>2.09</v>
      </c>
      <c r="H599">
        <v>1.8</v>
      </c>
      <c r="I599" t="s">
        <v>18</v>
      </c>
      <c r="J599">
        <v>1</v>
      </c>
      <c r="K599">
        <v>6</v>
      </c>
      <c r="L599">
        <v>6</v>
      </c>
      <c r="M599">
        <v>0</v>
      </c>
      <c r="N599">
        <f>_xlfn.IFS(rounded[[#This Row],[social_interaction_level]] = "low", 1,rounded[[#This Row],[social_interaction_level]] = "medium", 2,rounded[[#This Row],[social_interaction_level]] = "high", 3)</f>
        <v>3</v>
      </c>
      <c r="O599">
        <f t="shared" si="9"/>
        <v>13</v>
      </c>
      <c r="P599" t="str" cm="1">
        <f t="array" ref="P599">_xlfn.SWITCH(rounded[[#This Row],[depression_label]], 0, "Not Depressed", 1, "Depressed")</f>
        <v>Not Depressed</v>
      </c>
      <c r="Q599" s="45" t="str" cm="1">
        <f t="array" ref="Q599">_xlfn.SWITCH(rounded[[#This Row],[gender]], "male", "Male", "female", "Female")</f>
        <v>Male</v>
      </c>
    </row>
    <row r="600" spans="1:17" x14ac:dyDescent="0.35">
      <c r="A600">
        <v>19</v>
      </c>
      <c r="B600" t="s">
        <v>13</v>
      </c>
      <c r="C600" s="4">
        <v>2.7</v>
      </c>
      <c r="D600" t="s">
        <v>14</v>
      </c>
      <c r="E600" s="4">
        <v>6.3</v>
      </c>
      <c r="F600" s="4">
        <v>1.3</v>
      </c>
      <c r="G600">
        <v>3.91</v>
      </c>
      <c r="H600">
        <v>1.2</v>
      </c>
      <c r="I600" t="s">
        <v>18</v>
      </c>
      <c r="J600">
        <v>7</v>
      </c>
      <c r="K600">
        <v>5</v>
      </c>
      <c r="L600">
        <v>7</v>
      </c>
      <c r="M600">
        <v>0</v>
      </c>
      <c r="N600">
        <f>_xlfn.IFS(rounded[[#This Row],[social_interaction_level]] = "low", 1,rounded[[#This Row],[social_interaction_level]] = "medium", 2,rounded[[#This Row],[social_interaction_level]] = "high", 3)</f>
        <v>3</v>
      </c>
      <c r="O600">
        <f t="shared" si="9"/>
        <v>19</v>
      </c>
      <c r="P600" t="str" cm="1">
        <f t="array" ref="P600">_xlfn.SWITCH(rounded[[#This Row],[depression_label]], 0, "Not Depressed", 1, "Depressed")</f>
        <v>Not Depressed</v>
      </c>
      <c r="Q600" s="45" t="str" cm="1">
        <f t="array" ref="Q600">_xlfn.SWITCH(rounded[[#This Row],[gender]], "male", "Male", "female", "Female")</f>
        <v>Male</v>
      </c>
    </row>
    <row r="601" spans="1:17" x14ac:dyDescent="0.35">
      <c r="A601">
        <v>16</v>
      </c>
      <c r="B601" t="s">
        <v>13</v>
      </c>
      <c r="C601" s="4">
        <v>7.9</v>
      </c>
      <c r="D601" t="s">
        <v>17</v>
      </c>
      <c r="E601" s="4">
        <v>8</v>
      </c>
      <c r="F601" s="4">
        <v>1.6</v>
      </c>
      <c r="G601">
        <v>3.47</v>
      </c>
      <c r="H601">
        <v>1.5</v>
      </c>
      <c r="I601" t="s">
        <v>18</v>
      </c>
      <c r="J601">
        <v>3</v>
      </c>
      <c r="K601">
        <v>5</v>
      </c>
      <c r="L601">
        <v>6</v>
      </c>
      <c r="M601">
        <v>0</v>
      </c>
      <c r="N601">
        <f>_xlfn.IFS(rounded[[#This Row],[social_interaction_level]] = "low", 1,rounded[[#This Row],[social_interaction_level]] = "medium", 2,rounded[[#This Row],[social_interaction_level]] = "high", 3)</f>
        <v>3</v>
      </c>
      <c r="O601">
        <f t="shared" si="9"/>
        <v>14</v>
      </c>
      <c r="P601" t="str" cm="1">
        <f t="array" ref="P601">_xlfn.SWITCH(rounded[[#This Row],[depression_label]], 0, "Not Depressed", 1, "Depressed")</f>
        <v>Not Depressed</v>
      </c>
      <c r="Q601" s="45" t="str" cm="1">
        <f t="array" ref="Q601">_xlfn.SWITCH(rounded[[#This Row],[gender]], "male", "Male", "female", "Female")</f>
        <v>Male</v>
      </c>
    </row>
    <row r="602" spans="1:17" x14ac:dyDescent="0.35">
      <c r="A602">
        <v>16</v>
      </c>
      <c r="B602" t="s">
        <v>16</v>
      </c>
      <c r="C602" s="4">
        <v>7.4</v>
      </c>
      <c r="D602" t="s">
        <v>17</v>
      </c>
      <c r="E602" s="4">
        <v>5.5</v>
      </c>
      <c r="F602" s="4">
        <v>1.8</v>
      </c>
      <c r="G602">
        <v>2.13</v>
      </c>
      <c r="H602">
        <v>0.3</v>
      </c>
      <c r="I602" t="s">
        <v>18</v>
      </c>
      <c r="J602">
        <v>7</v>
      </c>
      <c r="K602">
        <v>9</v>
      </c>
      <c r="L602">
        <v>9</v>
      </c>
      <c r="M602">
        <v>1</v>
      </c>
      <c r="N602">
        <f>_xlfn.IFS(rounded[[#This Row],[social_interaction_level]] = "low", 1,rounded[[#This Row],[social_interaction_level]] = "medium", 2,rounded[[#This Row],[social_interaction_level]] = "high", 3)</f>
        <v>3</v>
      </c>
      <c r="O602">
        <f t="shared" si="9"/>
        <v>25</v>
      </c>
      <c r="P602" t="str" cm="1">
        <f t="array" ref="P602">_xlfn.SWITCH(rounded[[#This Row],[depression_label]], 0, "Not Depressed", 1, "Depressed")</f>
        <v>Depressed</v>
      </c>
      <c r="Q602" s="45" t="str" cm="1">
        <f t="array" ref="Q602">_xlfn.SWITCH(rounded[[#This Row],[gender]], "male", "Male", "female", "Female")</f>
        <v>Female</v>
      </c>
    </row>
    <row r="603" spans="1:17" x14ac:dyDescent="0.35">
      <c r="A603">
        <v>17</v>
      </c>
      <c r="B603" t="s">
        <v>16</v>
      </c>
      <c r="C603" s="4">
        <v>2.2999999999999998</v>
      </c>
      <c r="D603" t="s">
        <v>14</v>
      </c>
      <c r="E603" s="4">
        <v>4.9000000000000004</v>
      </c>
      <c r="F603" s="4">
        <v>1.7</v>
      </c>
      <c r="G603">
        <v>2.0699999999999998</v>
      </c>
      <c r="H603">
        <v>0.3</v>
      </c>
      <c r="I603" t="s">
        <v>19</v>
      </c>
      <c r="J603">
        <v>3</v>
      </c>
      <c r="K603">
        <v>7</v>
      </c>
      <c r="L603">
        <v>7</v>
      </c>
      <c r="M603">
        <v>0</v>
      </c>
      <c r="N603">
        <f>_xlfn.IFS(rounded[[#This Row],[social_interaction_level]] = "low", 1,rounded[[#This Row],[social_interaction_level]] = "medium", 2,rounded[[#This Row],[social_interaction_level]] = "high", 3)</f>
        <v>2</v>
      </c>
      <c r="O603">
        <f t="shared" si="9"/>
        <v>17</v>
      </c>
      <c r="P603" t="str" cm="1">
        <f t="array" ref="P603">_xlfn.SWITCH(rounded[[#This Row],[depression_label]], 0, "Not Depressed", 1, "Depressed")</f>
        <v>Not Depressed</v>
      </c>
      <c r="Q603" s="45" t="str" cm="1">
        <f t="array" ref="Q603">_xlfn.SWITCH(rounded[[#This Row],[gender]], "male", "Male", "female", "Female")</f>
        <v>Female</v>
      </c>
    </row>
    <row r="604" spans="1:17" x14ac:dyDescent="0.35">
      <c r="A604">
        <v>13</v>
      </c>
      <c r="B604" t="s">
        <v>13</v>
      </c>
      <c r="C604" s="4">
        <v>7.1</v>
      </c>
      <c r="D604" t="s">
        <v>20</v>
      </c>
      <c r="E604" s="4">
        <v>5.7</v>
      </c>
      <c r="F604" s="4">
        <v>2.1</v>
      </c>
      <c r="G604">
        <v>3.52</v>
      </c>
      <c r="H604">
        <v>1.7</v>
      </c>
      <c r="I604" t="s">
        <v>15</v>
      </c>
      <c r="J604">
        <v>1</v>
      </c>
      <c r="K604">
        <v>1</v>
      </c>
      <c r="L604">
        <v>3</v>
      </c>
      <c r="M604">
        <v>0</v>
      </c>
      <c r="N604">
        <f>_xlfn.IFS(rounded[[#This Row],[social_interaction_level]] = "low", 1,rounded[[#This Row],[social_interaction_level]] = "medium", 2,rounded[[#This Row],[social_interaction_level]] = "high", 3)</f>
        <v>1</v>
      </c>
      <c r="O604">
        <f t="shared" si="9"/>
        <v>5</v>
      </c>
      <c r="P604" t="str" cm="1">
        <f t="array" ref="P604">_xlfn.SWITCH(rounded[[#This Row],[depression_label]], 0, "Not Depressed", 1, "Depressed")</f>
        <v>Not Depressed</v>
      </c>
      <c r="Q604" s="45" t="str" cm="1">
        <f t="array" ref="Q604">_xlfn.SWITCH(rounded[[#This Row],[gender]], "male", "Male", "female", "Female")</f>
        <v>Male</v>
      </c>
    </row>
    <row r="605" spans="1:17" x14ac:dyDescent="0.35">
      <c r="A605">
        <v>16</v>
      </c>
      <c r="B605" t="s">
        <v>13</v>
      </c>
      <c r="C605" s="4">
        <v>6.9</v>
      </c>
      <c r="D605" t="s">
        <v>14</v>
      </c>
      <c r="E605" s="4">
        <v>6.8</v>
      </c>
      <c r="F605" s="4">
        <v>1.1000000000000001</v>
      </c>
      <c r="G605">
        <v>3.33</v>
      </c>
      <c r="H605">
        <v>1</v>
      </c>
      <c r="I605" t="s">
        <v>19</v>
      </c>
      <c r="J605">
        <v>7</v>
      </c>
      <c r="K605">
        <v>9</v>
      </c>
      <c r="L605">
        <v>4</v>
      </c>
      <c r="M605">
        <v>0</v>
      </c>
      <c r="N605">
        <f>_xlfn.IFS(rounded[[#This Row],[social_interaction_level]] = "low", 1,rounded[[#This Row],[social_interaction_level]] = "medium", 2,rounded[[#This Row],[social_interaction_level]] = "high", 3)</f>
        <v>2</v>
      </c>
      <c r="O605">
        <f t="shared" si="9"/>
        <v>20</v>
      </c>
      <c r="P605" t="str" cm="1">
        <f t="array" ref="P605">_xlfn.SWITCH(rounded[[#This Row],[depression_label]], 0, "Not Depressed", 1, "Depressed")</f>
        <v>Not Depressed</v>
      </c>
      <c r="Q605" s="45" t="str" cm="1">
        <f t="array" ref="Q605">_xlfn.SWITCH(rounded[[#This Row],[gender]], "male", "Male", "female", "Female")</f>
        <v>Male</v>
      </c>
    </row>
    <row r="606" spans="1:17" x14ac:dyDescent="0.35">
      <c r="A606">
        <v>16</v>
      </c>
      <c r="B606" t="s">
        <v>16</v>
      </c>
      <c r="C606" s="4">
        <v>5.6</v>
      </c>
      <c r="D606" t="s">
        <v>17</v>
      </c>
      <c r="E606" s="4">
        <v>7.9</v>
      </c>
      <c r="F606" s="4">
        <v>2</v>
      </c>
      <c r="G606">
        <v>3.91</v>
      </c>
      <c r="H606">
        <v>0.6</v>
      </c>
      <c r="I606" t="s">
        <v>19</v>
      </c>
      <c r="J606">
        <v>7</v>
      </c>
      <c r="K606">
        <v>3</v>
      </c>
      <c r="L606">
        <v>10</v>
      </c>
      <c r="M606">
        <v>0</v>
      </c>
      <c r="N606">
        <f>_xlfn.IFS(rounded[[#This Row],[social_interaction_level]] = "low", 1,rounded[[#This Row],[social_interaction_level]] = "medium", 2,rounded[[#This Row],[social_interaction_level]] = "high", 3)</f>
        <v>2</v>
      </c>
      <c r="O606">
        <f t="shared" si="9"/>
        <v>20</v>
      </c>
      <c r="P606" t="str" cm="1">
        <f t="array" ref="P606">_xlfn.SWITCH(rounded[[#This Row],[depression_label]], 0, "Not Depressed", 1, "Depressed")</f>
        <v>Not Depressed</v>
      </c>
      <c r="Q606" s="45" t="str" cm="1">
        <f t="array" ref="Q606">_xlfn.SWITCH(rounded[[#This Row],[gender]], "male", "Male", "female", "Female")</f>
        <v>Female</v>
      </c>
    </row>
    <row r="607" spans="1:17" x14ac:dyDescent="0.35">
      <c r="A607">
        <v>16</v>
      </c>
      <c r="B607" t="s">
        <v>16</v>
      </c>
      <c r="C607" s="4">
        <v>5.2</v>
      </c>
      <c r="D607" t="s">
        <v>17</v>
      </c>
      <c r="E607" s="4">
        <v>8.1</v>
      </c>
      <c r="F607" s="4">
        <v>2.1</v>
      </c>
      <c r="G607">
        <v>2.67</v>
      </c>
      <c r="H607">
        <v>1.7</v>
      </c>
      <c r="I607" t="s">
        <v>19</v>
      </c>
      <c r="J607">
        <v>9</v>
      </c>
      <c r="K607">
        <v>10</v>
      </c>
      <c r="L607">
        <v>10</v>
      </c>
      <c r="M607">
        <v>0</v>
      </c>
      <c r="N607">
        <f>_xlfn.IFS(rounded[[#This Row],[social_interaction_level]] = "low", 1,rounded[[#This Row],[social_interaction_level]] = "medium", 2,rounded[[#This Row],[social_interaction_level]] = "high", 3)</f>
        <v>2</v>
      </c>
      <c r="O607">
        <f t="shared" si="9"/>
        <v>29</v>
      </c>
      <c r="P607" t="str" cm="1">
        <f t="array" ref="P607">_xlfn.SWITCH(rounded[[#This Row],[depression_label]], 0, "Not Depressed", 1, "Depressed")</f>
        <v>Not Depressed</v>
      </c>
      <c r="Q607" s="45" t="str" cm="1">
        <f t="array" ref="Q607">_xlfn.SWITCH(rounded[[#This Row],[gender]], "male", "Male", "female", "Female")</f>
        <v>Female</v>
      </c>
    </row>
    <row r="608" spans="1:17" x14ac:dyDescent="0.35">
      <c r="A608">
        <v>17</v>
      </c>
      <c r="B608" t="s">
        <v>13</v>
      </c>
      <c r="C608" s="4">
        <v>4.5</v>
      </c>
      <c r="D608" t="s">
        <v>20</v>
      </c>
      <c r="E608" s="4">
        <v>4.9000000000000004</v>
      </c>
      <c r="F608" s="4">
        <v>0.5</v>
      </c>
      <c r="G608">
        <v>3.44</v>
      </c>
      <c r="H608">
        <v>1.2</v>
      </c>
      <c r="I608" t="s">
        <v>19</v>
      </c>
      <c r="J608">
        <v>5</v>
      </c>
      <c r="K608">
        <v>3</v>
      </c>
      <c r="L608">
        <v>1</v>
      </c>
      <c r="M608">
        <v>0</v>
      </c>
      <c r="N608">
        <f>_xlfn.IFS(rounded[[#This Row],[social_interaction_level]] = "low", 1,rounded[[#This Row],[social_interaction_level]] = "medium", 2,rounded[[#This Row],[social_interaction_level]] = "high", 3)</f>
        <v>2</v>
      </c>
      <c r="O608">
        <f t="shared" si="9"/>
        <v>9</v>
      </c>
      <c r="P608" t="str" cm="1">
        <f t="array" ref="P608">_xlfn.SWITCH(rounded[[#This Row],[depression_label]], 0, "Not Depressed", 1, "Depressed")</f>
        <v>Not Depressed</v>
      </c>
      <c r="Q608" s="45" t="str" cm="1">
        <f t="array" ref="Q608">_xlfn.SWITCH(rounded[[#This Row],[gender]], "male", "Male", "female", "Female")</f>
        <v>Male</v>
      </c>
    </row>
    <row r="609" spans="1:17" x14ac:dyDescent="0.35">
      <c r="A609">
        <v>14</v>
      </c>
      <c r="B609" t="s">
        <v>13</v>
      </c>
      <c r="C609" s="4">
        <v>3.6</v>
      </c>
      <c r="D609" t="s">
        <v>17</v>
      </c>
      <c r="E609" s="4">
        <v>4</v>
      </c>
      <c r="F609" s="4">
        <v>1.4</v>
      </c>
      <c r="G609">
        <v>3.83</v>
      </c>
      <c r="H609">
        <v>0.5</v>
      </c>
      <c r="I609" t="s">
        <v>19</v>
      </c>
      <c r="J609">
        <v>1</v>
      </c>
      <c r="K609">
        <v>5</v>
      </c>
      <c r="L609">
        <v>2</v>
      </c>
      <c r="M609">
        <v>0</v>
      </c>
      <c r="N609">
        <f>_xlfn.IFS(rounded[[#This Row],[social_interaction_level]] = "low", 1,rounded[[#This Row],[social_interaction_level]] = "medium", 2,rounded[[#This Row],[social_interaction_level]] = "high", 3)</f>
        <v>2</v>
      </c>
      <c r="O609">
        <f t="shared" si="9"/>
        <v>8</v>
      </c>
      <c r="P609" t="str" cm="1">
        <f t="array" ref="P609">_xlfn.SWITCH(rounded[[#This Row],[depression_label]], 0, "Not Depressed", 1, "Depressed")</f>
        <v>Not Depressed</v>
      </c>
      <c r="Q609" s="45" t="str" cm="1">
        <f t="array" ref="Q609">_xlfn.SWITCH(rounded[[#This Row],[gender]], "male", "Male", "female", "Female")</f>
        <v>Male</v>
      </c>
    </row>
    <row r="610" spans="1:17" x14ac:dyDescent="0.35">
      <c r="A610">
        <v>19</v>
      </c>
      <c r="B610" t="s">
        <v>13</v>
      </c>
      <c r="C610" s="4">
        <v>7.2</v>
      </c>
      <c r="D610" t="s">
        <v>14</v>
      </c>
      <c r="E610" s="4">
        <v>5</v>
      </c>
      <c r="F610" s="4">
        <v>2.2000000000000002</v>
      </c>
      <c r="G610">
        <v>2.5</v>
      </c>
      <c r="H610">
        <v>0.7</v>
      </c>
      <c r="I610" t="s">
        <v>18</v>
      </c>
      <c r="J610">
        <v>6</v>
      </c>
      <c r="K610">
        <v>9</v>
      </c>
      <c r="L610">
        <v>2</v>
      </c>
      <c r="M610">
        <v>0</v>
      </c>
      <c r="N610">
        <f>_xlfn.IFS(rounded[[#This Row],[social_interaction_level]] = "low", 1,rounded[[#This Row],[social_interaction_level]] = "medium", 2,rounded[[#This Row],[social_interaction_level]] = "high", 3)</f>
        <v>3</v>
      </c>
      <c r="O610">
        <f t="shared" si="9"/>
        <v>17</v>
      </c>
      <c r="P610" t="str" cm="1">
        <f t="array" ref="P610">_xlfn.SWITCH(rounded[[#This Row],[depression_label]], 0, "Not Depressed", 1, "Depressed")</f>
        <v>Not Depressed</v>
      </c>
      <c r="Q610" s="45" t="str" cm="1">
        <f t="array" ref="Q610">_xlfn.SWITCH(rounded[[#This Row],[gender]], "male", "Male", "female", "Female")</f>
        <v>Male</v>
      </c>
    </row>
    <row r="611" spans="1:17" x14ac:dyDescent="0.35">
      <c r="A611">
        <v>17</v>
      </c>
      <c r="B611" t="s">
        <v>13</v>
      </c>
      <c r="C611" s="4">
        <v>6.4</v>
      </c>
      <c r="D611" t="s">
        <v>17</v>
      </c>
      <c r="E611" s="4">
        <v>8.6</v>
      </c>
      <c r="F611" s="4">
        <v>2.2999999999999998</v>
      </c>
      <c r="G611">
        <v>2.57</v>
      </c>
      <c r="H611">
        <v>1.3</v>
      </c>
      <c r="I611" t="s">
        <v>15</v>
      </c>
      <c r="J611">
        <v>9</v>
      </c>
      <c r="K611">
        <v>10</v>
      </c>
      <c r="L611">
        <v>5</v>
      </c>
      <c r="M611">
        <v>0</v>
      </c>
      <c r="N611">
        <f>_xlfn.IFS(rounded[[#This Row],[social_interaction_level]] = "low", 1,rounded[[#This Row],[social_interaction_level]] = "medium", 2,rounded[[#This Row],[social_interaction_level]] = "high", 3)</f>
        <v>1</v>
      </c>
      <c r="O611">
        <f t="shared" si="9"/>
        <v>24</v>
      </c>
      <c r="P611" t="str" cm="1">
        <f t="array" ref="P611">_xlfn.SWITCH(rounded[[#This Row],[depression_label]], 0, "Not Depressed", 1, "Depressed")</f>
        <v>Not Depressed</v>
      </c>
      <c r="Q611" s="45" t="str" cm="1">
        <f t="array" ref="Q611">_xlfn.SWITCH(rounded[[#This Row],[gender]], "male", "Male", "female", "Female")</f>
        <v>Male</v>
      </c>
    </row>
    <row r="612" spans="1:17" x14ac:dyDescent="0.35">
      <c r="A612">
        <v>15</v>
      </c>
      <c r="B612" t="s">
        <v>13</v>
      </c>
      <c r="C612" s="4">
        <v>7.1</v>
      </c>
      <c r="D612" t="s">
        <v>20</v>
      </c>
      <c r="E612" s="4">
        <v>6.5</v>
      </c>
      <c r="F612" s="4">
        <v>0.7</v>
      </c>
      <c r="G612">
        <v>3.94</v>
      </c>
      <c r="H612">
        <v>0.2</v>
      </c>
      <c r="I612" t="s">
        <v>19</v>
      </c>
      <c r="J612">
        <v>4</v>
      </c>
      <c r="K612">
        <v>7</v>
      </c>
      <c r="L612">
        <v>1</v>
      </c>
      <c r="M612">
        <v>0</v>
      </c>
      <c r="N612">
        <f>_xlfn.IFS(rounded[[#This Row],[social_interaction_level]] = "low", 1,rounded[[#This Row],[social_interaction_level]] = "medium", 2,rounded[[#This Row],[social_interaction_level]] = "high", 3)</f>
        <v>2</v>
      </c>
      <c r="O612">
        <f t="shared" si="9"/>
        <v>12</v>
      </c>
      <c r="P612" t="str" cm="1">
        <f t="array" ref="P612">_xlfn.SWITCH(rounded[[#This Row],[depression_label]], 0, "Not Depressed", 1, "Depressed")</f>
        <v>Not Depressed</v>
      </c>
      <c r="Q612" s="45" t="str" cm="1">
        <f t="array" ref="Q612">_xlfn.SWITCH(rounded[[#This Row],[gender]], "male", "Male", "female", "Female")</f>
        <v>Male</v>
      </c>
    </row>
    <row r="613" spans="1:17" x14ac:dyDescent="0.35">
      <c r="A613">
        <v>18</v>
      </c>
      <c r="B613" t="s">
        <v>13</v>
      </c>
      <c r="C613" s="4">
        <v>1.2</v>
      </c>
      <c r="D613" t="s">
        <v>20</v>
      </c>
      <c r="E613" s="4">
        <v>4.0999999999999996</v>
      </c>
      <c r="F613" s="4">
        <v>1.1000000000000001</v>
      </c>
      <c r="G613">
        <v>3.04</v>
      </c>
      <c r="H613">
        <v>1.6</v>
      </c>
      <c r="I613" t="s">
        <v>15</v>
      </c>
      <c r="J613">
        <v>1</v>
      </c>
      <c r="K613">
        <v>3</v>
      </c>
      <c r="L613">
        <v>6</v>
      </c>
      <c r="M613">
        <v>0</v>
      </c>
      <c r="N613">
        <f>_xlfn.IFS(rounded[[#This Row],[social_interaction_level]] = "low", 1,rounded[[#This Row],[social_interaction_level]] = "medium", 2,rounded[[#This Row],[social_interaction_level]] = "high", 3)</f>
        <v>1</v>
      </c>
      <c r="O613">
        <f t="shared" si="9"/>
        <v>10</v>
      </c>
      <c r="P613" t="str" cm="1">
        <f t="array" ref="P613">_xlfn.SWITCH(rounded[[#This Row],[depression_label]], 0, "Not Depressed", 1, "Depressed")</f>
        <v>Not Depressed</v>
      </c>
      <c r="Q613" s="45" t="str" cm="1">
        <f t="array" ref="Q613">_xlfn.SWITCH(rounded[[#This Row],[gender]], "male", "Male", "female", "Female")</f>
        <v>Male</v>
      </c>
    </row>
    <row r="614" spans="1:17" x14ac:dyDescent="0.35">
      <c r="A614">
        <v>19</v>
      </c>
      <c r="B614" t="s">
        <v>13</v>
      </c>
      <c r="C614" s="4">
        <v>6.6</v>
      </c>
      <c r="D614" t="s">
        <v>17</v>
      </c>
      <c r="E614" s="4">
        <v>8.8000000000000007</v>
      </c>
      <c r="F614" s="4">
        <v>0.9</v>
      </c>
      <c r="G614">
        <v>3.84</v>
      </c>
      <c r="H614">
        <v>0.3</v>
      </c>
      <c r="I614" t="s">
        <v>18</v>
      </c>
      <c r="J614">
        <v>10</v>
      </c>
      <c r="K614">
        <v>10</v>
      </c>
      <c r="L614">
        <v>6</v>
      </c>
      <c r="M614">
        <v>0</v>
      </c>
      <c r="N614">
        <f>_xlfn.IFS(rounded[[#This Row],[social_interaction_level]] = "low", 1,rounded[[#This Row],[social_interaction_level]] = "medium", 2,rounded[[#This Row],[social_interaction_level]] = "high", 3)</f>
        <v>3</v>
      </c>
      <c r="O614">
        <f t="shared" si="9"/>
        <v>26</v>
      </c>
      <c r="P614" t="str" cm="1">
        <f t="array" ref="P614">_xlfn.SWITCH(rounded[[#This Row],[depression_label]], 0, "Not Depressed", 1, "Depressed")</f>
        <v>Not Depressed</v>
      </c>
      <c r="Q614" s="45" t="str" cm="1">
        <f t="array" ref="Q614">_xlfn.SWITCH(rounded[[#This Row],[gender]], "male", "Male", "female", "Female")</f>
        <v>Male</v>
      </c>
    </row>
    <row r="615" spans="1:17" x14ac:dyDescent="0.35">
      <c r="A615">
        <v>19</v>
      </c>
      <c r="B615" t="s">
        <v>16</v>
      </c>
      <c r="C615" s="4">
        <v>6.5</v>
      </c>
      <c r="D615" t="s">
        <v>17</v>
      </c>
      <c r="E615" s="4">
        <v>6.4</v>
      </c>
      <c r="F615" s="4">
        <v>1.1000000000000001</v>
      </c>
      <c r="G615">
        <v>3.71</v>
      </c>
      <c r="H615">
        <v>1.2</v>
      </c>
      <c r="I615" t="s">
        <v>15</v>
      </c>
      <c r="J615">
        <v>8</v>
      </c>
      <c r="K615">
        <v>9</v>
      </c>
      <c r="L615">
        <v>8</v>
      </c>
      <c r="M615">
        <v>0</v>
      </c>
      <c r="N615">
        <f>_xlfn.IFS(rounded[[#This Row],[social_interaction_level]] = "low", 1,rounded[[#This Row],[social_interaction_level]] = "medium", 2,rounded[[#This Row],[social_interaction_level]] = "high", 3)</f>
        <v>1</v>
      </c>
      <c r="O615">
        <f t="shared" si="9"/>
        <v>25</v>
      </c>
      <c r="P615" t="str" cm="1">
        <f t="array" ref="P615">_xlfn.SWITCH(rounded[[#This Row],[depression_label]], 0, "Not Depressed", 1, "Depressed")</f>
        <v>Not Depressed</v>
      </c>
      <c r="Q615" s="45" t="str" cm="1">
        <f t="array" ref="Q615">_xlfn.SWITCH(rounded[[#This Row],[gender]], "male", "Male", "female", "Female")</f>
        <v>Female</v>
      </c>
    </row>
    <row r="616" spans="1:17" x14ac:dyDescent="0.35">
      <c r="A616">
        <v>16</v>
      </c>
      <c r="B616" t="s">
        <v>13</v>
      </c>
      <c r="C616" s="4">
        <v>2</v>
      </c>
      <c r="D616" t="s">
        <v>17</v>
      </c>
      <c r="E616" s="4">
        <v>4.4000000000000004</v>
      </c>
      <c r="F616" s="4">
        <v>0.7</v>
      </c>
      <c r="G616">
        <v>2.68</v>
      </c>
      <c r="H616">
        <v>0.8</v>
      </c>
      <c r="I616" t="s">
        <v>19</v>
      </c>
      <c r="J616">
        <v>1</v>
      </c>
      <c r="K616">
        <v>4</v>
      </c>
      <c r="L616">
        <v>10</v>
      </c>
      <c r="M616">
        <v>0</v>
      </c>
      <c r="N616">
        <f>_xlfn.IFS(rounded[[#This Row],[social_interaction_level]] = "low", 1,rounded[[#This Row],[social_interaction_level]] = "medium", 2,rounded[[#This Row],[social_interaction_level]] = "high", 3)</f>
        <v>2</v>
      </c>
      <c r="O616">
        <f t="shared" si="9"/>
        <v>15</v>
      </c>
      <c r="P616" t="str" cm="1">
        <f t="array" ref="P616">_xlfn.SWITCH(rounded[[#This Row],[depression_label]], 0, "Not Depressed", 1, "Depressed")</f>
        <v>Not Depressed</v>
      </c>
      <c r="Q616" s="45" t="str" cm="1">
        <f t="array" ref="Q616">_xlfn.SWITCH(rounded[[#This Row],[gender]], "male", "Male", "female", "Female")</f>
        <v>Male</v>
      </c>
    </row>
    <row r="617" spans="1:17" x14ac:dyDescent="0.35">
      <c r="A617">
        <v>13</v>
      </c>
      <c r="B617" t="s">
        <v>13</v>
      </c>
      <c r="C617" s="4">
        <v>2.5</v>
      </c>
      <c r="D617" t="s">
        <v>14</v>
      </c>
      <c r="E617" s="4">
        <v>5.3</v>
      </c>
      <c r="F617" s="4">
        <v>0.8</v>
      </c>
      <c r="G617">
        <v>3.12</v>
      </c>
      <c r="H617">
        <v>0.4</v>
      </c>
      <c r="I617" t="s">
        <v>18</v>
      </c>
      <c r="J617">
        <v>3</v>
      </c>
      <c r="K617">
        <v>5</v>
      </c>
      <c r="L617">
        <v>3</v>
      </c>
      <c r="M617">
        <v>0</v>
      </c>
      <c r="N617">
        <f>_xlfn.IFS(rounded[[#This Row],[social_interaction_level]] = "low", 1,rounded[[#This Row],[social_interaction_level]] = "medium", 2,rounded[[#This Row],[social_interaction_level]] = "high", 3)</f>
        <v>3</v>
      </c>
      <c r="O617">
        <f t="shared" si="9"/>
        <v>11</v>
      </c>
      <c r="P617" t="str" cm="1">
        <f t="array" ref="P617">_xlfn.SWITCH(rounded[[#This Row],[depression_label]], 0, "Not Depressed", 1, "Depressed")</f>
        <v>Not Depressed</v>
      </c>
      <c r="Q617" s="45" t="str" cm="1">
        <f t="array" ref="Q617">_xlfn.SWITCH(rounded[[#This Row],[gender]], "male", "Male", "female", "Female")</f>
        <v>Male</v>
      </c>
    </row>
    <row r="618" spans="1:17" x14ac:dyDescent="0.35">
      <c r="A618">
        <v>19</v>
      </c>
      <c r="B618" t="s">
        <v>13</v>
      </c>
      <c r="C618" s="4">
        <v>2.1</v>
      </c>
      <c r="D618" t="s">
        <v>14</v>
      </c>
      <c r="E618" s="4">
        <v>8.8000000000000007</v>
      </c>
      <c r="F618" s="4">
        <v>2.2999999999999998</v>
      </c>
      <c r="G618">
        <v>2.2200000000000002</v>
      </c>
      <c r="H618">
        <v>1.2</v>
      </c>
      <c r="I618" t="s">
        <v>18</v>
      </c>
      <c r="J618">
        <v>5</v>
      </c>
      <c r="K618">
        <v>5</v>
      </c>
      <c r="L618">
        <v>3</v>
      </c>
      <c r="M618">
        <v>0</v>
      </c>
      <c r="N618">
        <f>_xlfn.IFS(rounded[[#This Row],[social_interaction_level]] = "low", 1,rounded[[#This Row],[social_interaction_level]] = "medium", 2,rounded[[#This Row],[social_interaction_level]] = "high", 3)</f>
        <v>3</v>
      </c>
      <c r="O618">
        <f t="shared" si="9"/>
        <v>13</v>
      </c>
      <c r="P618" t="str" cm="1">
        <f t="array" ref="P618">_xlfn.SWITCH(rounded[[#This Row],[depression_label]], 0, "Not Depressed", 1, "Depressed")</f>
        <v>Not Depressed</v>
      </c>
      <c r="Q618" s="45" t="str" cm="1">
        <f t="array" ref="Q618">_xlfn.SWITCH(rounded[[#This Row],[gender]], "male", "Male", "female", "Female")</f>
        <v>Male</v>
      </c>
    </row>
    <row r="619" spans="1:17" x14ac:dyDescent="0.35">
      <c r="A619">
        <v>16</v>
      </c>
      <c r="B619" t="s">
        <v>16</v>
      </c>
      <c r="C619" s="4">
        <v>7.1</v>
      </c>
      <c r="D619" t="s">
        <v>17</v>
      </c>
      <c r="E619" s="4">
        <v>8.8000000000000007</v>
      </c>
      <c r="F619" s="4">
        <v>1.8</v>
      </c>
      <c r="G619">
        <v>3.99</v>
      </c>
      <c r="H619">
        <v>0.8</v>
      </c>
      <c r="I619" t="s">
        <v>15</v>
      </c>
      <c r="J619">
        <v>6</v>
      </c>
      <c r="K619">
        <v>10</v>
      </c>
      <c r="L619">
        <v>8</v>
      </c>
      <c r="M619">
        <v>0</v>
      </c>
      <c r="N619">
        <f>_xlfn.IFS(rounded[[#This Row],[social_interaction_level]] = "low", 1,rounded[[#This Row],[social_interaction_level]] = "medium", 2,rounded[[#This Row],[social_interaction_level]] = "high", 3)</f>
        <v>1</v>
      </c>
      <c r="O619">
        <f t="shared" si="9"/>
        <v>24</v>
      </c>
      <c r="P619" t="str" cm="1">
        <f t="array" ref="P619">_xlfn.SWITCH(rounded[[#This Row],[depression_label]], 0, "Not Depressed", 1, "Depressed")</f>
        <v>Not Depressed</v>
      </c>
      <c r="Q619" s="45" t="str" cm="1">
        <f t="array" ref="Q619">_xlfn.SWITCH(rounded[[#This Row],[gender]], "male", "Male", "female", "Female")</f>
        <v>Female</v>
      </c>
    </row>
    <row r="620" spans="1:17" x14ac:dyDescent="0.35">
      <c r="A620">
        <v>19</v>
      </c>
      <c r="B620" t="s">
        <v>16</v>
      </c>
      <c r="C620" s="4">
        <v>6.8</v>
      </c>
      <c r="D620" t="s">
        <v>20</v>
      </c>
      <c r="E620" s="4">
        <v>4.4000000000000004</v>
      </c>
      <c r="F620" s="4">
        <v>2.1</v>
      </c>
      <c r="G620">
        <v>3.69</v>
      </c>
      <c r="H620">
        <v>0.4</v>
      </c>
      <c r="I620" t="s">
        <v>18</v>
      </c>
      <c r="J620">
        <v>3</v>
      </c>
      <c r="K620">
        <v>2</v>
      </c>
      <c r="L620">
        <v>8</v>
      </c>
      <c r="M620">
        <v>0</v>
      </c>
      <c r="N620">
        <f>_xlfn.IFS(rounded[[#This Row],[social_interaction_level]] = "low", 1,rounded[[#This Row],[social_interaction_level]] = "medium", 2,rounded[[#This Row],[social_interaction_level]] = "high", 3)</f>
        <v>3</v>
      </c>
      <c r="O620">
        <f t="shared" si="9"/>
        <v>13</v>
      </c>
      <c r="P620" t="str" cm="1">
        <f t="array" ref="P620">_xlfn.SWITCH(rounded[[#This Row],[depression_label]], 0, "Not Depressed", 1, "Depressed")</f>
        <v>Not Depressed</v>
      </c>
      <c r="Q620" s="45" t="str" cm="1">
        <f t="array" ref="Q620">_xlfn.SWITCH(rounded[[#This Row],[gender]], "male", "Male", "female", "Female")</f>
        <v>Female</v>
      </c>
    </row>
    <row r="621" spans="1:17" x14ac:dyDescent="0.35">
      <c r="A621">
        <v>13</v>
      </c>
      <c r="B621" t="s">
        <v>13</v>
      </c>
      <c r="C621" s="4">
        <v>5.2</v>
      </c>
      <c r="D621" t="s">
        <v>20</v>
      </c>
      <c r="E621" s="4">
        <v>5.4</v>
      </c>
      <c r="F621" s="4">
        <v>0.8</v>
      </c>
      <c r="G621">
        <v>2.39</v>
      </c>
      <c r="H621">
        <v>2</v>
      </c>
      <c r="I621" t="s">
        <v>15</v>
      </c>
      <c r="J621">
        <v>8</v>
      </c>
      <c r="K621">
        <v>3</v>
      </c>
      <c r="L621">
        <v>10</v>
      </c>
      <c r="M621">
        <v>0</v>
      </c>
      <c r="N621">
        <f>_xlfn.IFS(rounded[[#This Row],[social_interaction_level]] = "low", 1,rounded[[#This Row],[social_interaction_level]] = "medium", 2,rounded[[#This Row],[social_interaction_level]] = "high", 3)</f>
        <v>1</v>
      </c>
      <c r="O621">
        <f t="shared" si="9"/>
        <v>21</v>
      </c>
      <c r="P621" t="str" cm="1">
        <f t="array" ref="P621">_xlfn.SWITCH(rounded[[#This Row],[depression_label]], 0, "Not Depressed", 1, "Depressed")</f>
        <v>Not Depressed</v>
      </c>
      <c r="Q621" s="45" t="str" cm="1">
        <f t="array" ref="Q621">_xlfn.SWITCH(rounded[[#This Row],[gender]], "male", "Male", "female", "Female")</f>
        <v>Male</v>
      </c>
    </row>
    <row r="622" spans="1:17" x14ac:dyDescent="0.35">
      <c r="A622">
        <v>19</v>
      </c>
      <c r="B622" t="s">
        <v>13</v>
      </c>
      <c r="C622" s="4">
        <v>7</v>
      </c>
      <c r="D622" t="s">
        <v>17</v>
      </c>
      <c r="E622" s="4">
        <v>4.5</v>
      </c>
      <c r="F622" s="4">
        <v>2.2999999999999998</v>
      </c>
      <c r="G622">
        <v>3.26</v>
      </c>
      <c r="H622">
        <v>1.7</v>
      </c>
      <c r="I622" t="s">
        <v>18</v>
      </c>
      <c r="J622">
        <v>9</v>
      </c>
      <c r="K622">
        <v>10</v>
      </c>
      <c r="L622">
        <v>3</v>
      </c>
      <c r="M622">
        <v>1</v>
      </c>
      <c r="N622">
        <f>_xlfn.IFS(rounded[[#This Row],[social_interaction_level]] = "low", 1,rounded[[#This Row],[social_interaction_level]] = "medium", 2,rounded[[#This Row],[social_interaction_level]] = "high", 3)</f>
        <v>3</v>
      </c>
      <c r="O622">
        <f t="shared" si="9"/>
        <v>22</v>
      </c>
      <c r="P622" t="str" cm="1">
        <f t="array" ref="P622">_xlfn.SWITCH(rounded[[#This Row],[depression_label]], 0, "Not Depressed", 1, "Depressed")</f>
        <v>Depressed</v>
      </c>
      <c r="Q622" s="45" t="str" cm="1">
        <f t="array" ref="Q622">_xlfn.SWITCH(rounded[[#This Row],[gender]], "male", "Male", "female", "Female")</f>
        <v>Male</v>
      </c>
    </row>
    <row r="623" spans="1:17" x14ac:dyDescent="0.35">
      <c r="A623">
        <v>19</v>
      </c>
      <c r="B623" t="s">
        <v>13</v>
      </c>
      <c r="C623" s="4">
        <v>6.8</v>
      </c>
      <c r="D623" t="s">
        <v>17</v>
      </c>
      <c r="E623" s="4">
        <v>8.4</v>
      </c>
      <c r="F623" s="4">
        <v>2</v>
      </c>
      <c r="G623">
        <v>2.6</v>
      </c>
      <c r="H623">
        <v>1.5</v>
      </c>
      <c r="I623" t="s">
        <v>15</v>
      </c>
      <c r="J623">
        <v>7</v>
      </c>
      <c r="K623">
        <v>2</v>
      </c>
      <c r="L623">
        <v>2</v>
      </c>
      <c r="M623">
        <v>0</v>
      </c>
      <c r="N623">
        <f>_xlfn.IFS(rounded[[#This Row],[social_interaction_level]] = "low", 1,rounded[[#This Row],[social_interaction_level]] = "medium", 2,rounded[[#This Row],[social_interaction_level]] = "high", 3)</f>
        <v>1</v>
      </c>
      <c r="O623">
        <f t="shared" si="9"/>
        <v>11</v>
      </c>
      <c r="P623" t="str" cm="1">
        <f t="array" ref="P623">_xlfn.SWITCH(rounded[[#This Row],[depression_label]], 0, "Not Depressed", 1, "Depressed")</f>
        <v>Not Depressed</v>
      </c>
      <c r="Q623" s="45" t="str" cm="1">
        <f t="array" ref="Q623">_xlfn.SWITCH(rounded[[#This Row],[gender]], "male", "Male", "female", "Female")</f>
        <v>Male</v>
      </c>
    </row>
    <row r="624" spans="1:17" x14ac:dyDescent="0.35">
      <c r="A624">
        <v>16</v>
      </c>
      <c r="B624" t="s">
        <v>16</v>
      </c>
      <c r="C624" s="4">
        <v>3.8</v>
      </c>
      <c r="D624" t="s">
        <v>17</v>
      </c>
      <c r="E624" s="4">
        <v>5.3</v>
      </c>
      <c r="F624" s="4">
        <v>1.5</v>
      </c>
      <c r="G624">
        <v>2.04</v>
      </c>
      <c r="H624">
        <v>1.5</v>
      </c>
      <c r="I624" t="s">
        <v>18</v>
      </c>
      <c r="J624">
        <v>5</v>
      </c>
      <c r="K624">
        <v>10</v>
      </c>
      <c r="L624">
        <v>5</v>
      </c>
      <c r="M624">
        <v>0</v>
      </c>
      <c r="N624">
        <f>_xlfn.IFS(rounded[[#This Row],[social_interaction_level]] = "low", 1,rounded[[#This Row],[social_interaction_level]] = "medium", 2,rounded[[#This Row],[social_interaction_level]] = "high", 3)</f>
        <v>3</v>
      </c>
      <c r="O624">
        <f t="shared" si="9"/>
        <v>20</v>
      </c>
      <c r="P624" t="str" cm="1">
        <f t="array" ref="P624">_xlfn.SWITCH(rounded[[#This Row],[depression_label]], 0, "Not Depressed", 1, "Depressed")</f>
        <v>Not Depressed</v>
      </c>
      <c r="Q624" s="45" t="str" cm="1">
        <f t="array" ref="Q624">_xlfn.SWITCH(rounded[[#This Row],[gender]], "male", "Male", "female", "Female")</f>
        <v>Female</v>
      </c>
    </row>
    <row r="625" spans="1:17" x14ac:dyDescent="0.35">
      <c r="A625">
        <v>14</v>
      </c>
      <c r="B625" t="s">
        <v>13</v>
      </c>
      <c r="C625" s="4">
        <v>2.9</v>
      </c>
      <c r="D625" t="s">
        <v>14</v>
      </c>
      <c r="E625" s="4">
        <v>7.2</v>
      </c>
      <c r="F625" s="4">
        <v>2</v>
      </c>
      <c r="G625">
        <v>3.96</v>
      </c>
      <c r="H625">
        <v>1.5</v>
      </c>
      <c r="I625" t="s">
        <v>19</v>
      </c>
      <c r="J625">
        <v>9</v>
      </c>
      <c r="K625">
        <v>10</v>
      </c>
      <c r="L625">
        <v>4</v>
      </c>
      <c r="M625">
        <v>0</v>
      </c>
      <c r="N625">
        <f>_xlfn.IFS(rounded[[#This Row],[social_interaction_level]] = "low", 1,rounded[[#This Row],[social_interaction_level]] = "medium", 2,rounded[[#This Row],[social_interaction_level]] = "high", 3)</f>
        <v>2</v>
      </c>
      <c r="O625">
        <f t="shared" si="9"/>
        <v>23</v>
      </c>
      <c r="P625" t="str" cm="1">
        <f t="array" ref="P625">_xlfn.SWITCH(rounded[[#This Row],[depression_label]], 0, "Not Depressed", 1, "Depressed")</f>
        <v>Not Depressed</v>
      </c>
      <c r="Q625" s="45" t="str" cm="1">
        <f t="array" ref="Q625">_xlfn.SWITCH(rounded[[#This Row],[gender]], "male", "Male", "female", "Female")</f>
        <v>Male</v>
      </c>
    </row>
    <row r="626" spans="1:17" x14ac:dyDescent="0.35">
      <c r="A626">
        <v>16</v>
      </c>
      <c r="B626" t="s">
        <v>13</v>
      </c>
      <c r="C626" s="4">
        <v>3.6</v>
      </c>
      <c r="D626" t="s">
        <v>14</v>
      </c>
      <c r="E626" s="4">
        <v>6.6</v>
      </c>
      <c r="F626" s="4">
        <v>0.7</v>
      </c>
      <c r="G626">
        <v>2.25</v>
      </c>
      <c r="H626">
        <v>1.9</v>
      </c>
      <c r="I626" t="s">
        <v>15</v>
      </c>
      <c r="J626">
        <v>4</v>
      </c>
      <c r="K626">
        <v>1</v>
      </c>
      <c r="L626">
        <v>8</v>
      </c>
      <c r="M626">
        <v>0</v>
      </c>
      <c r="N626">
        <f>_xlfn.IFS(rounded[[#This Row],[social_interaction_level]] = "low", 1,rounded[[#This Row],[social_interaction_level]] = "medium", 2,rounded[[#This Row],[social_interaction_level]] = "high", 3)</f>
        <v>1</v>
      </c>
      <c r="O626">
        <f t="shared" si="9"/>
        <v>13</v>
      </c>
      <c r="P626" t="str" cm="1">
        <f t="array" ref="P626">_xlfn.SWITCH(rounded[[#This Row],[depression_label]], 0, "Not Depressed", 1, "Depressed")</f>
        <v>Not Depressed</v>
      </c>
      <c r="Q626" s="45" t="str" cm="1">
        <f t="array" ref="Q626">_xlfn.SWITCH(rounded[[#This Row],[gender]], "male", "Male", "female", "Female")</f>
        <v>Male</v>
      </c>
    </row>
    <row r="627" spans="1:17" x14ac:dyDescent="0.35">
      <c r="A627">
        <v>13</v>
      </c>
      <c r="B627" t="s">
        <v>13</v>
      </c>
      <c r="C627" s="4">
        <v>4</v>
      </c>
      <c r="D627" t="s">
        <v>20</v>
      </c>
      <c r="E627" s="4">
        <v>8.3000000000000007</v>
      </c>
      <c r="F627" s="4">
        <v>0.6</v>
      </c>
      <c r="G627">
        <v>3.71</v>
      </c>
      <c r="H627">
        <v>0.1</v>
      </c>
      <c r="I627" t="s">
        <v>15</v>
      </c>
      <c r="J627">
        <v>2</v>
      </c>
      <c r="K627">
        <v>6</v>
      </c>
      <c r="L627">
        <v>1</v>
      </c>
      <c r="M627">
        <v>0</v>
      </c>
      <c r="N627">
        <f>_xlfn.IFS(rounded[[#This Row],[social_interaction_level]] = "low", 1,rounded[[#This Row],[social_interaction_level]] = "medium", 2,rounded[[#This Row],[social_interaction_level]] = "high", 3)</f>
        <v>1</v>
      </c>
      <c r="O627">
        <f t="shared" si="9"/>
        <v>9</v>
      </c>
      <c r="P627" t="str" cm="1">
        <f t="array" ref="P627">_xlfn.SWITCH(rounded[[#This Row],[depression_label]], 0, "Not Depressed", 1, "Depressed")</f>
        <v>Not Depressed</v>
      </c>
      <c r="Q627" s="45" t="str" cm="1">
        <f t="array" ref="Q627">_xlfn.SWITCH(rounded[[#This Row],[gender]], "male", "Male", "female", "Female")</f>
        <v>Male</v>
      </c>
    </row>
    <row r="628" spans="1:17" x14ac:dyDescent="0.35">
      <c r="A628">
        <v>17</v>
      </c>
      <c r="B628" t="s">
        <v>16</v>
      </c>
      <c r="C628" s="4">
        <v>7.5</v>
      </c>
      <c r="D628" t="s">
        <v>20</v>
      </c>
      <c r="E628" s="4">
        <v>4.7</v>
      </c>
      <c r="F628" s="4">
        <v>2.1</v>
      </c>
      <c r="G628">
        <v>2.5499999999999998</v>
      </c>
      <c r="H628">
        <v>0.1</v>
      </c>
      <c r="I628" t="s">
        <v>18</v>
      </c>
      <c r="J628">
        <v>3</v>
      </c>
      <c r="K628">
        <v>9</v>
      </c>
      <c r="L628">
        <v>1</v>
      </c>
      <c r="M628">
        <v>0</v>
      </c>
      <c r="N628">
        <f>_xlfn.IFS(rounded[[#This Row],[social_interaction_level]] = "low", 1,rounded[[#This Row],[social_interaction_level]] = "medium", 2,rounded[[#This Row],[social_interaction_level]] = "high", 3)</f>
        <v>3</v>
      </c>
      <c r="O628">
        <f t="shared" si="9"/>
        <v>13</v>
      </c>
      <c r="P628" t="str" cm="1">
        <f t="array" ref="P628">_xlfn.SWITCH(rounded[[#This Row],[depression_label]], 0, "Not Depressed", 1, "Depressed")</f>
        <v>Not Depressed</v>
      </c>
      <c r="Q628" s="45" t="str" cm="1">
        <f t="array" ref="Q628">_xlfn.SWITCH(rounded[[#This Row],[gender]], "male", "Male", "female", "Female")</f>
        <v>Female</v>
      </c>
    </row>
    <row r="629" spans="1:17" x14ac:dyDescent="0.35">
      <c r="A629">
        <v>16</v>
      </c>
      <c r="B629" t="s">
        <v>16</v>
      </c>
      <c r="C629" s="4">
        <v>6</v>
      </c>
      <c r="D629" t="s">
        <v>20</v>
      </c>
      <c r="E629" s="4">
        <v>8.6999999999999993</v>
      </c>
      <c r="F629" s="4">
        <v>1.5</v>
      </c>
      <c r="G629">
        <v>3.76</v>
      </c>
      <c r="H629">
        <v>0.1</v>
      </c>
      <c r="I629" t="s">
        <v>19</v>
      </c>
      <c r="J629">
        <v>2</v>
      </c>
      <c r="K629">
        <v>5</v>
      </c>
      <c r="L629">
        <v>4</v>
      </c>
      <c r="M629">
        <v>0</v>
      </c>
      <c r="N629">
        <f>_xlfn.IFS(rounded[[#This Row],[social_interaction_level]] = "low", 1,rounded[[#This Row],[social_interaction_level]] = "medium", 2,rounded[[#This Row],[social_interaction_level]] = "high", 3)</f>
        <v>2</v>
      </c>
      <c r="O629">
        <f t="shared" si="9"/>
        <v>11</v>
      </c>
      <c r="P629" t="str" cm="1">
        <f t="array" ref="P629">_xlfn.SWITCH(rounded[[#This Row],[depression_label]], 0, "Not Depressed", 1, "Depressed")</f>
        <v>Not Depressed</v>
      </c>
      <c r="Q629" s="45" t="str" cm="1">
        <f t="array" ref="Q629">_xlfn.SWITCH(rounded[[#This Row],[gender]], "male", "Male", "female", "Female")</f>
        <v>Female</v>
      </c>
    </row>
    <row r="630" spans="1:17" x14ac:dyDescent="0.35">
      <c r="A630">
        <v>16</v>
      </c>
      <c r="B630" t="s">
        <v>16</v>
      </c>
      <c r="C630" s="4">
        <v>3.6</v>
      </c>
      <c r="D630" t="s">
        <v>14</v>
      </c>
      <c r="E630" s="4">
        <v>6.1</v>
      </c>
      <c r="F630" s="4">
        <v>2.8</v>
      </c>
      <c r="G630">
        <v>3.8</v>
      </c>
      <c r="H630">
        <v>0.1</v>
      </c>
      <c r="I630" t="s">
        <v>18</v>
      </c>
      <c r="J630">
        <v>2</v>
      </c>
      <c r="K630">
        <v>1</v>
      </c>
      <c r="L630">
        <v>7</v>
      </c>
      <c r="M630">
        <v>0</v>
      </c>
      <c r="N630">
        <f>_xlfn.IFS(rounded[[#This Row],[social_interaction_level]] = "low", 1,rounded[[#This Row],[social_interaction_level]] = "medium", 2,rounded[[#This Row],[social_interaction_level]] = "high", 3)</f>
        <v>3</v>
      </c>
      <c r="O630">
        <f t="shared" si="9"/>
        <v>10</v>
      </c>
      <c r="P630" t="str" cm="1">
        <f t="array" ref="P630">_xlfn.SWITCH(rounded[[#This Row],[depression_label]], 0, "Not Depressed", 1, "Depressed")</f>
        <v>Not Depressed</v>
      </c>
      <c r="Q630" s="45" t="str" cm="1">
        <f t="array" ref="Q630">_xlfn.SWITCH(rounded[[#This Row],[gender]], "male", "Male", "female", "Female")</f>
        <v>Female</v>
      </c>
    </row>
    <row r="631" spans="1:17" x14ac:dyDescent="0.35">
      <c r="A631">
        <v>19</v>
      </c>
      <c r="B631" t="s">
        <v>13</v>
      </c>
      <c r="C631" s="4">
        <v>4.7</v>
      </c>
      <c r="D631" t="s">
        <v>20</v>
      </c>
      <c r="E631" s="4">
        <v>8.1999999999999993</v>
      </c>
      <c r="F631" s="4">
        <v>1.2</v>
      </c>
      <c r="G631">
        <v>2.83</v>
      </c>
      <c r="H631">
        <v>1.2</v>
      </c>
      <c r="I631" t="s">
        <v>18</v>
      </c>
      <c r="J631">
        <v>5</v>
      </c>
      <c r="K631">
        <v>9</v>
      </c>
      <c r="L631">
        <v>9</v>
      </c>
      <c r="M631">
        <v>0</v>
      </c>
      <c r="N631">
        <f>_xlfn.IFS(rounded[[#This Row],[social_interaction_level]] = "low", 1,rounded[[#This Row],[social_interaction_level]] = "medium", 2,rounded[[#This Row],[social_interaction_level]] = "high", 3)</f>
        <v>3</v>
      </c>
      <c r="O631">
        <f t="shared" si="9"/>
        <v>23</v>
      </c>
      <c r="P631" t="str" cm="1">
        <f t="array" ref="P631">_xlfn.SWITCH(rounded[[#This Row],[depression_label]], 0, "Not Depressed", 1, "Depressed")</f>
        <v>Not Depressed</v>
      </c>
      <c r="Q631" s="45" t="str" cm="1">
        <f t="array" ref="Q631">_xlfn.SWITCH(rounded[[#This Row],[gender]], "male", "Male", "female", "Female")</f>
        <v>Male</v>
      </c>
    </row>
    <row r="632" spans="1:17" x14ac:dyDescent="0.35">
      <c r="A632">
        <v>13</v>
      </c>
      <c r="B632" t="s">
        <v>13</v>
      </c>
      <c r="C632" s="4">
        <v>2</v>
      </c>
      <c r="D632" t="s">
        <v>14</v>
      </c>
      <c r="E632" s="4">
        <v>6.6</v>
      </c>
      <c r="F632" s="4">
        <v>0.9</v>
      </c>
      <c r="G632">
        <v>3.34</v>
      </c>
      <c r="H632">
        <v>1.5</v>
      </c>
      <c r="I632" t="s">
        <v>18</v>
      </c>
      <c r="J632">
        <v>5</v>
      </c>
      <c r="K632">
        <v>9</v>
      </c>
      <c r="L632">
        <v>4</v>
      </c>
      <c r="M632">
        <v>0</v>
      </c>
      <c r="N632">
        <f>_xlfn.IFS(rounded[[#This Row],[social_interaction_level]] = "low", 1,rounded[[#This Row],[social_interaction_level]] = "medium", 2,rounded[[#This Row],[social_interaction_level]] = "high", 3)</f>
        <v>3</v>
      </c>
      <c r="O632">
        <f t="shared" si="9"/>
        <v>18</v>
      </c>
      <c r="P632" t="str" cm="1">
        <f t="array" ref="P632">_xlfn.SWITCH(rounded[[#This Row],[depression_label]], 0, "Not Depressed", 1, "Depressed")</f>
        <v>Not Depressed</v>
      </c>
      <c r="Q632" s="45" t="str" cm="1">
        <f t="array" ref="Q632">_xlfn.SWITCH(rounded[[#This Row],[gender]], "male", "Male", "female", "Female")</f>
        <v>Male</v>
      </c>
    </row>
    <row r="633" spans="1:17" x14ac:dyDescent="0.35">
      <c r="A633">
        <v>13</v>
      </c>
      <c r="B633" t="s">
        <v>13</v>
      </c>
      <c r="C633" s="4">
        <v>7.8</v>
      </c>
      <c r="D633" t="s">
        <v>17</v>
      </c>
      <c r="E633" s="4">
        <v>7.2</v>
      </c>
      <c r="F633" s="4">
        <v>1.3</v>
      </c>
      <c r="G633">
        <v>3.31</v>
      </c>
      <c r="H633">
        <v>0.8</v>
      </c>
      <c r="I633" t="s">
        <v>18</v>
      </c>
      <c r="J633">
        <v>9</v>
      </c>
      <c r="K633">
        <v>2</v>
      </c>
      <c r="L633">
        <v>4</v>
      </c>
      <c r="M633">
        <v>0</v>
      </c>
      <c r="N633">
        <f>_xlfn.IFS(rounded[[#This Row],[social_interaction_level]] = "low", 1,rounded[[#This Row],[social_interaction_level]] = "medium", 2,rounded[[#This Row],[social_interaction_level]] = "high", 3)</f>
        <v>3</v>
      </c>
      <c r="O633">
        <f t="shared" si="9"/>
        <v>15</v>
      </c>
      <c r="P633" t="str" cm="1">
        <f t="array" ref="P633">_xlfn.SWITCH(rounded[[#This Row],[depression_label]], 0, "Not Depressed", 1, "Depressed")</f>
        <v>Not Depressed</v>
      </c>
      <c r="Q633" s="45" t="str" cm="1">
        <f t="array" ref="Q633">_xlfn.SWITCH(rounded[[#This Row],[gender]], "male", "Male", "female", "Female")</f>
        <v>Male</v>
      </c>
    </row>
    <row r="634" spans="1:17" x14ac:dyDescent="0.35">
      <c r="A634">
        <v>19</v>
      </c>
      <c r="B634" t="s">
        <v>13</v>
      </c>
      <c r="C634" s="4">
        <v>5.9</v>
      </c>
      <c r="D634" t="s">
        <v>17</v>
      </c>
      <c r="E634" s="4">
        <v>7.4</v>
      </c>
      <c r="F634" s="4">
        <v>0.7</v>
      </c>
      <c r="G634">
        <v>3.27</v>
      </c>
      <c r="H634">
        <v>1.7</v>
      </c>
      <c r="I634" t="s">
        <v>18</v>
      </c>
      <c r="J634">
        <v>1</v>
      </c>
      <c r="K634">
        <v>9</v>
      </c>
      <c r="L634">
        <v>9</v>
      </c>
      <c r="M634">
        <v>0</v>
      </c>
      <c r="N634">
        <f>_xlfn.IFS(rounded[[#This Row],[social_interaction_level]] = "low", 1,rounded[[#This Row],[social_interaction_level]] = "medium", 2,rounded[[#This Row],[social_interaction_level]] = "high", 3)</f>
        <v>3</v>
      </c>
      <c r="O634">
        <f t="shared" si="9"/>
        <v>19</v>
      </c>
      <c r="P634" t="str" cm="1">
        <f t="array" ref="P634">_xlfn.SWITCH(rounded[[#This Row],[depression_label]], 0, "Not Depressed", 1, "Depressed")</f>
        <v>Not Depressed</v>
      </c>
      <c r="Q634" s="45" t="str" cm="1">
        <f t="array" ref="Q634">_xlfn.SWITCH(rounded[[#This Row],[gender]], "male", "Male", "female", "Female")</f>
        <v>Male</v>
      </c>
    </row>
    <row r="635" spans="1:17" x14ac:dyDescent="0.35">
      <c r="A635">
        <v>19</v>
      </c>
      <c r="B635" t="s">
        <v>13</v>
      </c>
      <c r="C635" s="4">
        <v>7.7</v>
      </c>
      <c r="D635" t="s">
        <v>17</v>
      </c>
      <c r="E635" s="4">
        <v>8.4</v>
      </c>
      <c r="F635" s="4">
        <v>2.8</v>
      </c>
      <c r="G635">
        <v>3.43</v>
      </c>
      <c r="H635">
        <v>0.2</v>
      </c>
      <c r="I635" t="s">
        <v>19</v>
      </c>
      <c r="J635">
        <v>7</v>
      </c>
      <c r="K635">
        <v>6</v>
      </c>
      <c r="L635">
        <v>6</v>
      </c>
      <c r="M635">
        <v>0</v>
      </c>
      <c r="N635">
        <f>_xlfn.IFS(rounded[[#This Row],[social_interaction_level]] = "low", 1,rounded[[#This Row],[social_interaction_level]] = "medium", 2,rounded[[#This Row],[social_interaction_level]] = "high", 3)</f>
        <v>2</v>
      </c>
      <c r="O635">
        <f t="shared" si="9"/>
        <v>19</v>
      </c>
      <c r="P635" t="str" cm="1">
        <f t="array" ref="P635">_xlfn.SWITCH(rounded[[#This Row],[depression_label]], 0, "Not Depressed", 1, "Depressed")</f>
        <v>Not Depressed</v>
      </c>
      <c r="Q635" s="45" t="str" cm="1">
        <f t="array" ref="Q635">_xlfn.SWITCH(rounded[[#This Row],[gender]], "male", "Male", "female", "Female")</f>
        <v>Male</v>
      </c>
    </row>
    <row r="636" spans="1:17" x14ac:dyDescent="0.35">
      <c r="A636">
        <v>13</v>
      </c>
      <c r="B636" t="s">
        <v>13</v>
      </c>
      <c r="C636" s="4">
        <v>2.2000000000000002</v>
      </c>
      <c r="D636" t="s">
        <v>17</v>
      </c>
      <c r="E636" s="4">
        <v>5.4</v>
      </c>
      <c r="F636" s="4">
        <v>1.2</v>
      </c>
      <c r="G636">
        <v>2.33</v>
      </c>
      <c r="H636">
        <v>0.8</v>
      </c>
      <c r="I636" t="s">
        <v>19</v>
      </c>
      <c r="J636">
        <v>10</v>
      </c>
      <c r="K636">
        <v>3</v>
      </c>
      <c r="L636">
        <v>4</v>
      </c>
      <c r="M636">
        <v>0</v>
      </c>
      <c r="N636">
        <f>_xlfn.IFS(rounded[[#This Row],[social_interaction_level]] = "low", 1,rounded[[#This Row],[social_interaction_level]] = "medium", 2,rounded[[#This Row],[social_interaction_level]] = "high", 3)</f>
        <v>2</v>
      </c>
      <c r="O636">
        <f t="shared" si="9"/>
        <v>17</v>
      </c>
      <c r="P636" t="str" cm="1">
        <f t="array" ref="P636">_xlfn.SWITCH(rounded[[#This Row],[depression_label]], 0, "Not Depressed", 1, "Depressed")</f>
        <v>Not Depressed</v>
      </c>
      <c r="Q636" s="45" t="str" cm="1">
        <f t="array" ref="Q636">_xlfn.SWITCH(rounded[[#This Row],[gender]], "male", "Male", "female", "Female")</f>
        <v>Male</v>
      </c>
    </row>
    <row r="637" spans="1:17" x14ac:dyDescent="0.35">
      <c r="A637">
        <v>18</v>
      </c>
      <c r="B637" t="s">
        <v>16</v>
      </c>
      <c r="C637" s="4">
        <v>7.7</v>
      </c>
      <c r="D637" t="s">
        <v>17</v>
      </c>
      <c r="E637" s="4">
        <v>7.6</v>
      </c>
      <c r="F637" s="4">
        <v>2.9</v>
      </c>
      <c r="G637">
        <v>3.81</v>
      </c>
      <c r="H637">
        <v>0.5</v>
      </c>
      <c r="I637" t="s">
        <v>18</v>
      </c>
      <c r="J637">
        <v>10</v>
      </c>
      <c r="K637">
        <v>3</v>
      </c>
      <c r="L637">
        <v>6</v>
      </c>
      <c r="M637">
        <v>0</v>
      </c>
      <c r="N637">
        <f>_xlfn.IFS(rounded[[#This Row],[social_interaction_level]] = "low", 1,rounded[[#This Row],[social_interaction_level]] = "medium", 2,rounded[[#This Row],[social_interaction_level]] = "high", 3)</f>
        <v>3</v>
      </c>
      <c r="O637">
        <f t="shared" si="9"/>
        <v>19</v>
      </c>
      <c r="P637" t="str" cm="1">
        <f t="array" ref="P637">_xlfn.SWITCH(rounded[[#This Row],[depression_label]], 0, "Not Depressed", 1, "Depressed")</f>
        <v>Not Depressed</v>
      </c>
      <c r="Q637" s="45" t="str" cm="1">
        <f t="array" ref="Q637">_xlfn.SWITCH(rounded[[#This Row],[gender]], "male", "Male", "female", "Female")</f>
        <v>Female</v>
      </c>
    </row>
    <row r="638" spans="1:17" x14ac:dyDescent="0.35">
      <c r="A638">
        <v>18</v>
      </c>
      <c r="B638" t="s">
        <v>13</v>
      </c>
      <c r="C638" s="4">
        <v>3.2</v>
      </c>
      <c r="D638" t="s">
        <v>14</v>
      </c>
      <c r="E638" s="4">
        <v>6</v>
      </c>
      <c r="F638" s="4">
        <v>1.5</v>
      </c>
      <c r="G638">
        <v>3.36</v>
      </c>
      <c r="H638">
        <v>1.5</v>
      </c>
      <c r="I638" t="s">
        <v>18</v>
      </c>
      <c r="J638">
        <v>9</v>
      </c>
      <c r="K638">
        <v>7</v>
      </c>
      <c r="L638">
        <v>10</v>
      </c>
      <c r="M638">
        <v>0</v>
      </c>
      <c r="N638">
        <f>_xlfn.IFS(rounded[[#This Row],[social_interaction_level]] = "low", 1,rounded[[#This Row],[social_interaction_level]] = "medium", 2,rounded[[#This Row],[social_interaction_level]] = "high", 3)</f>
        <v>3</v>
      </c>
      <c r="O638">
        <f t="shared" si="9"/>
        <v>26</v>
      </c>
      <c r="P638" t="str" cm="1">
        <f t="array" ref="P638">_xlfn.SWITCH(rounded[[#This Row],[depression_label]], 0, "Not Depressed", 1, "Depressed")</f>
        <v>Not Depressed</v>
      </c>
      <c r="Q638" s="45" t="str" cm="1">
        <f t="array" ref="Q638">_xlfn.SWITCH(rounded[[#This Row],[gender]], "male", "Male", "female", "Female")</f>
        <v>Male</v>
      </c>
    </row>
    <row r="639" spans="1:17" x14ac:dyDescent="0.35">
      <c r="A639">
        <v>16</v>
      </c>
      <c r="B639" t="s">
        <v>13</v>
      </c>
      <c r="C639" s="4">
        <v>2</v>
      </c>
      <c r="D639" t="s">
        <v>17</v>
      </c>
      <c r="E639" s="4">
        <v>7.8</v>
      </c>
      <c r="F639" s="4">
        <v>0.5</v>
      </c>
      <c r="G639">
        <v>2.81</v>
      </c>
      <c r="H639">
        <v>1.4</v>
      </c>
      <c r="I639" t="s">
        <v>18</v>
      </c>
      <c r="J639">
        <v>10</v>
      </c>
      <c r="K639">
        <v>2</v>
      </c>
      <c r="L639">
        <v>4</v>
      </c>
      <c r="M639">
        <v>0</v>
      </c>
      <c r="N639">
        <f>_xlfn.IFS(rounded[[#This Row],[social_interaction_level]] = "low", 1,rounded[[#This Row],[social_interaction_level]] = "medium", 2,rounded[[#This Row],[social_interaction_level]] = "high", 3)</f>
        <v>3</v>
      </c>
      <c r="O639">
        <f t="shared" si="9"/>
        <v>16</v>
      </c>
      <c r="P639" t="str" cm="1">
        <f t="array" ref="P639">_xlfn.SWITCH(rounded[[#This Row],[depression_label]], 0, "Not Depressed", 1, "Depressed")</f>
        <v>Not Depressed</v>
      </c>
      <c r="Q639" s="45" t="str" cm="1">
        <f t="array" ref="Q639">_xlfn.SWITCH(rounded[[#This Row],[gender]], "male", "Male", "female", "Female")</f>
        <v>Male</v>
      </c>
    </row>
    <row r="640" spans="1:17" x14ac:dyDescent="0.35">
      <c r="A640">
        <v>15</v>
      </c>
      <c r="B640" t="s">
        <v>16</v>
      </c>
      <c r="C640" s="4">
        <v>6.2</v>
      </c>
      <c r="D640" t="s">
        <v>20</v>
      </c>
      <c r="E640" s="4">
        <v>5.2</v>
      </c>
      <c r="F640" s="4">
        <v>1</v>
      </c>
      <c r="G640">
        <v>3.94</v>
      </c>
      <c r="H640">
        <v>1.4</v>
      </c>
      <c r="I640" t="s">
        <v>15</v>
      </c>
      <c r="J640">
        <v>5</v>
      </c>
      <c r="K640">
        <v>2</v>
      </c>
      <c r="L640">
        <v>7</v>
      </c>
      <c r="M640">
        <v>0</v>
      </c>
      <c r="N640">
        <f>_xlfn.IFS(rounded[[#This Row],[social_interaction_level]] = "low", 1,rounded[[#This Row],[social_interaction_level]] = "medium", 2,rounded[[#This Row],[social_interaction_level]] = "high", 3)</f>
        <v>1</v>
      </c>
      <c r="O640">
        <f t="shared" si="9"/>
        <v>14</v>
      </c>
      <c r="P640" t="str" cm="1">
        <f t="array" ref="P640">_xlfn.SWITCH(rounded[[#This Row],[depression_label]], 0, "Not Depressed", 1, "Depressed")</f>
        <v>Not Depressed</v>
      </c>
      <c r="Q640" s="45" t="str" cm="1">
        <f t="array" ref="Q640">_xlfn.SWITCH(rounded[[#This Row],[gender]], "male", "Male", "female", "Female")</f>
        <v>Female</v>
      </c>
    </row>
    <row r="641" spans="1:17" x14ac:dyDescent="0.35">
      <c r="A641">
        <v>19</v>
      </c>
      <c r="B641" t="s">
        <v>16</v>
      </c>
      <c r="C641" s="4">
        <v>2.4</v>
      </c>
      <c r="D641" t="s">
        <v>14</v>
      </c>
      <c r="E641" s="4">
        <v>8.6999999999999993</v>
      </c>
      <c r="F641" s="4">
        <v>1.6</v>
      </c>
      <c r="G641">
        <v>2.4</v>
      </c>
      <c r="H641">
        <v>0.1</v>
      </c>
      <c r="I641" t="s">
        <v>19</v>
      </c>
      <c r="J641">
        <v>2</v>
      </c>
      <c r="K641">
        <v>9</v>
      </c>
      <c r="L641">
        <v>7</v>
      </c>
      <c r="M641">
        <v>0</v>
      </c>
      <c r="N641">
        <f>_xlfn.IFS(rounded[[#This Row],[social_interaction_level]] = "low", 1,rounded[[#This Row],[social_interaction_level]] = "medium", 2,rounded[[#This Row],[social_interaction_level]] = "high", 3)</f>
        <v>2</v>
      </c>
      <c r="O641">
        <f t="shared" si="9"/>
        <v>18</v>
      </c>
      <c r="P641" t="str" cm="1">
        <f t="array" ref="P641">_xlfn.SWITCH(rounded[[#This Row],[depression_label]], 0, "Not Depressed", 1, "Depressed")</f>
        <v>Not Depressed</v>
      </c>
      <c r="Q641" s="45" t="str" cm="1">
        <f t="array" ref="Q641">_xlfn.SWITCH(rounded[[#This Row],[gender]], "male", "Male", "female", "Female")</f>
        <v>Female</v>
      </c>
    </row>
    <row r="642" spans="1:17" x14ac:dyDescent="0.35">
      <c r="A642">
        <v>15</v>
      </c>
      <c r="B642" t="s">
        <v>13</v>
      </c>
      <c r="C642" s="4">
        <v>3.4</v>
      </c>
      <c r="D642" t="s">
        <v>20</v>
      </c>
      <c r="E642" s="4">
        <v>8</v>
      </c>
      <c r="F642" s="4">
        <v>1</v>
      </c>
      <c r="G642">
        <v>2.31</v>
      </c>
      <c r="H642">
        <v>1</v>
      </c>
      <c r="I642" t="s">
        <v>18</v>
      </c>
      <c r="J642">
        <v>4</v>
      </c>
      <c r="K642">
        <v>7</v>
      </c>
      <c r="L642">
        <v>6</v>
      </c>
      <c r="M642">
        <v>0</v>
      </c>
      <c r="N642">
        <f>_xlfn.IFS(rounded[[#This Row],[social_interaction_level]] = "low", 1,rounded[[#This Row],[social_interaction_level]] = "medium", 2,rounded[[#This Row],[social_interaction_level]] = "high", 3)</f>
        <v>3</v>
      </c>
      <c r="O642">
        <f t="shared" ref="O642:O705" si="10">SUM(J642+K642+L642)</f>
        <v>17</v>
      </c>
      <c r="P642" t="str" cm="1">
        <f t="array" ref="P642">_xlfn.SWITCH(rounded[[#This Row],[depression_label]], 0, "Not Depressed", 1, "Depressed")</f>
        <v>Not Depressed</v>
      </c>
      <c r="Q642" s="45" t="str" cm="1">
        <f t="array" ref="Q642">_xlfn.SWITCH(rounded[[#This Row],[gender]], "male", "Male", "female", "Female")</f>
        <v>Male</v>
      </c>
    </row>
    <row r="643" spans="1:17" x14ac:dyDescent="0.35">
      <c r="A643">
        <v>19</v>
      </c>
      <c r="B643" t="s">
        <v>13</v>
      </c>
      <c r="C643" s="4">
        <v>6</v>
      </c>
      <c r="D643" t="s">
        <v>14</v>
      </c>
      <c r="E643" s="4">
        <v>4.2</v>
      </c>
      <c r="F643" s="4">
        <v>0.9</v>
      </c>
      <c r="G643">
        <v>2.41</v>
      </c>
      <c r="H643">
        <v>0.8</v>
      </c>
      <c r="I643" t="s">
        <v>19</v>
      </c>
      <c r="J643">
        <v>7</v>
      </c>
      <c r="K643">
        <v>9</v>
      </c>
      <c r="L643">
        <v>9</v>
      </c>
      <c r="M643">
        <v>1</v>
      </c>
      <c r="N643">
        <f>_xlfn.IFS(rounded[[#This Row],[social_interaction_level]] = "low", 1,rounded[[#This Row],[social_interaction_level]] = "medium", 2,rounded[[#This Row],[social_interaction_level]] = "high", 3)</f>
        <v>2</v>
      </c>
      <c r="O643">
        <f t="shared" si="10"/>
        <v>25</v>
      </c>
      <c r="P643" t="str" cm="1">
        <f t="array" ref="P643">_xlfn.SWITCH(rounded[[#This Row],[depression_label]], 0, "Not Depressed", 1, "Depressed")</f>
        <v>Depressed</v>
      </c>
      <c r="Q643" s="45" t="str" cm="1">
        <f t="array" ref="Q643">_xlfn.SWITCH(rounded[[#This Row],[gender]], "male", "Male", "female", "Female")</f>
        <v>Male</v>
      </c>
    </row>
    <row r="644" spans="1:17" x14ac:dyDescent="0.35">
      <c r="A644">
        <v>16</v>
      </c>
      <c r="B644" t="s">
        <v>16</v>
      </c>
      <c r="C644" s="4">
        <v>5.3</v>
      </c>
      <c r="D644" t="s">
        <v>20</v>
      </c>
      <c r="E644" s="4">
        <v>5.6</v>
      </c>
      <c r="F644" s="4">
        <v>2.5</v>
      </c>
      <c r="G644">
        <v>2.73</v>
      </c>
      <c r="H644">
        <v>1.3</v>
      </c>
      <c r="I644" t="s">
        <v>19</v>
      </c>
      <c r="J644">
        <v>7</v>
      </c>
      <c r="K644">
        <v>10</v>
      </c>
      <c r="L644">
        <v>4</v>
      </c>
      <c r="M644">
        <v>1</v>
      </c>
      <c r="N644">
        <f>_xlfn.IFS(rounded[[#This Row],[social_interaction_level]] = "low", 1,rounded[[#This Row],[social_interaction_level]] = "medium", 2,rounded[[#This Row],[social_interaction_level]] = "high", 3)</f>
        <v>2</v>
      </c>
      <c r="O644">
        <f t="shared" si="10"/>
        <v>21</v>
      </c>
      <c r="P644" t="str" cm="1">
        <f t="array" ref="P644">_xlfn.SWITCH(rounded[[#This Row],[depression_label]], 0, "Not Depressed", 1, "Depressed")</f>
        <v>Depressed</v>
      </c>
      <c r="Q644" s="45" t="str" cm="1">
        <f t="array" ref="Q644">_xlfn.SWITCH(rounded[[#This Row],[gender]], "male", "Male", "female", "Female")</f>
        <v>Female</v>
      </c>
    </row>
    <row r="645" spans="1:17" x14ac:dyDescent="0.35">
      <c r="A645">
        <v>17</v>
      </c>
      <c r="B645" t="s">
        <v>16</v>
      </c>
      <c r="C645" s="4">
        <v>5.5</v>
      </c>
      <c r="D645" t="s">
        <v>14</v>
      </c>
      <c r="E645" s="4">
        <v>6.3</v>
      </c>
      <c r="F645" s="4">
        <v>0.8</v>
      </c>
      <c r="G645">
        <v>2.59</v>
      </c>
      <c r="H645">
        <v>1.6</v>
      </c>
      <c r="I645" t="s">
        <v>18</v>
      </c>
      <c r="J645">
        <v>6</v>
      </c>
      <c r="K645">
        <v>8</v>
      </c>
      <c r="L645">
        <v>7</v>
      </c>
      <c r="M645">
        <v>0</v>
      </c>
      <c r="N645">
        <f>_xlfn.IFS(rounded[[#This Row],[social_interaction_level]] = "low", 1,rounded[[#This Row],[social_interaction_level]] = "medium", 2,rounded[[#This Row],[social_interaction_level]] = "high", 3)</f>
        <v>3</v>
      </c>
      <c r="O645">
        <f t="shared" si="10"/>
        <v>21</v>
      </c>
      <c r="P645" t="str" cm="1">
        <f t="array" ref="P645">_xlfn.SWITCH(rounded[[#This Row],[depression_label]], 0, "Not Depressed", 1, "Depressed")</f>
        <v>Not Depressed</v>
      </c>
      <c r="Q645" s="45" t="str" cm="1">
        <f t="array" ref="Q645">_xlfn.SWITCH(rounded[[#This Row],[gender]], "male", "Male", "female", "Female")</f>
        <v>Female</v>
      </c>
    </row>
    <row r="646" spans="1:17" x14ac:dyDescent="0.35">
      <c r="A646">
        <v>17</v>
      </c>
      <c r="B646" t="s">
        <v>13</v>
      </c>
      <c r="C646" s="4">
        <v>3.6</v>
      </c>
      <c r="D646" t="s">
        <v>20</v>
      </c>
      <c r="E646" s="4">
        <v>6.1</v>
      </c>
      <c r="F646" s="4">
        <v>2.8</v>
      </c>
      <c r="G646">
        <v>2.39</v>
      </c>
      <c r="H646">
        <v>0.6</v>
      </c>
      <c r="I646" t="s">
        <v>15</v>
      </c>
      <c r="J646">
        <v>6</v>
      </c>
      <c r="K646">
        <v>8</v>
      </c>
      <c r="L646">
        <v>5</v>
      </c>
      <c r="M646">
        <v>0</v>
      </c>
      <c r="N646">
        <f>_xlfn.IFS(rounded[[#This Row],[social_interaction_level]] = "low", 1,rounded[[#This Row],[social_interaction_level]] = "medium", 2,rounded[[#This Row],[social_interaction_level]] = "high", 3)</f>
        <v>1</v>
      </c>
      <c r="O646">
        <f t="shared" si="10"/>
        <v>19</v>
      </c>
      <c r="P646" t="str" cm="1">
        <f t="array" ref="P646">_xlfn.SWITCH(rounded[[#This Row],[depression_label]], 0, "Not Depressed", 1, "Depressed")</f>
        <v>Not Depressed</v>
      </c>
      <c r="Q646" s="45" t="str" cm="1">
        <f t="array" ref="Q646">_xlfn.SWITCH(rounded[[#This Row],[gender]], "male", "Male", "female", "Female")</f>
        <v>Male</v>
      </c>
    </row>
    <row r="647" spans="1:17" x14ac:dyDescent="0.35">
      <c r="A647">
        <v>17</v>
      </c>
      <c r="B647" t="s">
        <v>16</v>
      </c>
      <c r="C647" s="4">
        <v>3.7</v>
      </c>
      <c r="D647" t="s">
        <v>14</v>
      </c>
      <c r="E647" s="4">
        <v>6.3</v>
      </c>
      <c r="F647" s="4">
        <v>1.3</v>
      </c>
      <c r="G647">
        <v>2.7</v>
      </c>
      <c r="H647">
        <v>1.1000000000000001</v>
      </c>
      <c r="I647" t="s">
        <v>19</v>
      </c>
      <c r="J647">
        <v>2</v>
      </c>
      <c r="K647">
        <v>6</v>
      </c>
      <c r="L647">
        <v>9</v>
      </c>
      <c r="M647">
        <v>0</v>
      </c>
      <c r="N647">
        <f>_xlfn.IFS(rounded[[#This Row],[social_interaction_level]] = "low", 1,rounded[[#This Row],[social_interaction_level]] = "medium", 2,rounded[[#This Row],[social_interaction_level]] = "high", 3)</f>
        <v>2</v>
      </c>
      <c r="O647">
        <f t="shared" si="10"/>
        <v>17</v>
      </c>
      <c r="P647" t="str" cm="1">
        <f t="array" ref="P647">_xlfn.SWITCH(rounded[[#This Row],[depression_label]], 0, "Not Depressed", 1, "Depressed")</f>
        <v>Not Depressed</v>
      </c>
      <c r="Q647" s="45" t="str" cm="1">
        <f t="array" ref="Q647">_xlfn.SWITCH(rounded[[#This Row],[gender]], "male", "Male", "female", "Female")</f>
        <v>Female</v>
      </c>
    </row>
    <row r="648" spans="1:17" x14ac:dyDescent="0.35">
      <c r="A648">
        <v>16</v>
      </c>
      <c r="B648" t="s">
        <v>16</v>
      </c>
      <c r="C648" s="4">
        <v>7.4</v>
      </c>
      <c r="D648" t="s">
        <v>14</v>
      </c>
      <c r="E648" s="4">
        <v>7.4</v>
      </c>
      <c r="F648" s="4">
        <v>0.9</v>
      </c>
      <c r="G648">
        <v>3.7</v>
      </c>
      <c r="H648">
        <v>1.3</v>
      </c>
      <c r="I648" t="s">
        <v>19</v>
      </c>
      <c r="J648">
        <v>10</v>
      </c>
      <c r="K648">
        <v>6</v>
      </c>
      <c r="L648">
        <v>2</v>
      </c>
      <c r="M648">
        <v>0</v>
      </c>
      <c r="N648">
        <f>_xlfn.IFS(rounded[[#This Row],[social_interaction_level]] = "low", 1,rounded[[#This Row],[social_interaction_level]] = "medium", 2,rounded[[#This Row],[social_interaction_level]] = "high", 3)</f>
        <v>2</v>
      </c>
      <c r="O648">
        <f t="shared" si="10"/>
        <v>18</v>
      </c>
      <c r="P648" t="str" cm="1">
        <f t="array" ref="P648">_xlfn.SWITCH(rounded[[#This Row],[depression_label]], 0, "Not Depressed", 1, "Depressed")</f>
        <v>Not Depressed</v>
      </c>
      <c r="Q648" s="45" t="str" cm="1">
        <f t="array" ref="Q648">_xlfn.SWITCH(rounded[[#This Row],[gender]], "male", "Male", "female", "Female")</f>
        <v>Female</v>
      </c>
    </row>
    <row r="649" spans="1:17" x14ac:dyDescent="0.35">
      <c r="A649">
        <v>13</v>
      </c>
      <c r="B649" t="s">
        <v>13</v>
      </c>
      <c r="C649" s="4">
        <v>5.3</v>
      </c>
      <c r="D649" t="s">
        <v>14</v>
      </c>
      <c r="E649" s="4">
        <v>6</v>
      </c>
      <c r="F649" s="4">
        <v>1</v>
      </c>
      <c r="G649">
        <v>2.92</v>
      </c>
      <c r="H649">
        <v>0.7</v>
      </c>
      <c r="I649" t="s">
        <v>18</v>
      </c>
      <c r="J649">
        <v>3</v>
      </c>
      <c r="K649">
        <v>8</v>
      </c>
      <c r="L649">
        <v>5</v>
      </c>
      <c r="M649">
        <v>0</v>
      </c>
      <c r="N649">
        <f>_xlfn.IFS(rounded[[#This Row],[social_interaction_level]] = "low", 1,rounded[[#This Row],[social_interaction_level]] = "medium", 2,rounded[[#This Row],[social_interaction_level]] = "high", 3)</f>
        <v>3</v>
      </c>
      <c r="O649">
        <f t="shared" si="10"/>
        <v>16</v>
      </c>
      <c r="P649" t="str" cm="1">
        <f t="array" ref="P649">_xlfn.SWITCH(rounded[[#This Row],[depression_label]], 0, "Not Depressed", 1, "Depressed")</f>
        <v>Not Depressed</v>
      </c>
      <c r="Q649" s="45" t="str" cm="1">
        <f t="array" ref="Q649">_xlfn.SWITCH(rounded[[#This Row],[gender]], "male", "Male", "female", "Female")</f>
        <v>Male</v>
      </c>
    </row>
    <row r="650" spans="1:17" x14ac:dyDescent="0.35">
      <c r="A650">
        <v>18</v>
      </c>
      <c r="B650" t="s">
        <v>16</v>
      </c>
      <c r="C650" s="4">
        <v>4.8</v>
      </c>
      <c r="D650" t="s">
        <v>14</v>
      </c>
      <c r="E650" s="4">
        <v>5.5</v>
      </c>
      <c r="F650" s="4">
        <v>1.8</v>
      </c>
      <c r="G650">
        <v>2.9</v>
      </c>
      <c r="H650">
        <v>0.6</v>
      </c>
      <c r="I650" t="s">
        <v>15</v>
      </c>
      <c r="J650">
        <v>6</v>
      </c>
      <c r="K650">
        <v>2</v>
      </c>
      <c r="L650">
        <v>5</v>
      </c>
      <c r="M650">
        <v>0</v>
      </c>
      <c r="N650">
        <f>_xlfn.IFS(rounded[[#This Row],[social_interaction_level]] = "low", 1,rounded[[#This Row],[social_interaction_level]] = "medium", 2,rounded[[#This Row],[social_interaction_level]] = "high", 3)</f>
        <v>1</v>
      </c>
      <c r="O650">
        <f t="shared" si="10"/>
        <v>13</v>
      </c>
      <c r="P650" t="str" cm="1">
        <f t="array" ref="P650">_xlfn.SWITCH(rounded[[#This Row],[depression_label]], 0, "Not Depressed", 1, "Depressed")</f>
        <v>Not Depressed</v>
      </c>
      <c r="Q650" s="45" t="str" cm="1">
        <f t="array" ref="Q650">_xlfn.SWITCH(rounded[[#This Row],[gender]], "male", "Male", "female", "Female")</f>
        <v>Female</v>
      </c>
    </row>
    <row r="651" spans="1:17" x14ac:dyDescent="0.35">
      <c r="A651">
        <v>13</v>
      </c>
      <c r="B651" t="s">
        <v>13</v>
      </c>
      <c r="C651" s="4">
        <v>3.4</v>
      </c>
      <c r="D651" t="s">
        <v>17</v>
      </c>
      <c r="E651" s="4">
        <v>4.5</v>
      </c>
      <c r="F651" s="4">
        <v>0.5</v>
      </c>
      <c r="G651">
        <v>3.71</v>
      </c>
      <c r="H651">
        <v>1</v>
      </c>
      <c r="I651" t="s">
        <v>19</v>
      </c>
      <c r="J651">
        <v>1</v>
      </c>
      <c r="K651">
        <v>10</v>
      </c>
      <c r="L651">
        <v>1</v>
      </c>
      <c r="M651">
        <v>0</v>
      </c>
      <c r="N651">
        <f>_xlfn.IFS(rounded[[#This Row],[social_interaction_level]] = "low", 1,rounded[[#This Row],[social_interaction_level]] = "medium", 2,rounded[[#This Row],[social_interaction_level]] = "high", 3)</f>
        <v>2</v>
      </c>
      <c r="O651">
        <f t="shared" si="10"/>
        <v>12</v>
      </c>
      <c r="P651" t="str" cm="1">
        <f t="array" ref="P651">_xlfn.SWITCH(rounded[[#This Row],[depression_label]], 0, "Not Depressed", 1, "Depressed")</f>
        <v>Not Depressed</v>
      </c>
      <c r="Q651" s="45" t="str" cm="1">
        <f t="array" ref="Q651">_xlfn.SWITCH(rounded[[#This Row],[gender]], "male", "Male", "female", "Female")</f>
        <v>Male</v>
      </c>
    </row>
    <row r="652" spans="1:17" x14ac:dyDescent="0.35">
      <c r="A652">
        <v>17</v>
      </c>
      <c r="B652" t="s">
        <v>16</v>
      </c>
      <c r="C652" s="4">
        <v>7</v>
      </c>
      <c r="D652" t="s">
        <v>17</v>
      </c>
      <c r="E652" s="4">
        <v>8.9</v>
      </c>
      <c r="F652" s="4">
        <v>0.6</v>
      </c>
      <c r="G652">
        <v>3.67</v>
      </c>
      <c r="H652">
        <v>0.2</v>
      </c>
      <c r="I652" t="s">
        <v>19</v>
      </c>
      <c r="J652">
        <v>9</v>
      </c>
      <c r="K652">
        <v>2</v>
      </c>
      <c r="L652">
        <v>4</v>
      </c>
      <c r="M652">
        <v>0</v>
      </c>
      <c r="N652">
        <f>_xlfn.IFS(rounded[[#This Row],[social_interaction_level]] = "low", 1,rounded[[#This Row],[social_interaction_level]] = "medium", 2,rounded[[#This Row],[social_interaction_level]] = "high", 3)</f>
        <v>2</v>
      </c>
      <c r="O652">
        <f t="shared" si="10"/>
        <v>15</v>
      </c>
      <c r="P652" t="str" cm="1">
        <f t="array" ref="P652">_xlfn.SWITCH(rounded[[#This Row],[depression_label]], 0, "Not Depressed", 1, "Depressed")</f>
        <v>Not Depressed</v>
      </c>
      <c r="Q652" s="45" t="str" cm="1">
        <f t="array" ref="Q652">_xlfn.SWITCH(rounded[[#This Row],[gender]], "male", "Male", "female", "Female")</f>
        <v>Female</v>
      </c>
    </row>
    <row r="653" spans="1:17" x14ac:dyDescent="0.35">
      <c r="A653">
        <v>15</v>
      </c>
      <c r="B653" t="s">
        <v>13</v>
      </c>
      <c r="C653" s="4">
        <v>5.4</v>
      </c>
      <c r="D653" t="s">
        <v>14</v>
      </c>
      <c r="E653" s="4">
        <v>7.2</v>
      </c>
      <c r="F653" s="4">
        <v>1.2</v>
      </c>
      <c r="G653">
        <v>3.32</v>
      </c>
      <c r="H653">
        <v>1.3</v>
      </c>
      <c r="I653" t="s">
        <v>18</v>
      </c>
      <c r="J653">
        <v>7</v>
      </c>
      <c r="K653">
        <v>8</v>
      </c>
      <c r="L653">
        <v>1</v>
      </c>
      <c r="M653">
        <v>0</v>
      </c>
      <c r="N653">
        <f>_xlfn.IFS(rounded[[#This Row],[social_interaction_level]] = "low", 1,rounded[[#This Row],[social_interaction_level]] = "medium", 2,rounded[[#This Row],[social_interaction_level]] = "high", 3)</f>
        <v>3</v>
      </c>
      <c r="O653">
        <f t="shared" si="10"/>
        <v>16</v>
      </c>
      <c r="P653" t="str" cm="1">
        <f t="array" ref="P653">_xlfn.SWITCH(rounded[[#This Row],[depression_label]], 0, "Not Depressed", 1, "Depressed")</f>
        <v>Not Depressed</v>
      </c>
      <c r="Q653" s="45" t="str" cm="1">
        <f t="array" ref="Q653">_xlfn.SWITCH(rounded[[#This Row],[gender]], "male", "Male", "female", "Female")</f>
        <v>Male</v>
      </c>
    </row>
    <row r="654" spans="1:17" x14ac:dyDescent="0.35">
      <c r="A654">
        <v>17</v>
      </c>
      <c r="B654" t="s">
        <v>13</v>
      </c>
      <c r="C654" s="4">
        <v>5.3</v>
      </c>
      <c r="D654" t="s">
        <v>14</v>
      </c>
      <c r="E654" s="4">
        <v>6.4</v>
      </c>
      <c r="F654" s="4">
        <v>2.9</v>
      </c>
      <c r="G654">
        <v>2.42</v>
      </c>
      <c r="H654">
        <v>1.1000000000000001</v>
      </c>
      <c r="I654" t="s">
        <v>15</v>
      </c>
      <c r="J654">
        <v>3</v>
      </c>
      <c r="K654">
        <v>8</v>
      </c>
      <c r="L654">
        <v>3</v>
      </c>
      <c r="M654">
        <v>0</v>
      </c>
      <c r="N654">
        <f>_xlfn.IFS(rounded[[#This Row],[social_interaction_level]] = "low", 1,rounded[[#This Row],[social_interaction_level]] = "medium", 2,rounded[[#This Row],[social_interaction_level]] = "high", 3)</f>
        <v>1</v>
      </c>
      <c r="O654">
        <f t="shared" si="10"/>
        <v>14</v>
      </c>
      <c r="P654" t="str" cm="1">
        <f t="array" ref="P654">_xlfn.SWITCH(rounded[[#This Row],[depression_label]], 0, "Not Depressed", 1, "Depressed")</f>
        <v>Not Depressed</v>
      </c>
      <c r="Q654" s="45" t="str" cm="1">
        <f t="array" ref="Q654">_xlfn.SWITCH(rounded[[#This Row],[gender]], "male", "Male", "female", "Female")</f>
        <v>Male</v>
      </c>
    </row>
    <row r="655" spans="1:17" x14ac:dyDescent="0.35">
      <c r="A655">
        <v>14</v>
      </c>
      <c r="B655" t="s">
        <v>13</v>
      </c>
      <c r="C655" s="4">
        <v>1.8</v>
      </c>
      <c r="D655" t="s">
        <v>20</v>
      </c>
      <c r="E655" s="4">
        <v>5.0999999999999996</v>
      </c>
      <c r="F655" s="4">
        <v>2.7</v>
      </c>
      <c r="G655">
        <v>3.47</v>
      </c>
      <c r="H655">
        <v>0.2</v>
      </c>
      <c r="I655" t="s">
        <v>15</v>
      </c>
      <c r="J655">
        <v>8</v>
      </c>
      <c r="K655">
        <v>4</v>
      </c>
      <c r="L655">
        <v>6</v>
      </c>
      <c r="M655">
        <v>0</v>
      </c>
      <c r="N655">
        <f>_xlfn.IFS(rounded[[#This Row],[social_interaction_level]] = "low", 1,rounded[[#This Row],[social_interaction_level]] = "medium", 2,rounded[[#This Row],[social_interaction_level]] = "high", 3)</f>
        <v>1</v>
      </c>
      <c r="O655">
        <f t="shared" si="10"/>
        <v>18</v>
      </c>
      <c r="P655" t="str" cm="1">
        <f t="array" ref="P655">_xlfn.SWITCH(rounded[[#This Row],[depression_label]], 0, "Not Depressed", 1, "Depressed")</f>
        <v>Not Depressed</v>
      </c>
      <c r="Q655" s="45" t="str" cm="1">
        <f t="array" ref="Q655">_xlfn.SWITCH(rounded[[#This Row],[gender]], "male", "Male", "female", "Female")</f>
        <v>Male</v>
      </c>
    </row>
    <row r="656" spans="1:17" x14ac:dyDescent="0.35">
      <c r="A656">
        <v>15</v>
      </c>
      <c r="B656" t="s">
        <v>13</v>
      </c>
      <c r="C656" s="4">
        <v>4.5</v>
      </c>
      <c r="D656" t="s">
        <v>17</v>
      </c>
      <c r="E656" s="4">
        <v>6.2</v>
      </c>
      <c r="F656" s="4">
        <v>2.8</v>
      </c>
      <c r="G656">
        <v>2.74</v>
      </c>
      <c r="H656">
        <v>0.1</v>
      </c>
      <c r="I656" t="s">
        <v>18</v>
      </c>
      <c r="J656">
        <v>2</v>
      </c>
      <c r="K656">
        <v>3</v>
      </c>
      <c r="L656">
        <v>5</v>
      </c>
      <c r="M656">
        <v>0</v>
      </c>
      <c r="N656">
        <f>_xlfn.IFS(rounded[[#This Row],[social_interaction_level]] = "low", 1,rounded[[#This Row],[social_interaction_level]] = "medium", 2,rounded[[#This Row],[social_interaction_level]] = "high", 3)</f>
        <v>3</v>
      </c>
      <c r="O656">
        <f t="shared" si="10"/>
        <v>10</v>
      </c>
      <c r="P656" t="str" cm="1">
        <f t="array" ref="P656">_xlfn.SWITCH(rounded[[#This Row],[depression_label]], 0, "Not Depressed", 1, "Depressed")</f>
        <v>Not Depressed</v>
      </c>
      <c r="Q656" s="45" t="str" cm="1">
        <f t="array" ref="Q656">_xlfn.SWITCH(rounded[[#This Row],[gender]], "male", "Male", "female", "Female")</f>
        <v>Male</v>
      </c>
    </row>
    <row r="657" spans="1:17" x14ac:dyDescent="0.35">
      <c r="A657">
        <v>17</v>
      </c>
      <c r="B657" t="s">
        <v>16</v>
      </c>
      <c r="C657" s="4">
        <v>5.4</v>
      </c>
      <c r="D657" t="s">
        <v>17</v>
      </c>
      <c r="E657" s="4">
        <v>7.1</v>
      </c>
      <c r="F657" s="4">
        <v>2.5</v>
      </c>
      <c r="G657">
        <v>2.68</v>
      </c>
      <c r="H657">
        <v>1.6</v>
      </c>
      <c r="I657" t="s">
        <v>15</v>
      </c>
      <c r="J657">
        <v>3</v>
      </c>
      <c r="K657">
        <v>5</v>
      </c>
      <c r="L657">
        <v>7</v>
      </c>
      <c r="M657">
        <v>0</v>
      </c>
      <c r="N657">
        <f>_xlfn.IFS(rounded[[#This Row],[social_interaction_level]] = "low", 1,rounded[[#This Row],[social_interaction_level]] = "medium", 2,rounded[[#This Row],[social_interaction_level]] = "high", 3)</f>
        <v>1</v>
      </c>
      <c r="O657">
        <f t="shared" si="10"/>
        <v>15</v>
      </c>
      <c r="P657" t="str" cm="1">
        <f t="array" ref="P657">_xlfn.SWITCH(rounded[[#This Row],[depression_label]], 0, "Not Depressed", 1, "Depressed")</f>
        <v>Not Depressed</v>
      </c>
      <c r="Q657" s="45" t="str" cm="1">
        <f t="array" ref="Q657">_xlfn.SWITCH(rounded[[#This Row],[gender]], "male", "Male", "female", "Female")</f>
        <v>Female</v>
      </c>
    </row>
    <row r="658" spans="1:17" x14ac:dyDescent="0.35">
      <c r="A658">
        <v>13</v>
      </c>
      <c r="B658" t="s">
        <v>13</v>
      </c>
      <c r="C658" s="4">
        <v>3.6</v>
      </c>
      <c r="D658" t="s">
        <v>14</v>
      </c>
      <c r="E658" s="4">
        <v>8.6</v>
      </c>
      <c r="F658" s="4">
        <v>0.7</v>
      </c>
      <c r="G658">
        <v>2.42</v>
      </c>
      <c r="H658">
        <v>0.2</v>
      </c>
      <c r="I658" t="s">
        <v>19</v>
      </c>
      <c r="J658">
        <v>2</v>
      </c>
      <c r="K658">
        <v>6</v>
      </c>
      <c r="L658">
        <v>8</v>
      </c>
      <c r="M658">
        <v>0</v>
      </c>
      <c r="N658">
        <f>_xlfn.IFS(rounded[[#This Row],[social_interaction_level]] = "low", 1,rounded[[#This Row],[social_interaction_level]] = "medium", 2,rounded[[#This Row],[social_interaction_level]] = "high", 3)</f>
        <v>2</v>
      </c>
      <c r="O658">
        <f t="shared" si="10"/>
        <v>16</v>
      </c>
      <c r="P658" t="str" cm="1">
        <f t="array" ref="P658">_xlfn.SWITCH(rounded[[#This Row],[depression_label]], 0, "Not Depressed", 1, "Depressed")</f>
        <v>Not Depressed</v>
      </c>
      <c r="Q658" s="45" t="str" cm="1">
        <f t="array" ref="Q658">_xlfn.SWITCH(rounded[[#This Row],[gender]], "male", "Male", "female", "Female")</f>
        <v>Male</v>
      </c>
    </row>
    <row r="659" spans="1:17" x14ac:dyDescent="0.35">
      <c r="A659">
        <v>14</v>
      </c>
      <c r="B659" t="s">
        <v>16</v>
      </c>
      <c r="C659" s="4">
        <v>5.7</v>
      </c>
      <c r="D659" t="s">
        <v>14</v>
      </c>
      <c r="E659" s="4">
        <v>8.9</v>
      </c>
      <c r="F659" s="4">
        <v>0.7</v>
      </c>
      <c r="G659">
        <v>2.17</v>
      </c>
      <c r="H659">
        <v>1.3</v>
      </c>
      <c r="I659" t="s">
        <v>18</v>
      </c>
      <c r="J659">
        <v>10</v>
      </c>
      <c r="K659">
        <v>4</v>
      </c>
      <c r="L659">
        <v>3</v>
      </c>
      <c r="M659">
        <v>0</v>
      </c>
      <c r="N659">
        <f>_xlfn.IFS(rounded[[#This Row],[social_interaction_level]] = "low", 1,rounded[[#This Row],[social_interaction_level]] = "medium", 2,rounded[[#This Row],[social_interaction_level]] = "high", 3)</f>
        <v>3</v>
      </c>
      <c r="O659">
        <f t="shared" si="10"/>
        <v>17</v>
      </c>
      <c r="P659" t="str" cm="1">
        <f t="array" ref="P659">_xlfn.SWITCH(rounded[[#This Row],[depression_label]], 0, "Not Depressed", 1, "Depressed")</f>
        <v>Not Depressed</v>
      </c>
      <c r="Q659" s="45" t="str" cm="1">
        <f t="array" ref="Q659">_xlfn.SWITCH(rounded[[#This Row],[gender]], "male", "Male", "female", "Female")</f>
        <v>Female</v>
      </c>
    </row>
    <row r="660" spans="1:17" x14ac:dyDescent="0.35">
      <c r="A660">
        <v>15</v>
      </c>
      <c r="B660" t="s">
        <v>16</v>
      </c>
      <c r="C660" s="4">
        <v>5.5</v>
      </c>
      <c r="D660" t="s">
        <v>20</v>
      </c>
      <c r="E660" s="4">
        <v>7.3</v>
      </c>
      <c r="F660" s="4">
        <v>2.5</v>
      </c>
      <c r="G660">
        <v>3.67</v>
      </c>
      <c r="H660">
        <v>0.5</v>
      </c>
      <c r="I660" t="s">
        <v>15</v>
      </c>
      <c r="J660">
        <v>4</v>
      </c>
      <c r="K660">
        <v>3</v>
      </c>
      <c r="L660">
        <v>6</v>
      </c>
      <c r="M660">
        <v>0</v>
      </c>
      <c r="N660">
        <f>_xlfn.IFS(rounded[[#This Row],[social_interaction_level]] = "low", 1,rounded[[#This Row],[social_interaction_level]] = "medium", 2,rounded[[#This Row],[social_interaction_level]] = "high", 3)</f>
        <v>1</v>
      </c>
      <c r="O660">
        <f t="shared" si="10"/>
        <v>13</v>
      </c>
      <c r="P660" t="str" cm="1">
        <f t="array" ref="P660">_xlfn.SWITCH(rounded[[#This Row],[depression_label]], 0, "Not Depressed", 1, "Depressed")</f>
        <v>Not Depressed</v>
      </c>
      <c r="Q660" s="45" t="str" cm="1">
        <f t="array" ref="Q660">_xlfn.SWITCH(rounded[[#This Row],[gender]], "male", "Male", "female", "Female")</f>
        <v>Female</v>
      </c>
    </row>
    <row r="661" spans="1:17" x14ac:dyDescent="0.35">
      <c r="A661">
        <v>14</v>
      </c>
      <c r="B661" t="s">
        <v>16</v>
      </c>
      <c r="C661" s="4">
        <v>5.3</v>
      </c>
      <c r="D661" t="s">
        <v>20</v>
      </c>
      <c r="E661" s="4">
        <v>4.7</v>
      </c>
      <c r="F661" s="4">
        <v>1.1000000000000001</v>
      </c>
      <c r="G661">
        <v>3.68</v>
      </c>
      <c r="H661">
        <v>1.8</v>
      </c>
      <c r="I661" t="s">
        <v>18</v>
      </c>
      <c r="J661">
        <v>10</v>
      </c>
      <c r="K661">
        <v>8</v>
      </c>
      <c r="L661">
        <v>10</v>
      </c>
      <c r="M661">
        <v>1</v>
      </c>
      <c r="N661">
        <f>_xlfn.IFS(rounded[[#This Row],[social_interaction_level]] = "low", 1,rounded[[#This Row],[social_interaction_level]] = "medium", 2,rounded[[#This Row],[social_interaction_level]] = "high", 3)</f>
        <v>3</v>
      </c>
      <c r="O661">
        <f t="shared" si="10"/>
        <v>28</v>
      </c>
      <c r="P661" t="str" cm="1">
        <f t="array" ref="P661">_xlfn.SWITCH(rounded[[#This Row],[depression_label]], 0, "Not Depressed", 1, "Depressed")</f>
        <v>Depressed</v>
      </c>
      <c r="Q661" s="45" t="str" cm="1">
        <f t="array" ref="Q661">_xlfn.SWITCH(rounded[[#This Row],[gender]], "male", "Male", "female", "Female")</f>
        <v>Female</v>
      </c>
    </row>
    <row r="662" spans="1:17" x14ac:dyDescent="0.35">
      <c r="A662">
        <v>15</v>
      </c>
      <c r="B662" t="s">
        <v>13</v>
      </c>
      <c r="C662" s="4">
        <v>2.7</v>
      </c>
      <c r="D662" t="s">
        <v>14</v>
      </c>
      <c r="E662" s="4">
        <v>5.4</v>
      </c>
      <c r="F662" s="4">
        <v>1.6</v>
      </c>
      <c r="G662">
        <v>2.34</v>
      </c>
      <c r="H662">
        <v>0.3</v>
      </c>
      <c r="I662" t="s">
        <v>18</v>
      </c>
      <c r="J662">
        <v>2</v>
      </c>
      <c r="K662">
        <v>6</v>
      </c>
      <c r="L662">
        <v>8</v>
      </c>
      <c r="M662">
        <v>0</v>
      </c>
      <c r="N662">
        <f>_xlfn.IFS(rounded[[#This Row],[social_interaction_level]] = "low", 1,rounded[[#This Row],[social_interaction_level]] = "medium", 2,rounded[[#This Row],[social_interaction_level]] = "high", 3)</f>
        <v>3</v>
      </c>
      <c r="O662">
        <f t="shared" si="10"/>
        <v>16</v>
      </c>
      <c r="P662" t="str" cm="1">
        <f t="array" ref="P662">_xlfn.SWITCH(rounded[[#This Row],[depression_label]], 0, "Not Depressed", 1, "Depressed")</f>
        <v>Not Depressed</v>
      </c>
      <c r="Q662" s="45" t="str" cm="1">
        <f t="array" ref="Q662">_xlfn.SWITCH(rounded[[#This Row],[gender]], "male", "Male", "female", "Female")</f>
        <v>Male</v>
      </c>
    </row>
    <row r="663" spans="1:17" x14ac:dyDescent="0.35">
      <c r="A663">
        <v>14</v>
      </c>
      <c r="B663" t="s">
        <v>13</v>
      </c>
      <c r="C663" s="4">
        <v>6.4</v>
      </c>
      <c r="D663" t="s">
        <v>14</v>
      </c>
      <c r="E663" s="4">
        <v>5.6</v>
      </c>
      <c r="F663" s="4">
        <v>0.8</v>
      </c>
      <c r="G663">
        <v>4</v>
      </c>
      <c r="H663">
        <v>1.9</v>
      </c>
      <c r="I663" t="s">
        <v>19</v>
      </c>
      <c r="J663">
        <v>5</v>
      </c>
      <c r="K663">
        <v>1</v>
      </c>
      <c r="L663">
        <v>3</v>
      </c>
      <c r="M663">
        <v>0</v>
      </c>
      <c r="N663">
        <f>_xlfn.IFS(rounded[[#This Row],[social_interaction_level]] = "low", 1,rounded[[#This Row],[social_interaction_level]] = "medium", 2,rounded[[#This Row],[social_interaction_level]] = "high", 3)</f>
        <v>2</v>
      </c>
      <c r="O663">
        <f t="shared" si="10"/>
        <v>9</v>
      </c>
      <c r="P663" t="str" cm="1">
        <f t="array" ref="P663">_xlfn.SWITCH(rounded[[#This Row],[depression_label]], 0, "Not Depressed", 1, "Depressed")</f>
        <v>Not Depressed</v>
      </c>
      <c r="Q663" s="45" t="str" cm="1">
        <f t="array" ref="Q663">_xlfn.SWITCH(rounded[[#This Row],[gender]], "male", "Male", "female", "Female")</f>
        <v>Male</v>
      </c>
    </row>
    <row r="664" spans="1:17" x14ac:dyDescent="0.35">
      <c r="A664">
        <v>16</v>
      </c>
      <c r="B664" t="s">
        <v>13</v>
      </c>
      <c r="C664" s="4">
        <v>5</v>
      </c>
      <c r="D664" t="s">
        <v>17</v>
      </c>
      <c r="E664" s="4">
        <v>6.3</v>
      </c>
      <c r="F664" s="4">
        <v>3</v>
      </c>
      <c r="G664">
        <v>3.72</v>
      </c>
      <c r="H664">
        <v>1.6</v>
      </c>
      <c r="I664" t="s">
        <v>19</v>
      </c>
      <c r="J664">
        <v>5</v>
      </c>
      <c r="K664">
        <v>10</v>
      </c>
      <c r="L664">
        <v>3</v>
      </c>
      <c r="M664">
        <v>0</v>
      </c>
      <c r="N664">
        <f>_xlfn.IFS(rounded[[#This Row],[social_interaction_level]] = "low", 1,rounded[[#This Row],[social_interaction_level]] = "medium", 2,rounded[[#This Row],[social_interaction_level]] = "high", 3)</f>
        <v>2</v>
      </c>
      <c r="O664">
        <f t="shared" si="10"/>
        <v>18</v>
      </c>
      <c r="P664" t="str" cm="1">
        <f t="array" ref="P664">_xlfn.SWITCH(rounded[[#This Row],[depression_label]], 0, "Not Depressed", 1, "Depressed")</f>
        <v>Not Depressed</v>
      </c>
      <c r="Q664" s="45" t="str" cm="1">
        <f t="array" ref="Q664">_xlfn.SWITCH(rounded[[#This Row],[gender]], "male", "Male", "female", "Female")</f>
        <v>Male</v>
      </c>
    </row>
    <row r="665" spans="1:17" x14ac:dyDescent="0.35">
      <c r="A665">
        <v>13</v>
      </c>
      <c r="B665" t="s">
        <v>16</v>
      </c>
      <c r="C665" s="4">
        <v>2.5</v>
      </c>
      <c r="D665" t="s">
        <v>14</v>
      </c>
      <c r="E665" s="4">
        <v>4.5999999999999996</v>
      </c>
      <c r="F665" s="4">
        <v>1.6</v>
      </c>
      <c r="G665">
        <v>3.22</v>
      </c>
      <c r="H665">
        <v>0.9</v>
      </c>
      <c r="I665" t="s">
        <v>19</v>
      </c>
      <c r="J665">
        <v>6</v>
      </c>
      <c r="K665">
        <v>4</v>
      </c>
      <c r="L665">
        <v>3</v>
      </c>
      <c r="M665">
        <v>0</v>
      </c>
      <c r="N665">
        <f>_xlfn.IFS(rounded[[#This Row],[social_interaction_level]] = "low", 1,rounded[[#This Row],[social_interaction_level]] = "medium", 2,rounded[[#This Row],[social_interaction_level]] = "high", 3)</f>
        <v>2</v>
      </c>
      <c r="O665">
        <f t="shared" si="10"/>
        <v>13</v>
      </c>
      <c r="P665" t="str" cm="1">
        <f t="array" ref="P665">_xlfn.SWITCH(rounded[[#This Row],[depression_label]], 0, "Not Depressed", 1, "Depressed")</f>
        <v>Not Depressed</v>
      </c>
      <c r="Q665" s="45" t="str" cm="1">
        <f t="array" ref="Q665">_xlfn.SWITCH(rounded[[#This Row],[gender]], "male", "Male", "female", "Female")</f>
        <v>Female</v>
      </c>
    </row>
    <row r="666" spans="1:17" x14ac:dyDescent="0.35">
      <c r="A666">
        <v>18</v>
      </c>
      <c r="B666" t="s">
        <v>13</v>
      </c>
      <c r="C666" s="4">
        <v>2.2000000000000002</v>
      </c>
      <c r="D666" t="s">
        <v>20</v>
      </c>
      <c r="E666" s="4">
        <v>4.5</v>
      </c>
      <c r="F666" s="4">
        <v>2</v>
      </c>
      <c r="G666">
        <v>2.4900000000000002</v>
      </c>
      <c r="H666">
        <v>0.8</v>
      </c>
      <c r="I666" t="s">
        <v>18</v>
      </c>
      <c r="J666">
        <v>1</v>
      </c>
      <c r="K666">
        <v>7</v>
      </c>
      <c r="L666">
        <v>6</v>
      </c>
      <c r="M666">
        <v>0</v>
      </c>
      <c r="N666">
        <f>_xlfn.IFS(rounded[[#This Row],[social_interaction_level]] = "low", 1,rounded[[#This Row],[social_interaction_level]] = "medium", 2,rounded[[#This Row],[social_interaction_level]] = "high", 3)</f>
        <v>3</v>
      </c>
      <c r="O666">
        <f t="shared" si="10"/>
        <v>14</v>
      </c>
      <c r="P666" t="str" cm="1">
        <f t="array" ref="P666">_xlfn.SWITCH(rounded[[#This Row],[depression_label]], 0, "Not Depressed", 1, "Depressed")</f>
        <v>Not Depressed</v>
      </c>
      <c r="Q666" s="45" t="str" cm="1">
        <f t="array" ref="Q666">_xlfn.SWITCH(rounded[[#This Row],[gender]], "male", "Male", "female", "Female")</f>
        <v>Male</v>
      </c>
    </row>
    <row r="667" spans="1:17" x14ac:dyDescent="0.35">
      <c r="A667">
        <v>16</v>
      </c>
      <c r="B667" t="s">
        <v>13</v>
      </c>
      <c r="C667" s="4">
        <v>4.0999999999999996</v>
      </c>
      <c r="D667" t="s">
        <v>20</v>
      </c>
      <c r="E667" s="4">
        <v>5.5</v>
      </c>
      <c r="F667" s="4">
        <v>1.9</v>
      </c>
      <c r="G667">
        <v>2.65</v>
      </c>
      <c r="H667">
        <v>1.5</v>
      </c>
      <c r="I667" t="s">
        <v>15</v>
      </c>
      <c r="J667">
        <v>5</v>
      </c>
      <c r="K667">
        <v>7</v>
      </c>
      <c r="L667">
        <v>9</v>
      </c>
      <c r="M667">
        <v>0</v>
      </c>
      <c r="N667">
        <f>_xlfn.IFS(rounded[[#This Row],[social_interaction_level]] = "low", 1,rounded[[#This Row],[social_interaction_level]] = "medium", 2,rounded[[#This Row],[social_interaction_level]] = "high", 3)</f>
        <v>1</v>
      </c>
      <c r="O667">
        <f t="shared" si="10"/>
        <v>21</v>
      </c>
      <c r="P667" t="str" cm="1">
        <f t="array" ref="P667">_xlfn.SWITCH(rounded[[#This Row],[depression_label]], 0, "Not Depressed", 1, "Depressed")</f>
        <v>Not Depressed</v>
      </c>
      <c r="Q667" s="45" t="str" cm="1">
        <f t="array" ref="Q667">_xlfn.SWITCH(rounded[[#This Row],[gender]], "male", "Male", "female", "Female")</f>
        <v>Male</v>
      </c>
    </row>
    <row r="668" spans="1:17" x14ac:dyDescent="0.35">
      <c r="A668">
        <v>16</v>
      </c>
      <c r="B668" t="s">
        <v>16</v>
      </c>
      <c r="C668" s="4">
        <v>2.8</v>
      </c>
      <c r="D668" t="s">
        <v>17</v>
      </c>
      <c r="E668" s="4">
        <v>7.4</v>
      </c>
      <c r="F668" s="4">
        <v>2</v>
      </c>
      <c r="G668">
        <v>3.4</v>
      </c>
      <c r="H668">
        <v>1.6</v>
      </c>
      <c r="I668" t="s">
        <v>15</v>
      </c>
      <c r="J668">
        <v>4</v>
      </c>
      <c r="K668">
        <v>1</v>
      </c>
      <c r="L668">
        <v>1</v>
      </c>
      <c r="M668">
        <v>0</v>
      </c>
      <c r="N668">
        <f>_xlfn.IFS(rounded[[#This Row],[social_interaction_level]] = "low", 1,rounded[[#This Row],[social_interaction_level]] = "medium", 2,rounded[[#This Row],[social_interaction_level]] = "high", 3)</f>
        <v>1</v>
      </c>
      <c r="O668">
        <f t="shared" si="10"/>
        <v>6</v>
      </c>
      <c r="P668" t="str" cm="1">
        <f t="array" ref="P668">_xlfn.SWITCH(rounded[[#This Row],[depression_label]], 0, "Not Depressed", 1, "Depressed")</f>
        <v>Not Depressed</v>
      </c>
      <c r="Q668" s="45" t="str" cm="1">
        <f t="array" ref="Q668">_xlfn.SWITCH(rounded[[#This Row],[gender]], "male", "Male", "female", "Female")</f>
        <v>Female</v>
      </c>
    </row>
    <row r="669" spans="1:17" x14ac:dyDescent="0.35">
      <c r="A669">
        <v>17</v>
      </c>
      <c r="B669" t="s">
        <v>16</v>
      </c>
      <c r="C669" s="4">
        <v>1.1000000000000001</v>
      </c>
      <c r="D669" t="s">
        <v>17</v>
      </c>
      <c r="E669" s="4">
        <v>8.1999999999999993</v>
      </c>
      <c r="F669" s="4">
        <v>2.7</v>
      </c>
      <c r="G669">
        <v>2.84</v>
      </c>
      <c r="H669">
        <v>0.2</v>
      </c>
      <c r="I669" t="s">
        <v>18</v>
      </c>
      <c r="J669">
        <v>2</v>
      </c>
      <c r="K669">
        <v>4</v>
      </c>
      <c r="L669">
        <v>1</v>
      </c>
      <c r="M669">
        <v>0</v>
      </c>
      <c r="N669">
        <f>_xlfn.IFS(rounded[[#This Row],[social_interaction_level]] = "low", 1,rounded[[#This Row],[social_interaction_level]] = "medium", 2,rounded[[#This Row],[social_interaction_level]] = "high", 3)</f>
        <v>3</v>
      </c>
      <c r="O669">
        <f t="shared" si="10"/>
        <v>7</v>
      </c>
      <c r="P669" t="str" cm="1">
        <f t="array" ref="P669">_xlfn.SWITCH(rounded[[#This Row],[depression_label]], 0, "Not Depressed", 1, "Depressed")</f>
        <v>Not Depressed</v>
      </c>
      <c r="Q669" s="45" t="str" cm="1">
        <f t="array" ref="Q669">_xlfn.SWITCH(rounded[[#This Row],[gender]], "male", "Male", "female", "Female")</f>
        <v>Female</v>
      </c>
    </row>
    <row r="670" spans="1:17" x14ac:dyDescent="0.35">
      <c r="A670">
        <v>13</v>
      </c>
      <c r="B670" t="s">
        <v>13</v>
      </c>
      <c r="C670" s="4">
        <v>7</v>
      </c>
      <c r="D670" t="s">
        <v>20</v>
      </c>
      <c r="E670" s="4">
        <v>5.7</v>
      </c>
      <c r="F670" s="4">
        <v>1.6</v>
      </c>
      <c r="G670">
        <v>3.45</v>
      </c>
      <c r="H670">
        <v>1.2</v>
      </c>
      <c r="I670" t="s">
        <v>19</v>
      </c>
      <c r="J670">
        <v>7</v>
      </c>
      <c r="K670">
        <v>1</v>
      </c>
      <c r="L670">
        <v>10</v>
      </c>
      <c r="M670">
        <v>0</v>
      </c>
      <c r="N670">
        <f>_xlfn.IFS(rounded[[#This Row],[social_interaction_level]] = "low", 1,rounded[[#This Row],[social_interaction_level]] = "medium", 2,rounded[[#This Row],[social_interaction_level]] = "high", 3)</f>
        <v>2</v>
      </c>
      <c r="O670">
        <f t="shared" si="10"/>
        <v>18</v>
      </c>
      <c r="P670" t="str" cm="1">
        <f t="array" ref="P670">_xlfn.SWITCH(rounded[[#This Row],[depression_label]], 0, "Not Depressed", 1, "Depressed")</f>
        <v>Not Depressed</v>
      </c>
      <c r="Q670" s="45" t="str" cm="1">
        <f t="array" ref="Q670">_xlfn.SWITCH(rounded[[#This Row],[gender]], "male", "Male", "female", "Female")</f>
        <v>Male</v>
      </c>
    </row>
    <row r="671" spans="1:17" x14ac:dyDescent="0.35">
      <c r="A671">
        <v>18</v>
      </c>
      <c r="B671" t="s">
        <v>13</v>
      </c>
      <c r="C671" s="4">
        <v>2.6</v>
      </c>
      <c r="D671" t="s">
        <v>17</v>
      </c>
      <c r="E671" s="4">
        <v>7.9</v>
      </c>
      <c r="F671" s="4">
        <v>2.2999999999999998</v>
      </c>
      <c r="G671">
        <v>2.4300000000000002</v>
      </c>
      <c r="H671">
        <v>0.1</v>
      </c>
      <c r="I671" t="s">
        <v>18</v>
      </c>
      <c r="J671">
        <v>5</v>
      </c>
      <c r="K671">
        <v>1</v>
      </c>
      <c r="L671">
        <v>6</v>
      </c>
      <c r="M671">
        <v>0</v>
      </c>
      <c r="N671">
        <f>_xlfn.IFS(rounded[[#This Row],[social_interaction_level]] = "low", 1,rounded[[#This Row],[social_interaction_level]] = "medium", 2,rounded[[#This Row],[social_interaction_level]] = "high", 3)</f>
        <v>3</v>
      </c>
      <c r="O671">
        <f t="shared" si="10"/>
        <v>12</v>
      </c>
      <c r="P671" t="str" cm="1">
        <f t="array" ref="P671">_xlfn.SWITCH(rounded[[#This Row],[depression_label]], 0, "Not Depressed", 1, "Depressed")</f>
        <v>Not Depressed</v>
      </c>
      <c r="Q671" s="45" t="str" cm="1">
        <f t="array" ref="Q671">_xlfn.SWITCH(rounded[[#This Row],[gender]], "male", "Male", "female", "Female")</f>
        <v>Male</v>
      </c>
    </row>
    <row r="672" spans="1:17" x14ac:dyDescent="0.35">
      <c r="A672">
        <v>13</v>
      </c>
      <c r="B672" t="s">
        <v>16</v>
      </c>
      <c r="C672" s="4">
        <v>2.6</v>
      </c>
      <c r="D672" t="s">
        <v>17</v>
      </c>
      <c r="E672" s="4">
        <v>6.1</v>
      </c>
      <c r="F672" s="4">
        <v>1.4</v>
      </c>
      <c r="G672">
        <v>2.11</v>
      </c>
      <c r="H672">
        <v>0.4</v>
      </c>
      <c r="I672" t="s">
        <v>18</v>
      </c>
      <c r="J672">
        <v>7</v>
      </c>
      <c r="K672">
        <v>5</v>
      </c>
      <c r="L672">
        <v>10</v>
      </c>
      <c r="M672">
        <v>0</v>
      </c>
      <c r="N672">
        <f>_xlfn.IFS(rounded[[#This Row],[social_interaction_level]] = "low", 1,rounded[[#This Row],[social_interaction_level]] = "medium", 2,rounded[[#This Row],[social_interaction_level]] = "high", 3)</f>
        <v>3</v>
      </c>
      <c r="O672">
        <f t="shared" si="10"/>
        <v>22</v>
      </c>
      <c r="P672" t="str" cm="1">
        <f t="array" ref="P672">_xlfn.SWITCH(rounded[[#This Row],[depression_label]], 0, "Not Depressed", 1, "Depressed")</f>
        <v>Not Depressed</v>
      </c>
      <c r="Q672" s="45" t="str" cm="1">
        <f t="array" ref="Q672">_xlfn.SWITCH(rounded[[#This Row],[gender]], "male", "Male", "female", "Female")</f>
        <v>Female</v>
      </c>
    </row>
    <row r="673" spans="1:17" x14ac:dyDescent="0.35">
      <c r="A673">
        <v>14</v>
      </c>
      <c r="B673" t="s">
        <v>13</v>
      </c>
      <c r="C673" s="4">
        <v>3.4</v>
      </c>
      <c r="D673" t="s">
        <v>14</v>
      </c>
      <c r="E673" s="4">
        <v>4.5999999999999996</v>
      </c>
      <c r="F673" s="4">
        <v>2</v>
      </c>
      <c r="G673">
        <v>2.27</v>
      </c>
      <c r="H673">
        <v>1.9</v>
      </c>
      <c r="I673" t="s">
        <v>18</v>
      </c>
      <c r="J673">
        <v>7</v>
      </c>
      <c r="K673">
        <v>10</v>
      </c>
      <c r="L673">
        <v>6</v>
      </c>
      <c r="M673">
        <v>0</v>
      </c>
      <c r="N673">
        <f>_xlfn.IFS(rounded[[#This Row],[social_interaction_level]] = "low", 1,rounded[[#This Row],[social_interaction_level]] = "medium", 2,rounded[[#This Row],[social_interaction_level]] = "high", 3)</f>
        <v>3</v>
      </c>
      <c r="O673">
        <f t="shared" si="10"/>
        <v>23</v>
      </c>
      <c r="P673" t="str" cm="1">
        <f t="array" ref="P673">_xlfn.SWITCH(rounded[[#This Row],[depression_label]], 0, "Not Depressed", 1, "Depressed")</f>
        <v>Not Depressed</v>
      </c>
      <c r="Q673" s="45" t="str" cm="1">
        <f t="array" ref="Q673">_xlfn.SWITCH(rounded[[#This Row],[gender]], "male", "Male", "female", "Female")</f>
        <v>Male</v>
      </c>
    </row>
    <row r="674" spans="1:17" x14ac:dyDescent="0.35">
      <c r="A674">
        <v>14</v>
      </c>
      <c r="B674" t="s">
        <v>13</v>
      </c>
      <c r="C674" s="4">
        <v>7.9</v>
      </c>
      <c r="D674" t="s">
        <v>14</v>
      </c>
      <c r="E674" s="4">
        <v>5.7</v>
      </c>
      <c r="F674" s="4">
        <v>1.6</v>
      </c>
      <c r="G674">
        <v>3.67</v>
      </c>
      <c r="H674">
        <v>0.6</v>
      </c>
      <c r="I674" t="s">
        <v>19</v>
      </c>
      <c r="J674">
        <v>4</v>
      </c>
      <c r="K674">
        <v>3</v>
      </c>
      <c r="L674">
        <v>4</v>
      </c>
      <c r="M674">
        <v>0</v>
      </c>
      <c r="N674">
        <f>_xlfn.IFS(rounded[[#This Row],[social_interaction_level]] = "low", 1,rounded[[#This Row],[social_interaction_level]] = "medium", 2,rounded[[#This Row],[social_interaction_level]] = "high", 3)</f>
        <v>2</v>
      </c>
      <c r="O674">
        <f t="shared" si="10"/>
        <v>11</v>
      </c>
      <c r="P674" t="str" cm="1">
        <f t="array" ref="P674">_xlfn.SWITCH(rounded[[#This Row],[depression_label]], 0, "Not Depressed", 1, "Depressed")</f>
        <v>Not Depressed</v>
      </c>
      <c r="Q674" s="45" t="str" cm="1">
        <f t="array" ref="Q674">_xlfn.SWITCH(rounded[[#This Row],[gender]], "male", "Male", "female", "Female")</f>
        <v>Male</v>
      </c>
    </row>
    <row r="675" spans="1:17" x14ac:dyDescent="0.35">
      <c r="A675">
        <v>13</v>
      </c>
      <c r="B675" t="s">
        <v>13</v>
      </c>
      <c r="C675" s="4">
        <v>5.0999999999999996</v>
      </c>
      <c r="D675" t="s">
        <v>17</v>
      </c>
      <c r="E675" s="4">
        <v>5.3</v>
      </c>
      <c r="F675" s="4">
        <v>2.6</v>
      </c>
      <c r="G675">
        <v>2.95</v>
      </c>
      <c r="H675">
        <v>1.2</v>
      </c>
      <c r="I675" t="s">
        <v>19</v>
      </c>
      <c r="J675">
        <v>2</v>
      </c>
      <c r="K675">
        <v>6</v>
      </c>
      <c r="L675">
        <v>10</v>
      </c>
      <c r="M675">
        <v>0</v>
      </c>
      <c r="N675">
        <f>_xlfn.IFS(rounded[[#This Row],[social_interaction_level]] = "low", 1,rounded[[#This Row],[social_interaction_level]] = "medium", 2,rounded[[#This Row],[social_interaction_level]] = "high", 3)</f>
        <v>2</v>
      </c>
      <c r="O675">
        <f t="shared" si="10"/>
        <v>18</v>
      </c>
      <c r="P675" t="str" cm="1">
        <f t="array" ref="P675">_xlfn.SWITCH(rounded[[#This Row],[depression_label]], 0, "Not Depressed", 1, "Depressed")</f>
        <v>Not Depressed</v>
      </c>
      <c r="Q675" s="45" t="str" cm="1">
        <f t="array" ref="Q675">_xlfn.SWITCH(rounded[[#This Row],[gender]], "male", "Male", "female", "Female")</f>
        <v>Male</v>
      </c>
    </row>
    <row r="676" spans="1:17" x14ac:dyDescent="0.35">
      <c r="A676">
        <v>13</v>
      </c>
      <c r="B676" t="s">
        <v>16</v>
      </c>
      <c r="C676" s="4">
        <v>2.8</v>
      </c>
      <c r="D676" t="s">
        <v>20</v>
      </c>
      <c r="E676" s="4">
        <v>6.4</v>
      </c>
      <c r="F676" s="4">
        <v>1.4</v>
      </c>
      <c r="G676">
        <v>2.38</v>
      </c>
      <c r="H676">
        <v>1.4</v>
      </c>
      <c r="I676" t="s">
        <v>19</v>
      </c>
      <c r="J676">
        <v>4</v>
      </c>
      <c r="K676">
        <v>8</v>
      </c>
      <c r="L676">
        <v>10</v>
      </c>
      <c r="M676">
        <v>0</v>
      </c>
      <c r="N676">
        <f>_xlfn.IFS(rounded[[#This Row],[social_interaction_level]] = "low", 1,rounded[[#This Row],[social_interaction_level]] = "medium", 2,rounded[[#This Row],[social_interaction_level]] = "high", 3)</f>
        <v>2</v>
      </c>
      <c r="O676">
        <f t="shared" si="10"/>
        <v>22</v>
      </c>
      <c r="P676" t="str" cm="1">
        <f t="array" ref="P676">_xlfn.SWITCH(rounded[[#This Row],[depression_label]], 0, "Not Depressed", 1, "Depressed")</f>
        <v>Not Depressed</v>
      </c>
      <c r="Q676" s="45" t="str" cm="1">
        <f t="array" ref="Q676">_xlfn.SWITCH(rounded[[#This Row],[gender]], "male", "Male", "female", "Female")</f>
        <v>Female</v>
      </c>
    </row>
    <row r="677" spans="1:17" x14ac:dyDescent="0.35">
      <c r="A677">
        <v>19</v>
      </c>
      <c r="B677" t="s">
        <v>16</v>
      </c>
      <c r="C677" s="4">
        <v>3.4</v>
      </c>
      <c r="D677" t="s">
        <v>17</v>
      </c>
      <c r="E677" s="4">
        <v>4.3</v>
      </c>
      <c r="F677" s="4">
        <v>0.7</v>
      </c>
      <c r="G677">
        <v>2.17</v>
      </c>
      <c r="H677">
        <v>0.7</v>
      </c>
      <c r="I677" t="s">
        <v>18</v>
      </c>
      <c r="J677">
        <v>3</v>
      </c>
      <c r="K677">
        <v>1</v>
      </c>
      <c r="L677">
        <v>4</v>
      </c>
      <c r="M677">
        <v>0</v>
      </c>
      <c r="N677">
        <f>_xlfn.IFS(rounded[[#This Row],[social_interaction_level]] = "low", 1,rounded[[#This Row],[social_interaction_level]] = "medium", 2,rounded[[#This Row],[social_interaction_level]] = "high", 3)</f>
        <v>3</v>
      </c>
      <c r="O677">
        <f t="shared" si="10"/>
        <v>8</v>
      </c>
      <c r="P677" t="str" cm="1">
        <f t="array" ref="P677">_xlfn.SWITCH(rounded[[#This Row],[depression_label]], 0, "Not Depressed", 1, "Depressed")</f>
        <v>Not Depressed</v>
      </c>
      <c r="Q677" s="45" t="str" cm="1">
        <f t="array" ref="Q677">_xlfn.SWITCH(rounded[[#This Row],[gender]], "male", "Male", "female", "Female")</f>
        <v>Female</v>
      </c>
    </row>
    <row r="678" spans="1:17" x14ac:dyDescent="0.35">
      <c r="A678">
        <v>18</v>
      </c>
      <c r="B678" t="s">
        <v>13</v>
      </c>
      <c r="C678" s="4">
        <v>6.3</v>
      </c>
      <c r="D678" t="s">
        <v>20</v>
      </c>
      <c r="E678" s="4">
        <v>6.9</v>
      </c>
      <c r="F678" s="4">
        <v>1</v>
      </c>
      <c r="G678">
        <v>3.22</v>
      </c>
      <c r="H678">
        <v>0.8</v>
      </c>
      <c r="I678" t="s">
        <v>19</v>
      </c>
      <c r="J678">
        <v>4</v>
      </c>
      <c r="K678">
        <v>6</v>
      </c>
      <c r="L678">
        <v>1</v>
      </c>
      <c r="M678">
        <v>0</v>
      </c>
      <c r="N678">
        <f>_xlfn.IFS(rounded[[#This Row],[social_interaction_level]] = "low", 1,rounded[[#This Row],[social_interaction_level]] = "medium", 2,rounded[[#This Row],[social_interaction_level]] = "high", 3)</f>
        <v>2</v>
      </c>
      <c r="O678">
        <f t="shared" si="10"/>
        <v>11</v>
      </c>
      <c r="P678" t="str" cm="1">
        <f t="array" ref="P678">_xlfn.SWITCH(rounded[[#This Row],[depression_label]], 0, "Not Depressed", 1, "Depressed")</f>
        <v>Not Depressed</v>
      </c>
      <c r="Q678" s="45" t="str" cm="1">
        <f t="array" ref="Q678">_xlfn.SWITCH(rounded[[#This Row],[gender]], "male", "Male", "female", "Female")</f>
        <v>Male</v>
      </c>
    </row>
    <row r="679" spans="1:17" x14ac:dyDescent="0.35">
      <c r="A679">
        <v>17</v>
      </c>
      <c r="B679" t="s">
        <v>16</v>
      </c>
      <c r="C679" s="4">
        <v>1.1000000000000001</v>
      </c>
      <c r="D679" t="s">
        <v>17</v>
      </c>
      <c r="E679" s="4">
        <v>4.5999999999999996</v>
      </c>
      <c r="F679" s="4">
        <v>2.5</v>
      </c>
      <c r="G679">
        <v>3.93</v>
      </c>
      <c r="H679">
        <v>0.3</v>
      </c>
      <c r="I679" t="s">
        <v>18</v>
      </c>
      <c r="J679">
        <v>10</v>
      </c>
      <c r="K679">
        <v>6</v>
      </c>
      <c r="L679">
        <v>2</v>
      </c>
      <c r="M679">
        <v>0</v>
      </c>
      <c r="N679">
        <f>_xlfn.IFS(rounded[[#This Row],[social_interaction_level]] = "low", 1,rounded[[#This Row],[social_interaction_level]] = "medium", 2,rounded[[#This Row],[social_interaction_level]] = "high", 3)</f>
        <v>3</v>
      </c>
      <c r="O679">
        <f t="shared" si="10"/>
        <v>18</v>
      </c>
      <c r="P679" t="str" cm="1">
        <f t="array" ref="P679">_xlfn.SWITCH(rounded[[#This Row],[depression_label]], 0, "Not Depressed", 1, "Depressed")</f>
        <v>Not Depressed</v>
      </c>
      <c r="Q679" s="45" t="str" cm="1">
        <f t="array" ref="Q679">_xlfn.SWITCH(rounded[[#This Row],[gender]], "male", "Male", "female", "Female")</f>
        <v>Female</v>
      </c>
    </row>
    <row r="680" spans="1:17" x14ac:dyDescent="0.35">
      <c r="A680">
        <v>19</v>
      </c>
      <c r="B680" t="s">
        <v>13</v>
      </c>
      <c r="C680" s="4">
        <v>3.8</v>
      </c>
      <c r="D680" t="s">
        <v>14</v>
      </c>
      <c r="E680" s="4">
        <v>7.1</v>
      </c>
      <c r="F680" s="4">
        <v>2.5</v>
      </c>
      <c r="G680">
        <v>3.81</v>
      </c>
      <c r="H680">
        <v>0.9</v>
      </c>
      <c r="I680" t="s">
        <v>15</v>
      </c>
      <c r="J680">
        <v>6</v>
      </c>
      <c r="K680">
        <v>9</v>
      </c>
      <c r="L680">
        <v>4</v>
      </c>
      <c r="M680">
        <v>0</v>
      </c>
      <c r="N680">
        <f>_xlfn.IFS(rounded[[#This Row],[social_interaction_level]] = "low", 1,rounded[[#This Row],[social_interaction_level]] = "medium", 2,rounded[[#This Row],[social_interaction_level]] = "high", 3)</f>
        <v>1</v>
      </c>
      <c r="O680">
        <f t="shared" si="10"/>
        <v>19</v>
      </c>
      <c r="P680" t="str" cm="1">
        <f t="array" ref="P680">_xlfn.SWITCH(rounded[[#This Row],[depression_label]], 0, "Not Depressed", 1, "Depressed")</f>
        <v>Not Depressed</v>
      </c>
      <c r="Q680" s="45" t="str" cm="1">
        <f t="array" ref="Q680">_xlfn.SWITCH(rounded[[#This Row],[gender]], "male", "Male", "female", "Female")</f>
        <v>Male</v>
      </c>
    </row>
    <row r="681" spans="1:17" x14ac:dyDescent="0.35">
      <c r="A681">
        <v>13</v>
      </c>
      <c r="B681" t="s">
        <v>13</v>
      </c>
      <c r="C681" s="4">
        <v>2.1</v>
      </c>
      <c r="D681" t="s">
        <v>14</v>
      </c>
      <c r="E681" s="4">
        <v>4.0999999999999996</v>
      </c>
      <c r="F681" s="4">
        <v>1.6</v>
      </c>
      <c r="G681">
        <v>2.12</v>
      </c>
      <c r="H681">
        <v>1.8</v>
      </c>
      <c r="I681" t="s">
        <v>18</v>
      </c>
      <c r="J681">
        <v>10</v>
      </c>
      <c r="K681">
        <v>9</v>
      </c>
      <c r="L681">
        <v>6</v>
      </c>
      <c r="M681">
        <v>0</v>
      </c>
      <c r="N681">
        <f>_xlfn.IFS(rounded[[#This Row],[social_interaction_level]] = "low", 1,rounded[[#This Row],[social_interaction_level]] = "medium", 2,rounded[[#This Row],[social_interaction_level]] = "high", 3)</f>
        <v>3</v>
      </c>
      <c r="O681">
        <f t="shared" si="10"/>
        <v>25</v>
      </c>
      <c r="P681" t="str" cm="1">
        <f t="array" ref="P681">_xlfn.SWITCH(rounded[[#This Row],[depression_label]], 0, "Not Depressed", 1, "Depressed")</f>
        <v>Not Depressed</v>
      </c>
      <c r="Q681" s="45" t="str" cm="1">
        <f t="array" ref="Q681">_xlfn.SWITCH(rounded[[#This Row],[gender]], "male", "Male", "female", "Female")</f>
        <v>Male</v>
      </c>
    </row>
    <row r="682" spans="1:17" x14ac:dyDescent="0.35">
      <c r="A682">
        <v>17</v>
      </c>
      <c r="B682" t="s">
        <v>16</v>
      </c>
      <c r="C682" s="4">
        <v>6.2</v>
      </c>
      <c r="D682" t="s">
        <v>20</v>
      </c>
      <c r="E682" s="4">
        <v>6.1</v>
      </c>
      <c r="F682" s="4">
        <v>2.4</v>
      </c>
      <c r="G682">
        <v>3.05</v>
      </c>
      <c r="H682">
        <v>1.8</v>
      </c>
      <c r="I682" t="s">
        <v>18</v>
      </c>
      <c r="J682">
        <v>3</v>
      </c>
      <c r="K682">
        <v>6</v>
      </c>
      <c r="L682">
        <v>8</v>
      </c>
      <c r="M682">
        <v>0</v>
      </c>
      <c r="N682">
        <f>_xlfn.IFS(rounded[[#This Row],[social_interaction_level]] = "low", 1,rounded[[#This Row],[social_interaction_level]] = "medium", 2,rounded[[#This Row],[social_interaction_level]] = "high", 3)</f>
        <v>3</v>
      </c>
      <c r="O682">
        <f t="shared" si="10"/>
        <v>17</v>
      </c>
      <c r="P682" t="str" cm="1">
        <f t="array" ref="P682">_xlfn.SWITCH(rounded[[#This Row],[depression_label]], 0, "Not Depressed", 1, "Depressed")</f>
        <v>Not Depressed</v>
      </c>
      <c r="Q682" s="45" t="str" cm="1">
        <f t="array" ref="Q682">_xlfn.SWITCH(rounded[[#This Row],[gender]], "male", "Male", "female", "Female")</f>
        <v>Female</v>
      </c>
    </row>
    <row r="683" spans="1:17" x14ac:dyDescent="0.35">
      <c r="A683">
        <v>19</v>
      </c>
      <c r="B683" t="s">
        <v>13</v>
      </c>
      <c r="C683" s="4">
        <v>6.8</v>
      </c>
      <c r="D683" t="s">
        <v>14</v>
      </c>
      <c r="E683" s="4">
        <v>8.4</v>
      </c>
      <c r="F683" s="4">
        <v>2.1</v>
      </c>
      <c r="G683">
        <v>3.15</v>
      </c>
      <c r="H683">
        <v>2</v>
      </c>
      <c r="I683" t="s">
        <v>19</v>
      </c>
      <c r="J683">
        <v>4</v>
      </c>
      <c r="K683">
        <v>10</v>
      </c>
      <c r="L683">
        <v>1</v>
      </c>
      <c r="M683">
        <v>0</v>
      </c>
      <c r="N683">
        <f>_xlfn.IFS(rounded[[#This Row],[social_interaction_level]] = "low", 1,rounded[[#This Row],[social_interaction_level]] = "medium", 2,rounded[[#This Row],[social_interaction_level]] = "high", 3)</f>
        <v>2</v>
      </c>
      <c r="O683">
        <f t="shared" si="10"/>
        <v>15</v>
      </c>
      <c r="P683" t="str" cm="1">
        <f t="array" ref="P683">_xlfn.SWITCH(rounded[[#This Row],[depression_label]], 0, "Not Depressed", 1, "Depressed")</f>
        <v>Not Depressed</v>
      </c>
      <c r="Q683" s="45" t="str" cm="1">
        <f t="array" ref="Q683">_xlfn.SWITCH(rounded[[#This Row],[gender]], "male", "Male", "female", "Female")</f>
        <v>Male</v>
      </c>
    </row>
    <row r="684" spans="1:17" x14ac:dyDescent="0.35">
      <c r="A684">
        <v>14</v>
      </c>
      <c r="B684" t="s">
        <v>13</v>
      </c>
      <c r="C684" s="4">
        <v>5.2</v>
      </c>
      <c r="D684" t="s">
        <v>14</v>
      </c>
      <c r="E684" s="4">
        <v>5.5</v>
      </c>
      <c r="F684" s="4">
        <v>1.6</v>
      </c>
      <c r="G684">
        <v>3.08</v>
      </c>
      <c r="H684">
        <v>0.5</v>
      </c>
      <c r="I684" t="s">
        <v>19</v>
      </c>
      <c r="J684">
        <v>3</v>
      </c>
      <c r="K684">
        <v>8</v>
      </c>
      <c r="L684">
        <v>1</v>
      </c>
      <c r="M684">
        <v>0</v>
      </c>
      <c r="N684">
        <f>_xlfn.IFS(rounded[[#This Row],[social_interaction_level]] = "low", 1,rounded[[#This Row],[social_interaction_level]] = "medium", 2,rounded[[#This Row],[social_interaction_level]] = "high", 3)</f>
        <v>2</v>
      </c>
      <c r="O684">
        <f t="shared" si="10"/>
        <v>12</v>
      </c>
      <c r="P684" t="str" cm="1">
        <f t="array" ref="P684">_xlfn.SWITCH(rounded[[#This Row],[depression_label]], 0, "Not Depressed", 1, "Depressed")</f>
        <v>Not Depressed</v>
      </c>
      <c r="Q684" s="45" t="str" cm="1">
        <f t="array" ref="Q684">_xlfn.SWITCH(rounded[[#This Row],[gender]], "male", "Male", "female", "Female")</f>
        <v>Male</v>
      </c>
    </row>
    <row r="685" spans="1:17" x14ac:dyDescent="0.35">
      <c r="A685">
        <v>15</v>
      </c>
      <c r="B685" t="s">
        <v>13</v>
      </c>
      <c r="C685" s="4">
        <v>3.7</v>
      </c>
      <c r="D685" t="s">
        <v>20</v>
      </c>
      <c r="E685" s="4">
        <v>4</v>
      </c>
      <c r="F685" s="4">
        <v>0.9</v>
      </c>
      <c r="G685">
        <v>3</v>
      </c>
      <c r="H685">
        <v>1.4</v>
      </c>
      <c r="I685" t="s">
        <v>19</v>
      </c>
      <c r="J685">
        <v>1</v>
      </c>
      <c r="K685">
        <v>8</v>
      </c>
      <c r="L685">
        <v>10</v>
      </c>
      <c r="M685">
        <v>0</v>
      </c>
      <c r="N685">
        <f>_xlfn.IFS(rounded[[#This Row],[social_interaction_level]] = "low", 1,rounded[[#This Row],[social_interaction_level]] = "medium", 2,rounded[[#This Row],[social_interaction_level]] = "high", 3)</f>
        <v>2</v>
      </c>
      <c r="O685">
        <f t="shared" si="10"/>
        <v>19</v>
      </c>
      <c r="P685" t="str" cm="1">
        <f t="array" ref="P685">_xlfn.SWITCH(rounded[[#This Row],[depression_label]], 0, "Not Depressed", 1, "Depressed")</f>
        <v>Not Depressed</v>
      </c>
      <c r="Q685" s="45" t="str" cm="1">
        <f t="array" ref="Q685">_xlfn.SWITCH(rounded[[#This Row],[gender]], "male", "Male", "female", "Female")</f>
        <v>Male</v>
      </c>
    </row>
    <row r="686" spans="1:17" x14ac:dyDescent="0.35">
      <c r="A686">
        <v>19</v>
      </c>
      <c r="B686" t="s">
        <v>13</v>
      </c>
      <c r="C686" s="4">
        <v>2.4</v>
      </c>
      <c r="D686" t="s">
        <v>20</v>
      </c>
      <c r="E686" s="4">
        <v>7.5</v>
      </c>
      <c r="F686" s="4">
        <v>1.8</v>
      </c>
      <c r="G686">
        <v>2.35</v>
      </c>
      <c r="H686">
        <v>1.4</v>
      </c>
      <c r="I686" t="s">
        <v>15</v>
      </c>
      <c r="J686">
        <v>3</v>
      </c>
      <c r="K686">
        <v>8</v>
      </c>
      <c r="L686">
        <v>6</v>
      </c>
      <c r="M686">
        <v>0</v>
      </c>
      <c r="N686">
        <f>_xlfn.IFS(rounded[[#This Row],[social_interaction_level]] = "low", 1,rounded[[#This Row],[social_interaction_level]] = "medium", 2,rounded[[#This Row],[social_interaction_level]] = "high", 3)</f>
        <v>1</v>
      </c>
      <c r="O686">
        <f t="shared" si="10"/>
        <v>17</v>
      </c>
      <c r="P686" t="str" cm="1">
        <f t="array" ref="P686">_xlfn.SWITCH(rounded[[#This Row],[depression_label]], 0, "Not Depressed", 1, "Depressed")</f>
        <v>Not Depressed</v>
      </c>
      <c r="Q686" s="45" t="str" cm="1">
        <f t="array" ref="Q686">_xlfn.SWITCH(rounded[[#This Row],[gender]], "male", "Male", "female", "Female")</f>
        <v>Male</v>
      </c>
    </row>
    <row r="687" spans="1:17" x14ac:dyDescent="0.35">
      <c r="A687">
        <v>13</v>
      </c>
      <c r="B687" t="s">
        <v>13</v>
      </c>
      <c r="C687" s="4">
        <v>2.1</v>
      </c>
      <c r="D687" t="s">
        <v>17</v>
      </c>
      <c r="E687" s="4">
        <v>5.8</v>
      </c>
      <c r="F687" s="4">
        <v>2.7</v>
      </c>
      <c r="G687">
        <v>3.83</v>
      </c>
      <c r="H687">
        <v>1.9</v>
      </c>
      <c r="I687" t="s">
        <v>15</v>
      </c>
      <c r="J687">
        <v>4</v>
      </c>
      <c r="K687">
        <v>6</v>
      </c>
      <c r="L687">
        <v>6</v>
      </c>
      <c r="M687">
        <v>0</v>
      </c>
      <c r="N687">
        <f>_xlfn.IFS(rounded[[#This Row],[social_interaction_level]] = "low", 1,rounded[[#This Row],[social_interaction_level]] = "medium", 2,rounded[[#This Row],[social_interaction_level]] = "high", 3)</f>
        <v>1</v>
      </c>
      <c r="O687">
        <f t="shared" si="10"/>
        <v>16</v>
      </c>
      <c r="P687" t="str" cm="1">
        <f t="array" ref="P687">_xlfn.SWITCH(rounded[[#This Row],[depression_label]], 0, "Not Depressed", 1, "Depressed")</f>
        <v>Not Depressed</v>
      </c>
      <c r="Q687" s="45" t="str" cm="1">
        <f t="array" ref="Q687">_xlfn.SWITCH(rounded[[#This Row],[gender]], "male", "Male", "female", "Female")</f>
        <v>Male</v>
      </c>
    </row>
    <row r="688" spans="1:17" x14ac:dyDescent="0.35">
      <c r="A688">
        <v>17</v>
      </c>
      <c r="B688" t="s">
        <v>16</v>
      </c>
      <c r="C688" s="4">
        <v>2.6</v>
      </c>
      <c r="D688" t="s">
        <v>17</v>
      </c>
      <c r="E688" s="4">
        <v>4.2</v>
      </c>
      <c r="F688" s="4">
        <v>0.7</v>
      </c>
      <c r="G688">
        <v>3.02</v>
      </c>
      <c r="H688">
        <v>1.6</v>
      </c>
      <c r="I688" t="s">
        <v>15</v>
      </c>
      <c r="J688">
        <v>7</v>
      </c>
      <c r="K688">
        <v>4</v>
      </c>
      <c r="L688">
        <v>7</v>
      </c>
      <c r="M688">
        <v>0</v>
      </c>
      <c r="N688">
        <f>_xlfn.IFS(rounded[[#This Row],[social_interaction_level]] = "low", 1,rounded[[#This Row],[social_interaction_level]] = "medium", 2,rounded[[#This Row],[social_interaction_level]] = "high", 3)</f>
        <v>1</v>
      </c>
      <c r="O688">
        <f t="shared" si="10"/>
        <v>18</v>
      </c>
      <c r="P688" t="str" cm="1">
        <f t="array" ref="P688">_xlfn.SWITCH(rounded[[#This Row],[depression_label]], 0, "Not Depressed", 1, "Depressed")</f>
        <v>Not Depressed</v>
      </c>
      <c r="Q688" s="45" t="str" cm="1">
        <f t="array" ref="Q688">_xlfn.SWITCH(rounded[[#This Row],[gender]], "male", "Male", "female", "Female")</f>
        <v>Female</v>
      </c>
    </row>
    <row r="689" spans="1:17" x14ac:dyDescent="0.35">
      <c r="A689">
        <v>19</v>
      </c>
      <c r="B689" t="s">
        <v>13</v>
      </c>
      <c r="C689" s="4">
        <v>6.5</v>
      </c>
      <c r="D689" t="s">
        <v>14</v>
      </c>
      <c r="E689" s="4">
        <v>6</v>
      </c>
      <c r="F689" s="4">
        <v>1.5</v>
      </c>
      <c r="G689">
        <v>2.12</v>
      </c>
      <c r="H689">
        <v>1.7</v>
      </c>
      <c r="I689" t="s">
        <v>19</v>
      </c>
      <c r="J689">
        <v>8</v>
      </c>
      <c r="K689">
        <v>5</v>
      </c>
      <c r="L689">
        <v>7</v>
      </c>
      <c r="M689">
        <v>0</v>
      </c>
      <c r="N689">
        <f>_xlfn.IFS(rounded[[#This Row],[social_interaction_level]] = "low", 1,rounded[[#This Row],[social_interaction_level]] = "medium", 2,rounded[[#This Row],[social_interaction_level]] = "high", 3)</f>
        <v>2</v>
      </c>
      <c r="O689">
        <f t="shared" si="10"/>
        <v>20</v>
      </c>
      <c r="P689" t="str" cm="1">
        <f t="array" ref="P689">_xlfn.SWITCH(rounded[[#This Row],[depression_label]], 0, "Not Depressed", 1, "Depressed")</f>
        <v>Not Depressed</v>
      </c>
      <c r="Q689" s="45" t="str" cm="1">
        <f t="array" ref="Q689">_xlfn.SWITCH(rounded[[#This Row],[gender]], "male", "Male", "female", "Female")</f>
        <v>Male</v>
      </c>
    </row>
    <row r="690" spans="1:17" x14ac:dyDescent="0.35">
      <c r="A690">
        <v>16</v>
      </c>
      <c r="B690" t="s">
        <v>16</v>
      </c>
      <c r="C690" s="4">
        <v>3.4</v>
      </c>
      <c r="D690" t="s">
        <v>14</v>
      </c>
      <c r="E690" s="4">
        <v>5.3</v>
      </c>
      <c r="F690" s="4">
        <v>1.8</v>
      </c>
      <c r="G690">
        <v>3.33</v>
      </c>
      <c r="H690">
        <v>0.3</v>
      </c>
      <c r="I690" t="s">
        <v>15</v>
      </c>
      <c r="J690">
        <v>9</v>
      </c>
      <c r="K690">
        <v>2</v>
      </c>
      <c r="L690">
        <v>4</v>
      </c>
      <c r="M690">
        <v>0</v>
      </c>
      <c r="N690">
        <f>_xlfn.IFS(rounded[[#This Row],[social_interaction_level]] = "low", 1,rounded[[#This Row],[social_interaction_level]] = "medium", 2,rounded[[#This Row],[social_interaction_level]] = "high", 3)</f>
        <v>1</v>
      </c>
      <c r="O690">
        <f t="shared" si="10"/>
        <v>15</v>
      </c>
      <c r="P690" t="str" cm="1">
        <f t="array" ref="P690">_xlfn.SWITCH(rounded[[#This Row],[depression_label]], 0, "Not Depressed", 1, "Depressed")</f>
        <v>Not Depressed</v>
      </c>
      <c r="Q690" s="45" t="str" cm="1">
        <f t="array" ref="Q690">_xlfn.SWITCH(rounded[[#This Row],[gender]], "male", "Male", "female", "Female")</f>
        <v>Female</v>
      </c>
    </row>
    <row r="691" spans="1:17" x14ac:dyDescent="0.35">
      <c r="A691">
        <v>16</v>
      </c>
      <c r="B691" t="s">
        <v>13</v>
      </c>
      <c r="C691" s="4">
        <v>1.7</v>
      </c>
      <c r="D691" t="s">
        <v>20</v>
      </c>
      <c r="E691" s="4">
        <v>4.3</v>
      </c>
      <c r="F691" s="4">
        <v>1.4</v>
      </c>
      <c r="G691">
        <v>3.27</v>
      </c>
      <c r="H691">
        <v>1.2</v>
      </c>
      <c r="I691" t="s">
        <v>19</v>
      </c>
      <c r="J691">
        <v>10</v>
      </c>
      <c r="K691">
        <v>4</v>
      </c>
      <c r="L691">
        <v>10</v>
      </c>
      <c r="M691">
        <v>0</v>
      </c>
      <c r="N691">
        <f>_xlfn.IFS(rounded[[#This Row],[social_interaction_level]] = "low", 1,rounded[[#This Row],[social_interaction_level]] = "medium", 2,rounded[[#This Row],[social_interaction_level]] = "high", 3)</f>
        <v>2</v>
      </c>
      <c r="O691">
        <f t="shared" si="10"/>
        <v>24</v>
      </c>
      <c r="P691" t="str" cm="1">
        <f t="array" ref="P691">_xlfn.SWITCH(rounded[[#This Row],[depression_label]], 0, "Not Depressed", 1, "Depressed")</f>
        <v>Not Depressed</v>
      </c>
      <c r="Q691" s="45" t="str" cm="1">
        <f t="array" ref="Q691">_xlfn.SWITCH(rounded[[#This Row],[gender]], "male", "Male", "female", "Female")</f>
        <v>Male</v>
      </c>
    </row>
    <row r="692" spans="1:17" x14ac:dyDescent="0.35">
      <c r="A692">
        <v>13</v>
      </c>
      <c r="B692" t="s">
        <v>13</v>
      </c>
      <c r="C692" s="4">
        <v>5.6</v>
      </c>
      <c r="D692" t="s">
        <v>20</v>
      </c>
      <c r="E692" s="4">
        <v>4.4000000000000004</v>
      </c>
      <c r="F692" s="4">
        <v>2.9</v>
      </c>
      <c r="G692">
        <v>3.19</v>
      </c>
      <c r="H692">
        <v>0.9</v>
      </c>
      <c r="I692" t="s">
        <v>19</v>
      </c>
      <c r="J692">
        <v>6</v>
      </c>
      <c r="K692">
        <v>3</v>
      </c>
      <c r="L692">
        <v>4</v>
      </c>
      <c r="M692">
        <v>0</v>
      </c>
      <c r="N692">
        <f>_xlfn.IFS(rounded[[#This Row],[social_interaction_level]] = "low", 1,rounded[[#This Row],[social_interaction_level]] = "medium", 2,rounded[[#This Row],[social_interaction_level]] = "high", 3)</f>
        <v>2</v>
      </c>
      <c r="O692">
        <f t="shared" si="10"/>
        <v>13</v>
      </c>
      <c r="P692" t="str" cm="1">
        <f t="array" ref="P692">_xlfn.SWITCH(rounded[[#This Row],[depression_label]], 0, "Not Depressed", 1, "Depressed")</f>
        <v>Not Depressed</v>
      </c>
      <c r="Q692" s="45" t="str" cm="1">
        <f t="array" ref="Q692">_xlfn.SWITCH(rounded[[#This Row],[gender]], "male", "Male", "female", "Female")</f>
        <v>Male</v>
      </c>
    </row>
    <row r="693" spans="1:17" x14ac:dyDescent="0.35">
      <c r="A693">
        <v>15</v>
      </c>
      <c r="B693" t="s">
        <v>16</v>
      </c>
      <c r="C693" s="4">
        <v>8</v>
      </c>
      <c r="D693" t="s">
        <v>20</v>
      </c>
      <c r="E693" s="4">
        <v>5.7</v>
      </c>
      <c r="F693" s="4">
        <v>1.3</v>
      </c>
      <c r="G693">
        <v>3.54</v>
      </c>
      <c r="H693">
        <v>0.1</v>
      </c>
      <c r="I693" t="s">
        <v>18</v>
      </c>
      <c r="J693">
        <v>9</v>
      </c>
      <c r="K693">
        <v>7</v>
      </c>
      <c r="L693">
        <v>5</v>
      </c>
      <c r="M693">
        <v>1</v>
      </c>
      <c r="N693">
        <f>_xlfn.IFS(rounded[[#This Row],[social_interaction_level]] = "low", 1,rounded[[#This Row],[social_interaction_level]] = "medium", 2,rounded[[#This Row],[social_interaction_level]] = "high", 3)</f>
        <v>3</v>
      </c>
      <c r="O693">
        <f t="shared" si="10"/>
        <v>21</v>
      </c>
      <c r="P693" t="str" cm="1">
        <f t="array" ref="P693">_xlfn.SWITCH(rounded[[#This Row],[depression_label]], 0, "Not Depressed", 1, "Depressed")</f>
        <v>Depressed</v>
      </c>
      <c r="Q693" s="45" t="str" cm="1">
        <f t="array" ref="Q693">_xlfn.SWITCH(rounded[[#This Row],[gender]], "male", "Male", "female", "Female")</f>
        <v>Female</v>
      </c>
    </row>
    <row r="694" spans="1:17" x14ac:dyDescent="0.35">
      <c r="A694">
        <v>15</v>
      </c>
      <c r="B694" t="s">
        <v>16</v>
      </c>
      <c r="C694" s="4">
        <v>5.7</v>
      </c>
      <c r="D694" t="s">
        <v>14</v>
      </c>
      <c r="E694" s="4">
        <v>8.4</v>
      </c>
      <c r="F694" s="4">
        <v>1.3</v>
      </c>
      <c r="G694">
        <v>2.48</v>
      </c>
      <c r="H694">
        <v>0.9</v>
      </c>
      <c r="I694" t="s">
        <v>18</v>
      </c>
      <c r="J694">
        <v>5</v>
      </c>
      <c r="K694">
        <v>2</v>
      </c>
      <c r="L694">
        <v>4</v>
      </c>
      <c r="M694">
        <v>0</v>
      </c>
      <c r="N694">
        <f>_xlfn.IFS(rounded[[#This Row],[social_interaction_level]] = "low", 1,rounded[[#This Row],[social_interaction_level]] = "medium", 2,rounded[[#This Row],[social_interaction_level]] = "high", 3)</f>
        <v>3</v>
      </c>
      <c r="O694">
        <f t="shared" si="10"/>
        <v>11</v>
      </c>
      <c r="P694" t="str" cm="1">
        <f t="array" ref="P694">_xlfn.SWITCH(rounded[[#This Row],[depression_label]], 0, "Not Depressed", 1, "Depressed")</f>
        <v>Not Depressed</v>
      </c>
      <c r="Q694" s="45" t="str" cm="1">
        <f t="array" ref="Q694">_xlfn.SWITCH(rounded[[#This Row],[gender]], "male", "Male", "female", "Female")</f>
        <v>Female</v>
      </c>
    </row>
    <row r="695" spans="1:17" x14ac:dyDescent="0.35">
      <c r="A695">
        <v>16</v>
      </c>
      <c r="B695" t="s">
        <v>16</v>
      </c>
      <c r="C695" s="4">
        <v>4</v>
      </c>
      <c r="D695" t="s">
        <v>17</v>
      </c>
      <c r="E695" s="4">
        <v>5.4</v>
      </c>
      <c r="F695" s="4">
        <v>2.7</v>
      </c>
      <c r="G695">
        <v>2.88</v>
      </c>
      <c r="H695">
        <v>1.2</v>
      </c>
      <c r="I695" t="s">
        <v>19</v>
      </c>
      <c r="J695">
        <v>4</v>
      </c>
      <c r="K695">
        <v>10</v>
      </c>
      <c r="L695">
        <v>1</v>
      </c>
      <c r="M695">
        <v>0</v>
      </c>
      <c r="N695">
        <f>_xlfn.IFS(rounded[[#This Row],[social_interaction_level]] = "low", 1,rounded[[#This Row],[social_interaction_level]] = "medium", 2,rounded[[#This Row],[social_interaction_level]] = "high", 3)</f>
        <v>2</v>
      </c>
      <c r="O695">
        <f t="shared" si="10"/>
        <v>15</v>
      </c>
      <c r="P695" t="str" cm="1">
        <f t="array" ref="P695">_xlfn.SWITCH(rounded[[#This Row],[depression_label]], 0, "Not Depressed", 1, "Depressed")</f>
        <v>Not Depressed</v>
      </c>
      <c r="Q695" s="45" t="str" cm="1">
        <f t="array" ref="Q695">_xlfn.SWITCH(rounded[[#This Row],[gender]], "male", "Male", "female", "Female")</f>
        <v>Female</v>
      </c>
    </row>
    <row r="696" spans="1:17" x14ac:dyDescent="0.35">
      <c r="A696">
        <v>13</v>
      </c>
      <c r="B696" t="s">
        <v>16</v>
      </c>
      <c r="C696" s="4">
        <v>3.5</v>
      </c>
      <c r="D696" t="s">
        <v>14</v>
      </c>
      <c r="E696" s="4">
        <v>5.3</v>
      </c>
      <c r="F696" s="4">
        <v>1.7</v>
      </c>
      <c r="G696">
        <v>2.2000000000000002</v>
      </c>
      <c r="H696">
        <v>0.8</v>
      </c>
      <c r="I696" t="s">
        <v>18</v>
      </c>
      <c r="J696">
        <v>6</v>
      </c>
      <c r="K696">
        <v>10</v>
      </c>
      <c r="L696">
        <v>8</v>
      </c>
      <c r="M696">
        <v>0</v>
      </c>
      <c r="N696">
        <f>_xlfn.IFS(rounded[[#This Row],[social_interaction_level]] = "low", 1,rounded[[#This Row],[social_interaction_level]] = "medium", 2,rounded[[#This Row],[social_interaction_level]] = "high", 3)</f>
        <v>3</v>
      </c>
      <c r="O696">
        <f t="shared" si="10"/>
        <v>24</v>
      </c>
      <c r="P696" t="str" cm="1">
        <f t="array" ref="P696">_xlfn.SWITCH(rounded[[#This Row],[depression_label]], 0, "Not Depressed", 1, "Depressed")</f>
        <v>Not Depressed</v>
      </c>
      <c r="Q696" s="45" t="str" cm="1">
        <f t="array" ref="Q696">_xlfn.SWITCH(rounded[[#This Row],[gender]], "male", "Male", "female", "Female")</f>
        <v>Female</v>
      </c>
    </row>
    <row r="697" spans="1:17" x14ac:dyDescent="0.35">
      <c r="A697">
        <v>15</v>
      </c>
      <c r="B697" t="s">
        <v>16</v>
      </c>
      <c r="C697" s="4">
        <v>4.2</v>
      </c>
      <c r="D697" t="s">
        <v>17</v>
      </c>
      <c r="E697" s="4">
        <v>5.5</v>
      </c>
      <c r="F697" s="4">
        <v>1.3</v>
      </c>
      <c r="G697">
        <v>3.49</v>
      </c>
      <c r="H697">
        <v>0.5</v>
      </c>
      <c r="I697" t="s">
        <v>15</v>
      </c>
      <c r="J697">
        <v>2</v>
      </c>
      <c r="K697">
        <v>5</v>
      </c>
      <c r="L697">
        <v>2</v>
      </c>
      <c r="M697">
        <v>0</v>
      </c>
      <c r="N697">
        <f>_xlfn.IFS(rounded[[#This Row],[social_interaction_level]] = "low", 1,rounded[[#This Row],[social_interaction_level]] = "medium", 2,rounded[[#This Row],[social_interaction_level]] = "high", 3)</f>
        <v>1</v>
      </c>
      <c r="O697">
        <f t="shared" si="10"/>
        <v>9</v>
      </c>
      <c r="P697" t="str" cm="1">
        <f t="array" ref="P697">_xlfn.SWITCH(rounded[[#This Row],[depression_label]], 0, "Not Depressed", 1, "Depressed")</f>
        <v>Not Depressed</v>
      </c>
      <c r="Q697" s="45" t="str" cm="1">
        <f t="array" ref="Q697">_xlfn.SWITCH(rounded[[#This Row],[gender]], "male", "Male", "female", "Female")</f>
        <v>Female</v>
      </c>
    </row>
    <row r="698" spans="1:17" x14ac:dyDescent="0.35">
      <c r="A698">
        <v>19</v>
      </c>
      <c r="B698" t="s">
        <v>16</v>
      </c>
      <c r="C698" s="4">
        <v>3.9</v>
      </c>
      <c r="D698" t="s">
        <v>17</v>
      </c>
      <c r="E698" s="4">
        <v>7.4</v>
      </c>
      <c r="F698" s="4">
        <v>2.5</v>
      </c>
      <c r="G698">
        <v>3.74</v>
      </c>
      <c r="H698">
        <v>0.3</v>
      </c>
      <c r="I698" t="s">
        <v>19</v>
      </c>
      <c r="J698">
        <v>5</v>
      </c>
      <c r="K698">
        <v>8</v>
      </c>
      <c r="L698">
        <v>3</v>
      </c>
      <c r="M698">
        <v>0</v>
      </c>
      <c r="N698">
        <f>_xlfn.IFS(rounded[[#This Row],[social_interaction_level]] = "low", 1,rounded[[#This Row],[social_interaction_level]] = "medium", 2,rounded[[#This Row],[social_interaction_level]] = "high", 3)</f>
        <v>2</v>
      </c>
      <c r="O698">
        <f t="shared" si="10"/>
        <v>16</v>
      </c>
      <c r="P698" t="str" cm="1">
        <f t="array" ref="P698">_xlfn.SWITCH(rounded[[#This Row],[depression_label]], 0, "Not Depressed", 1, "Depressed")</f>
        <v>Not Depressed</v>
      </c>
      <c r="Q698" s="45" t="str" cm="1">
        <f t="array" ref="Q698">_xlfn.SWITCH(rounded[[#This Row],[gender]], "male", "Male", "female", "Female")</f>
        <v>Female</v>
      </c>
    </row>
    <row r="699" spans="1:17" x14ac:dyDescent="0.35">
      <c r="A699">
        <v>17</v>
      </c>
      <c r="B699" t="s">
        <v>16</v>
      </c>
      <c r="C699" s="4">
        <v>6.7</v>
      </c>
      <c r="D699" t="s">
        <v>14</v>
      </c>
      <c r="E699" s="4">
        <v>4.3</v>
      </c>
      <c r="F699" s="4">
        <v>0.6</v>
      </c>
      <c r="G699">
        <v>3.76</v>
      </c>
      <c r="H699">
        <v>0</v>
      </c>
      <c r="I699" t="s">
        <v>15</v>
      </c>
      <c r="J699">
        <v>2</v>
      </c>
      <c r="K699">
        <v>1</v>
      </c>
      <c r="L699">
        <v>7</v>
      </c>
      <c r="M699">
        <v>0</v>
      </c>
      <c r="N699">
        <f>_xlfn.IFS(rounded[[#This Row],[social_interaction_level]] = "low", 1,rounded[[#This Row],[social_interaction_level]] = "medium", 2,rounded[[#This Row],[social_interaction_level]] = "high", 3)</f>
        <v>1</v>
      </c>
      <c r="O699">
        <f t="shared" si="10"/>
        <v>10</v>
      </c>
      <c r="P699" t="str" cm="1">
        <f t="array" ref="P699">_xlfn.SWITCH(rounded[[#This Row],[depression_label]], 0, "Not Depressed", 1, "Depressed")</f>
        <v>Not Depressed</v>
      </c>
      <c r="Q699" s="45" t="str" cm="1">
        <f t="array" ref="Q699">_xlfn.SWITCH(rounded[[#This Row],[gender]], "male", "Male", "female", "Female")</f>
        <v>Female</v>
      </c>
    </row>
    <row r="700" spans="1:17" x14ac:dyDescent="0.35">
      <c r="A700">
        <v>15</v>
      </c>
      <c r="B700" t="s">
        <v>13</v>
      </c>
      <c r="C700" s="4">
        <v>6.7</v>
      </c>
      <c r="D700" t="s">
        <v>20</v>
      </c>
      <c r="E700" s="4">
        <v>4.3</v>
      </c>
      <c r="F700" s="4">
        <v>1.8</v>
      </c>
      <c r="G700">
        <v>3.69</v>
      </c>
      <c r="H700">
        <v>0.7</v>
      </c>
      <c r="I700" t="s">
        <v>18</v>
      </c>
      <c r="J700">
        <v>2</v>
      </c>
      <c r="K700">
        <v>8</v>
      </c>
      <c r="L700">
        <v>7</v>
      </c>
      <c r="M700">
        <v>0</v>
      </c>
      <c r="N700">
        <f>_xlfn.IFS(rounded[[#This Row],[social_interaction_level]] = "low", 1,rounded[[#This Row],[social_interaction_level]] = "medium", 2,rounded[[#This Row],[social_interaction_level]] = "high", 3)</f>
        <v>3</v>
      </c>
      <c r="O700">
        <f t="shared" si="10"/>
        <v>17</v>
      </c>
      <c r="P700" t="str" cm="1">
        <f t="array" ref="P700">_xlfn.SWITCH(rounded[[#This Row],[depression_label]], 0, "Not Depressed", 1, "Depressed")</f>
        <v>Not Depressed</v>
      </c>
      <c r="Q700" s="45" t="str" cm="1">
        <f t="array" ref="Q700">_xlfn.SWITCH(rounded[[#This Row],[gender]], "male", "Male", "female", "Female")</f>
        <v>Male</v>
      </c>
    </row>
    <row r="701" spans="1:17" x14ac:dyDescent="0.35">
      <c r="A701">
        <v>14</v>
      </c>
      <c r="B701" t="s">
        <v>16</v>
      </c>
      <c r="C701" s="4">
        <v>3.4</v>
      </c>
      <c r="D701" t="s">
        <v>14</v>
      </c>
      <c r="E701" s="4">
        <v>5.6</v>
      </c>
      <c r="F701" s="4">
        <v>1.7</v>
      </c>
      <c r="G701">
        <v>3.38</v>
      </c>
      <c r="H701">
        <v>0.3</v>
      </c>
      <c r="I701" t="s">
        <v>18</v>
      </c>
      <c r="J701">
        <v>9</v>
      </c>
      <c r="K701">
        <v>3</v>
      </c>
      <c r="L701">
        <v>1</v>
      </c>
      <c r="M701">
        <v>0</v>
      </c>
      <c r="N701">
        <f>_xlfn.IFS(rounded[[#This Row],[social_interaction_level]] = "low", 1,rounded[[#This Row],[social_interaction_level]] = "medium", 2,rounded[[#This Row],[social_interaction_level]] = "high", 3)</f>
        <v>3</v>
      </c>
      <c r="O701">
        <f t="shared" si="10"/>
        <v>13</v>
      </c>
      <c r="P701" t="str" cm="1">
        <f t="array" ref="P701">_xlfn.SWITCH(rounded[[#This Row],[depression_label]], 0, "Not Depressed", 1, "Depressed")</f>
        <v>Not Depressed</v>
      </c>
      <c r="Q701" s="45" t="str" cm="1">
        <f t="array" ref="Q701">_xlfn.SWITCH(rounded[[#This Row],[gender]], "male", "Male", "female", "Female")</f>
        <v>Female</v>
      </c>
    </row>
    <row r="702" spans="1:17" x14ac:dyDescent="0.35">
      <c r="A702">
        <v>16</v>
      </c>
      <c r="B702" t="s">
        <v>13</v>
      </c>
      <c r="C702" s="4">
        <v>5</v>
      </c>
      <c r="D702" t="s">
        <v>17</v>
      </c>
      <c r="E702" s="4">
        <v>4.3</v>
      </c>
      <c r="F702" s="4">
        <v>0.7</v>
      </c>
      <c r="G702">
        <v>3.68</v>
      </c>
      <c r="H702">
        <v>1.2</v>
      </c>
      <c r="I702" t="s">
        <v>15</v>
      </c>
      <c r="J702">
        <v>6</v>
      </c>
      <c r="K702">
        <v>2</v>
      </c>
      <c r="L702">
        <v>4</v>
      </c>
      <c r="M702">
        <v>0</v>
      </c>
      <c r="N702">
        <f>_xlfn.IFS(rounded[[#This Row],[social_interaction_level]] = "low", 1,rounded[[#This Row],[social_interaction_level]] = "medium", 2,rounded[[#This Row],[social_interaction_level]] = "high", 3)</f>
        <v>1</v>
      </c>
      <c r="O702">
        <f t="shared" si="10"/>
        <v>12</v>
      </c>
      <c r="P702" t="str" cm="1">
        <f t="array" ref="P702">_xlfn.SWITCH(rounded[[#This Row],[depression_label]], 0, "Not Depressed", 1, "Depressed")</f>
        <v>Not Depressed</v>
      </c>
      <c r="Q702" s="45" t="str" cm="1">
        <f t="array" ref="Q702">_xlfn.SWITCH(rounded[[#This Row],[gender]], "male", "Male", "female", "Female")</f>
        <v>Male</v>
      </c>
    </row>
    <row r="703" spans="1:17" x14ac:dyDescent="0.35">
      <c r="A703">
        <v>18</v>
      </c>
      <c r="B703" t="s">
        <v>16</v>
      </c>
      <c r="C703" s="4">
        <v>3.8</v>
      </c>
      <c r="D703" t="s">
        <v>14</v>
      </c>
      <c r="E703" s="4">
        <v>5.9</v>
      </c>
      <c r="F703" s="4">
        <v>1</v>
      </c>
      <c r="G703">
        <v>2.2200000000000002</v>
      </c>
      <c r="H703">
        <v>0.6</v>
      </c>
      <c r="I703" t="s">
        <v>15</v>
      </c>
      <c r="J703">
        <v>9</v>
      </c>
      <c r="K703">
        <v>10</v>
      </c>
      <c r="L703">
        <v>9</v>
      </c>
      <c r="M703">
        <v>0</v>
      </c>
      <c r="N703">
        <f>_xlfn.IFS(rounded[[#This Row],[social_interaction_level]] = "low", 1,rounded[[#This Row],[social_interaction_level]] = "medium", 2,rounded[[#This Row],[social_interaction_level]] = "high", 3)</f>
        <v>1</v>
      </c>
      <c r="O703">
        <f t="shared" si="10"/>
        <v>28</v>
      </c>
      <c r="P703" t="str" cm="1">
        <f t="array" ref="P703">_xlfn.SWITCH(rounded[[#This Row],[depression_label]], 0, "Not Depressed", 1, "Depressed")</f>
        <v>Not Depressed</v>
      </c>
      <c r="Q703" s="45" t="str" cm="1">
        <f t="array" ref="Q703">_xlfn.SWITCH(rounded[[#This Row],[gender]], "male", "Male", "female", "Female")</f>
        <v>Female</v>
      </c>
    </row>
    <row r="704" spans="1:17" x14ac:dyDescent="0.35">
      <c r="A704">
        <v>15</v>
      </c>
      <c r="B704" t="s">
        <v>16</v>
      </c>
      <c r="C704" s="4">
        <v>7.3</v>
      </c>
      <c r="D704" t="s">
        <v>17</v>
      </c>
      <c r="E704" s="4">
        <v>7.3</v>
      </c>
      <c r="F704" s="4">
        <v>2.8</v>
      </c>
      <c r="G704">
        <v>2.46</v>
      </c>
      <c r="H704">
        <v>0.3</v>
      </c>
      <c r="I704" t="s">
        <v>15</v>
      </c>
      <c r="J704">
        <v>2</v>
      </c>
      <c r="K704">
        <v>7</v>
      </c>
      <c r="L704">
        <v>5</v>
      </c>
      <c r="M704">
        <v>0</v>
      </c>
      <c r="N704">
        <f>_xlfn.IFS(rounded[[#This Row],[social_interaction_level]] = "low", 1,rounded[[#This Row],[social_interaction_level]] = "medium", 2,rounded[[#This Row],[social_interaction_level]] = "high", 3)</f>
        <v>1</v>
      </c>
      <c r="O704">
        <f t="shared" si="10"/>
        <v>14</v>
      </c>
      <c r="P704" t="str" cm="1">
        <f t="array" ref="P704">_xlfn.SWITCH(rounded[[#This Row],[depression_label]], 0, "Not Depressed", 1, "Depressed")</f>
        <v>Not Depressed</v>
      </c>
      <c r="Q704" s="45" t="str" cm="1">
        <f t="array" ref="Q704">_xlfn.SWITCH(rounded[[#This Row],[gender]], "male", "Male", "female", "Female")</f>
        <v>Female</v>
      </c>
    </row>
    <row r="705" spans="1:17" x14ac:dyDescent="0.35">
      <c r="A705">
        <v>18</v>
      </c>
      <c r="B705" t="s">
        <v>16</v>
      </c>
      <c r="C705" s="4">
        <v>7.2</v>
      </c>
      <c r="D705" t="s">
        <v>17</v>
      </c>
      <c r="E705" s="4">
        <v>5</v>
      </c>
      <c r="F705" s="4">
        <v>1.4</v>
      </c>
      <c r="G705">
        <v>3.65</v>
      </c>
      <c r="H705">
        <v>1.1000000000000001</v>
      </c>
      <c r="I705" t="s">
        <v>15</v>
      </c>
      <c r="J705">
        <v>8</v>
      </c>
      <c r="K705">
        <v>8</v>
      </c>
      <c r="L705">
        <v>4</v>
      </c>
      <c r="M705">
        <v>1</v>
      </c>
      <c r="N705">
        <f>_xlfn.IFS(rounded[[#This Row],[social_interaction_level]] = "low", 1,rounded[[#This Row],[social_interaction_level]] = "medium", 2,rounded[[#This Row],[social_interaction_level]] = "high", 3)</f>
        <v>1</v>
      </c>
      <c r="O705">
        <f t="shared" si="10"/>
        <v>20</v>
      </c>
      <c r="P705" t="str" cm="1">
        <f t="array" ref="P705">_xlfn.SWITCH(rounded[[#This Row],[depression_label]], 0, "Not Depressed", 1, "Depressed")</f>
        <v>Depressed</v>
      </c>
      <c r="Q705" s="45" t="str" cm="1">
        <f t="array" ref="Q705">_xlfn.SWITCH(rounded[[#This Row],[gender]], "male", "Male", "female", "Female")</f>
        <v>Female</v>
      </c>
    </row>
    <row r="706" spans="1:17" x14ac:dyDescent="0.35">
      <c r="A706">
        <v>15</v>
      </c>
      <c r="B706" t="s">
        <v>16</v>
      </c>
      <c r="C706" s="4">
        <v>3.1</v>
      </c>
      <c r="D706" t="s">
        <v>20</v>
      </c>
      <c r="E706" s="4">
        <v>4.2</v>
      </c>
      <c r="F706" s="4">
        <v>2.1</v>
      </c>
      <c r="G706">
        <v>3.21</v>
      </c>
      <c r="H706">
        <v>1.1000000000000001</v>
      </c>
      <c r="I706" t="s">
        <v>19</v>
      </c>
      <c r="J706">
        <v>8</v>
      </c>
      <c r="K706">
        <v>2</v>
      </c>
      <c r="L706">
        <v>10</v>
      </c>
      <c r="M706">
        <v>0</v>
      </c>
      <c r="N706">
        <f>_xlfn.IFS(rounded[[#This Row],[social_interaction_level]] = "low", 1,rounded[[#This Row],[social_interaction_level]] = "medium", 2,rounded[[#This Row],[social_interaction_level]] = "high", 3)</f>
        <v>2</v>
      </c>
      <c r="O706">
        <f t="shared" ref="O706:O769" si="11">SUM(J706+K706+L706)</f>
        <v>20</v>
      </c>
      <c r="P706" t="str" cm="1">
        <f t="array" ref="P706">_xlfn.SWITCH(rounded[[#This Row],[depression_label]], 0, "Not Depressed", 1, "Depressed")</f>
        <v>Not Depressed</v>
      </c>
      <c r="Q706" s="45" t="str" cm="1">
        <f t="array" ref="Q706">_xlfn.SWITCH(rounded[[#This Row],[gender]], "male", "Male", "female", "Female")</f>
        <v>Female</v>
      </c>
    </row>
    <row r="707" spans="1:17" x14ac:dyDescent="0.35">
      <c r="A707">
        <v>15</v>
      </c>
      <c r="B707" t="s">
        <v>16</v>
      </c>
      <c r="C707" s="4">
        <v>8</v>
      </c>
      <c r="D707" t="s">
        <v>14</v>
      </c>
      <c r="E707" s="4">
        <v>4.4000000000000004</v>
      </c>
      <c r="F707" s="4">
        <v>0.7</v>
      </c>
      <c r="G707">
        <v>2.62</v>
      </c>
      <c r="H707">
        <v>1.6</v>
      </c>
      <c r="I707" t="s">
        <v>18</v>
      </c>
      <c r="J707">
        <v>6</v>
      </c>
      <c r="K707">
        <v>7</v>
      </c>
      <c r="L707">
        <v>2</v>
      </c>
      <c r="M707">
        <v>0</v>
      </c>
      <c r="N707">
        <f>_xlfn.IFS(rounded[[#This Row],[social_interaction_level]] = "low", 1,rounded[[#This Row],[social_interaction_level]] = "medium", 2,rounded[[#This Row],[social_interaction_level]] = "high", 3)</f>
        <v>3</v>
      </c>
      <c r="O707">
        <f t="shared" si="11"/>
        <v>15</v>
      </c>
      <c r="P707" t="str" cm="1">
        <f t="array" ref="P707">_xlfn.SWITCH(rounded[[#This Row],[depression_label]], 0, "Not Depressed", 1, "Depressed")</f>
        <v>Not Depressed</v>
      </c>
      <c r="Q707" s="45" t="str" cm="1">
        <f t="array" ref="Q707">_xlfn.SWITCH(rounded[[#This Row],[gender]], "male", "Male", "female", "Female")</f>
        <v>Female</v>
      </c>
    </row>
    <row r="708" spans="1:17" x14ac:dyDescent="0.35">
      <c r="A708">
        <v>15</v>
      </c>
      <c r="B708" t="s">
        <v>13</v>
      </c>
      <c r="C708" s="4">
        <v>4.3</v>
      </c>
      <c r="D708" t="s">
        <v>14</v>
      </c>
      <c r="E708" s="4">
        <v>7.5</v>
      </c>
      <c r="F708" s="4">
        <v>1.1000000000000001</v>
      </c>
      <c r="G708">
        <v>2.06</v>
      </c>
      <c r="H708">
        <v>1.8</v>
      </c>
      <c r="I708" t="s">
        <v>19</v>
      </c>
      <c r="J708">
        <v>5</v>
      </c>
      <c r="K708">
        <v>7</v>
      </c>
      <c r="L708">
        <v>2</v>
      </c>
      <c r="M708">
        <v>0</v>
      </c>
      <c r="N708">
        <f>_xlfn.IFS(rounded[[#This Row],[social_interaction_level]] = "low", 1,rounded[[#This Row],[social_interaction_level]] = "medium", 2,rounded[[#This Row],[social_interaction_level]] = "high", 3)</f>
        <v>2</v>
      </c>
      <c r="O708">
        <f t="shared" si="11"/>
        <v>14</v>
      </c>
      <c r="P708" t="str" cm="1">
        <f t="array" ref="P708">_xlfn.SWITCH(rounded[[#This Row],[depression_label]], 0, "Not Depressed", 1, "Depressed")</f>
        <v>Not Depressed</v>
      </c>
      <c r="Q708" s="45" t="str" cm="1">
        <f t="array" ref="Q708">_xlfn.SWITCH(rounded[[#This Row],[gender]], "male", "Male", "female", "Female")</f>
        <v>Male</v>
      </c>
    </row>
    <row r="709" spans="1:17" x14ac:dyDescent="0.35">
      <c r="A709">
        <v>14</v>
      </c>
      <c r="B709" t="s">
        <v>16</v>
      </c>
      <c r="C709" s="4">
        <v>4</v>
      </c>
      <c r="D709" t="s">
        <v>17</v>
      </c>
      <c r="E709" s="4">
        <v>5.0999999999999996</v>
      </c>
      <c r="F709" s="4">
        <v>1.1000000000000001</v>
      </c>
      <c r="G709">
        <v>3.98</v>
      </c>
      <c r="H709">
        <v>1.3</v>
      </c>
      <c r="I709" t="s">
        <v>19</v>
      </c>
      <c r="J709">
        <v>5</v>
      </c>
      <c r="K709">
        <v>4</v>
      </c>
      <c r="L709">
        <v>9</v>
      </c>
      <c r="M709">
        <v>0</v>
      </c>
      <c r="N709">
        <f>_xlfn.IFS(rounded[[#This Row],[social_interaction_level]] = "low", 1,rounded[[#This Row],[social_interaction_level]] = "medium", 2,rounded[[#This Row],[social_interaction_level]] = "high", 3)</f>
        <v>2</v>
      </c>
      <c r="O709">
        <f t="shared" si="11"/>
        <v>18</v>
      </c>
      <c r="P709" t="str" cm="1">
        <f t="array" ref="P709">_xlfn.SWITCH(rounded[[#This Row],[depression_label]], 0, "Not Depressed", 1, "Depressed")</f>
        <v>Not Depressed</v>
      </c>
      <c r="Q709" s="45" t="str" cm="1">
        <f t="array" ref="Q709">_xlfn.SWITCH(rounded[[#This Row],[gender]], "male", "Male", "female", "Female")</f>
        <v>Female</v>
      </c>
    </row>
    <row r="710" spans="1:17" x14ac:dyDescent="0.35">
      <c r="A710">
        <v>15</v>
      </c>
      <c r="B710" t="s">
        <v>13</v>
      </c>
      <c r="C710" s="4">
        <v>6.9</v>
      </c>
      <c r="D710" t="s">
        <v>17</v>
      </c>
      <c r="E710" s="4">
        <v>5.6</v>
      </c>
      <c r="F710" s="4">
        <v>1.4</v>
      </c>
      <c r="G710">
        <v>2.09</v>
      </c>
      <c r="H710">
        <v>0.7</v>
      </c>
      <c r="I710" t="s">
        <v>15</v>
      </c>
      <c r="J710">
        <v>9</v>
      </c>
      <c r="K710">
        <v>5</v>
      </c>
      <c r="L710">
        <v>9</v>
      </c>
      <c r="M710">
        <v>0</v>
      </c>
      <c r="N710">
        <f>_xlfn.IFS(rounded[[#This Row],[social_interaction_level]] = "low", 1,rounded[[#This Row],[social_interaction_level]] = "medium", 2,rounded[[#This Row],[social_interaction_level]] = "high", 3)</f>
        <v>1</v>
      </c>
      <c r="O710">
        <f t="shared" si="11"/>
        <v>23</v>
      </c>
      <c r="P710" t="str" cm="1">
        <f t="array" ref="P710">_xlfn.SWITCH(rounded[[#This Row],[depression_label]], 0, "Not Depressed", 1, "Depressed")</f>
        <v>Not Depressed</v>
      </c>
      <c r="Q710" s="45" t="str" cm="1">
        <f t="array" ref="Q710">_xlfn.SWITCH(rounded[[#This Row],[gender]], "male", "Male", "female", "Female")</f>
        <v>Male</v>
      </c>
    </row>
    <row r="711" spans="1:17" x14ac:dyDescent="0.35">
      <c r="A711">
        <v>13</v>
      </c>
      <c r="B711" t="s">
        <v>13</v>
      </c>
      <c r="C711" s="4">
        <v>7</v>
      </c>
      <c r="D711" t="s">
        <v>17</v>
      </c>
      <c r="E711" s="4">
        <v>4.4000000000000004</v>
      </c>
      <c r="F711" s="4">
        <v>0.9</v>
      </c>
      <c r="G711">
        <v>3.67</v>
      </c>
      <c r="H711">
        <v>0.4</v>
      </c>
      <c r="I711" t="s">
        <v>15</v>
      </c>
      <c r="J711">
        <v>5</v>
      </c>
      <c r="K711">
        <v>3</v>
      </c>
      <c r="L711">
        <v>6</v>
      </c>
      <c r="M711">
        <v>0</v>
      </c>
      <c r="N711">
        <f>_xlfn.IFS(rounded[[#This Row],[social_interaction_level]] = "low", 1,rounded[[#This Row],[social_interaction_level]] = "medium", 2,rounded[[#This Row],[social_interaction_level]] = "high", 3)</f>
        <v>1</v>
      </c>
      <c r="O711">
        <f t="shared" si="11"/>
        <v>14</v>
      </c>
      <c r="P711" t="str" cm="1">
        <f t="array" ref="P711">_xlfn.SWITCH(rounded[[#This Row],[depression_label]], 0, "Not Depressed", 1, "Depressed")</f>
        <v>Not Depressed</v>
      </c>
      <c r="Q711" s="45" t="str" cm="1">
        <f t="array" ref="Q711">_xlfn.SWITCH(rounded[[#This Row],[gender]], "male", "Male", "female", "Female")</f>
        <v>Male</v>
      </c>
    </row>
    <row r="712" spans="1:17" x14ac:dyDescent="0.35">
      <c r="A712">
        <v>13</v>
      </c>
      <c r="B712" t="s">
        <v>13</v>
      </c>
      <c r="C712" s="4">
        <v>6.2</v>
      </c>
      <c r="D712" t="s">
        <v>14</v>
      </c>
      <c r="E712" s="4">
        <v>8.6</v>
      </c>
      <c r="F712" s="4">
        <v>1.8</v>
      </c>
      <c r="G712">
        <v>2.19</v>
      </c>
      <c r="H712">
        <v>0.7</v>
      </c>
      <c r="I712" t="s">
        <v>18</v>
      </c>
      <c r="J712">
        <v>8</v>
      </c>
      <c r="K712">
        <v>4</v>
      </c>
      <c r="L712">
        <v>7</v>
      </c>
      <c r="M712">
        <v>0</v>
      </c>
      <c r="N712">
        <f>_xlfn.IFS(rounded[[#This Row],[social_interaction_level]] = "low", 1,rounded[[#This Row],[social_interaction_level]] = "medium", 2,rounded[[#This Row],[social_interaction_level]] = "high", 3)</f>
        <v>3</v>
      </c>
      <c r="O712">
        <f t="shared" si="11"/>
        <v>19</v>
      </c>
      <c r="P712" t="str" cm="1">
        <f t="array" ref="P712">_xlfn.SWITCH(rounded[[#This Row],[depression_label]], 0, "Not Depressed", 1, "Depressed")</f>
        <v>Not Depressed</v>
      </c>
      <c r="Q712" s="45" t="str" cm="1">
        <f t="array" ref="Q712">_xlfn.SWITCH(rounded[[#This Row],[gender]], "male", "Male", "female", "Female")</f>
        <v>Male</v>
      </c>
    </row>
    <row r="713" spans="1:17" x14ac:dyDescent="0.35">
      <c r="A713">
        <v>15</v>
      </c>
      <c r="B713" t="s">
        <v>13</v>
      </c>
      <c r="C713" s="4">
        <v>7.7</v>
      </c>
      <c r="D713" t="s">
        <v>14</v>
      </c>
      <c r="E713" s="4">
        <v>8</v>
      </c>
      <c r="F713" s="4">
        <v>1.3</v>
      </c>
      <c r="G713">
        <v>3.78</v>
      </c>
      <c r="H713">
        <v>1.1000000000000001</v>
      </c>
      <c r="I713" t="s">
        <v>19</v>
      </c>
      <c r="J713">
        <v>1</v>
      </c>
      <c r="K713">
        <v>6</v>
      </c>
      <c r="L713">
        <v>5</v>
      </c>
      <c r="M713">
        <v>0</v>
      </c>
      <c r="N713">
        <f>_xlfn.IFS(rounded[[#This Row],[social_interaction_level]] = "low", 1,rounded[[#This Row],[social_interaction_level]] = "medium", 2,rounded[[#This Row],[social_interaction_level]] = "high", 3)</f>
        <v>2</v>
      </c>
      <c r="O713">
        <f t="shared" si="11"/>
        <v>12</v>
      </c>
      <c r="P713" t="str" cm="1">
        <f t="array" ref="P713">_xlfn.SWITCH(rounded[[#This Row],[depression_label]], 0, "Not Depressed", 1, "Depressed")</f>
        <v>Not Depressed</v>
      </c>
      <c r="Q713" s="45" t="str" cm="1">
        <f t="array" ref="Q713">_xlfn.SWITCH(rounded[[#This Row],[gender]], "male", "Male", "female", "Female")</f>
        <v>Male</v>
      </c>
    </row>
    <row r="714" spans="1:17" x14ac:dyDescent="0.35">
      <c r="A714">
        <v>19</v>
      </c>
      <c r="B714" t="s">
        <v>16</v>
      </c>
      <c r="C714" s="4">
        <v>5.0999999999999996</v>
      </c>
      <c r="D714" t="s">
        <v>20</v>
      </c>
      <c r="E714" s="4">
        <v>6.3</v>
      </c>
      <c r="F714" s="4">
        <v>2.2999999999999998</v>
      </c>
      <c r="G714">
        <v>2.5499999999999998</v>
      </c>
      <c r="H714">
        <v>2</v>
      </c>
      <c r="I714" t="s">
        <v>19</v>
      </c>
      <c r="J714">
        <v>6</v>
      </c>
      <c r="K714">
        <v>9</v>
      </c>
      <c r="L714">
        <v>7</v>
      </c>
      <c r="M714">
        <v>0</v>
      </c>
      <c r="N714">
        <f>_xlfn.IFS(rounded[[#This Row],[social_interaction_level]] = "low", 1,rounded[[#This Row],[social_interaction_level]] = "medium", 2,rounded[[#This Row],[social_interaction_level]] = "high", 3)</f>
        <v>2</v>
      </c>
      <c r="O714">
        <f t="shared" si="11"/>
        <v>22</v>
      </c>
      <c r="P714" t="str" cm="1">
        <f t="array" ref="P714">_xlfn.SWITCH(rounded[[#This Row],[depression_label]], 0, "Not Depressed", 1, "Depressed")</f>
        <v>Not Depressed</v>
      </c>
      <c r="Q714" s="45" t="str" cm="1">
        <f t="array" ref="Q714">_xlfn.SWITCH(rounded[[#This Row],[gender]], "male", "Male", "female", "Female")</f>
        <v>Female</v>
      </c>
    </row>
    <row r="715" spans="1:17" x14ac:dyDescent="0.35">
      <c r="A715">
        <v>15</v>
      </c>
      <c r="B715" t="s">
        <v>13</v>
      </c>
      <c r="C715" s="4">
        <v>1</v>
      </c>
      <c r="D715" t="s">
        <v>17</v>
      </c>
      <c r="E715" s="4">
        <v>8.5</v>
      </c>
      <c r="F715" s="4">
        <v>2</v>
      </c>
      <c r="G715">
        <v>3.77</v>
      </c>
      <c r="H715">
        <v>1.9</v>
      </c>
      <c r="I715" t="s">
        <v>18</v>
      </c>
      <c r="J715">
        <v>4</v>
      </c>
      <c r="K715">
        <v>1</v>
      </c>
      <c r="L715">
        <v>7</v>
      </c>
      <c r="M715">
        <v>0</v>
      </c>
      <c r="N715">
        <f>_xlfn.IFS(rounded[[#This Row],[social_interaction_level]] = "low", 1,rounded[[#This Row],[social_interaction_level]] = "medium", 2,rounded[[#This Row],[social_interaction_level]] = "high", 3)</f>
        <v>3</v>
      </c>
      <c r="O715">
        <f t="shared" si="11"/>
        <v>12</v>
      </c>
      <c r="P715" t="str" cm="1">
        <f t="array" ref="P715">_xlfn.SWITCH(rounded[[#This Row],[depression_label]], 0, "Not Depressed", 1, "Depressed")</f>
        <v>Not Depressed</v>
      </c>
      <c r="Q715" s="45" t="str" cm="1">
        <f t="array" ref="Q715">_xlfn.SWITCH(rounded[[#This Row],[gender]], "male", "Male", "female", "Female")</f>
        <v>Male</v>
      </c>
    </row>
    <row r="716" spans="1:17" x14ac:dyDescent="0.35">
      <c r="A716">
        <v>15</v>
      </c>
      <c r="B716" t="s">
        <v>16</v>
      </c>
      <c r="C716" s="4">
        <v>1.1000000000000001</v>
      </c>
      <c r="D716" t="s">
        <v>14</v>
      </c>
      <c r="E716" s="4">
        <v>4.5999999999999996</v>
      </c>
      <c r="F716" s="4">
        <v>1.8</v>
      </c>
      <c r="G716">
        <v>2.35</v>
      </c>
      <c r="H716">
        <v>1.1000000000000001</v>
      </c>
      <c r="I716" t="s">
        <v>19</v>
      </c>
      <c r="J716">
        <v>10</v>
      </c>
      <c r="K716">
        <v>6</v>
      </c>
      <c r="L716">
        <v>6</v>
      </c>
      <c r="M716">
        <v>0</v>
      </c>
      <c r="N716">
        <f>_xlfn.IFS(rounded[[#This Row],[social_interaction_level]] = "low", 1,rounded[[#This Row],[social_interaction_level]] = "medium", 2,rounded[[#This Row],[social_interaction_level]] = "high", 3)</f>
        <v>2</v>
      </c>
      <c r="O716">
        <f t="shared" si="11"/>
        <v>22</v>
      </c>
      <c r="P716" t="str" cm="1">
        <f t="array" ref="P716">_xlfn.SWITCH(rounded[[#This Row],[depression_label]], 0, "Not Depressed", 1, "Depressed")</f>
        <v>Not Depressed</v>
      </c>
      <c r="Q716" s="45" t="str" cm="1">
        <f t="array" ref="Q716">_xlfn.SWITCH(rounded[[#This Row],[gender]], "male", "Male", "female", "Female")</f>
        <v>Female</v>
      </c>
    </row>
    <row r="717" spans="1:17" x14ac:dyDescent="0.35">
      <c r="A717">
        <v>13</v>
      </c>
      <c r="B717" t="s">
        <v>16</v>
      </c>
      <c r="C717" s="4">
        <v>7</v>
      </c>
      <c r="D717" t="s">
        <v>14</v>
      </c>
      <c r="E717" s="4">
        <v>4.9000000000000004</v>
      </c>
      <c r="F717" s="4">
        <v>1.2</v>
      </c>
      <c r="G717">
        <v>3.61</v>
      </c>
      <c r="H717">
        <v>0.2</v>
      </c>
      <c r="I717" t="s">
        <v>19</v>
      </c>
      <c r="J717">
        <v>2</v>
      </c>
      <c r="K717">
        <v>3</v>
      </c>
      <c r="L717">
        <v>5</v>
      </c>
      <c r="M717">
        <v>0</v>
      </c>
      <c r="N717">
        <f>_xlfn.IFS(rounded[[#This Row],[social_interaction_level]] = "low", 1,rounded[[#This Row],[social_interaction_level]] = "medium", 2,rounded[[#This Row],[social_interaction_level]] = "high", 3)</f>
        <v>2</v>
      </c>
      <c r="O717">
        <f t="shared" si="11"/>
        <v>10</v>
      </c>
      <c r="P717" t="str" cm="1">
        <f t="array" ref="P717">_xlfn.SWITCH(rounded[[#This Row],[depression_label]], 0, "Not Depressed", 1, "Depressed")</f>
        <v>Not Depressed</v>
      </c>
      <c r="Q717" s="45" t="str" cm="1">
        <f t="array" ref="Q717">_xlfn.SWITCH(rounded[[#This Row],[gender]], "male", "Male", "female", "Female")</f>
        <v>Female</v>
      </c>
    </row>
    <row r="718" spans="1:17" x14ac:dyDescent="0.35">
      <c r="A718">
        <v>15</v>
      </c>
      <c r="B718" t="s">
        <v>16</v>
      </c>
      <c r="C718" s="4">
        <v>2.7</v>
      </c>
      <c r="D718" t="s">
        <v>20</v>
      </c>
      <c r="E718" s="4">
        <v>7.8</v>
      </c>
      <c r="F718" s="4">
        <v>1.8</v>
      </c>
      <c r="G718">
        <v>3.9</v>
      </c>
      <c r="H718">
        <v>1.4</v>
      </c>
      <c r="I718" t="s">
        <v>15</v>
      </c>
      <c r="J718">
        <v>5</v>
      </c>
      <c r="K718">
        <v>8</v>
      </c>
      <c r="L718">
        <v>9</v>
      </c>
      <c r="M718">
        <v>0</v>
      </c>
      <c r="N718">
        <f>_xlfn.IFS(rounded[[#This Row],[social_interaction_level]] = "low", 1,rounded[[#This Row],[social_interaction_level]] = "medium", 2,rounded[[#This Row],[social_interaction_level]] = "high", 3)</f>
        <v>1</v>
      </c>
      <c r="O718">
        <f t="shared" si="11"/>
        <v>22</v>
      </c>
      <c r="P718" t="str" cm="1">
        <f t="array" ref="P718">_xlfn.SWITCH(rounded[[#This Row],[depression_label]], 0, "Not Depressed", 1, "Depressed")</f>
        <v>Not Depressed</v>
      </c>
      <c r="Q718" s="45" t="str" cm="1">
        <f t="array" ref="Q718">_xlfn.SWITCH(rounded[[#This Row],[gender]], "male", "Male", "female", "Female")</f>
        <v>Female</v>
      </c>
    </row>
    <row r="719" spans="1:17" x14ac:dyDescent="0.35">
      <c r="A719">
        <v>18</v>
      </c>
      <c r="B719" t="s">
        <v>13</v>
      </c>
      <c r="C719" s="4">
        <v>2.5</v>
      </c>
      <c r="D719" t="s">
        <v>14</v>
      </c>
      <c r="E719" s="4">
        <v>4.2</v>
      </c>
      <c r="F719" s="4">
        <v>1.4</v>
      </c>
      <c r="G719">
        <v>3.9</v>
      </c>
      <c r="H719">
        <v>0.7</v>
      </c>
      <c r="I719" t="s">
        <v>18</v>
      </c>
      <c r="J719">
        <v>5</v>
      </c>
      <c r="K719">
        <v>2</v>
      </c>
      <c r="L719">
        <v>3</v>
      </c>
      <c r="M719">
        <v>0</v>
      </c>
      <c r="N719">
        <f>_xlfn.IFS(rounded[[#This Row],[social_interaction_level]] = "low", 1,rounded[[#This Row],[social_interaction_level]] = "medium", 2,rounded[[#This Row],[social_interaction_level]] = "high", 3)</f>
        <v>3</v>
      </c>
      <c r="O719">
        <f t="shared" si="11"/>
        <v>10</v>
      </c>
      <c r="P719" t="str" cm="1">
        <f t="array" ref="P719">_xlfn.SWITCH(rounded[[#This Row],[depression_label]], 0, "Not Depressed", 1, "Depressed")</f>
        <v>Not Depressed</v>
      </c>
      <c r="Q719" s="45" t="str" cm="1">
        <f t="array" ref="Q719">_xlfn.SWITCH(rounded[[#This Row],[gender]], "male", "Male", "female", "Female")</f>
        <v>Male</v>
      </c>
    </row>
    <row r="720" spans="1:17" x14ac:dyDescent="0.35">
      <c r="A720">
        <v>18</v>
      </c>
      <c r="B720" t="s">
        <v>16</v>
      </c>
      <c r="C720" s="4">
        <v>2.2999999999999998</v>
      </c>
      <c r="D720" t="s">
        <v>17</v>
      </c>
      <c r="E720" s="4">
        <v>4.3</v>
      </c>
      <c r="F720" s="4">
        <v>0.9</v>
      </c>
      <c r="G720">
        <v>3.27</v>
      </c>
      <c r="H720">
        <v>0.1</v>
      </c>
      <c r="I720" t="s">
        <v>18</v>
      </c>
      <c r="J720">
        <v>5</v>
      </c>
      <c r="K720">
        <v>9</v>
      </c>
      <c r="L720">
        <v>10</v>
      </c>
      <c r="M720">
        <v>0</v>
      </c>
      <c r="N720">
        <f>_xlfn.IFS(rounded[[#This Row],[social_interaction_level]] = "low", 1,rounded[[#This Row],[social_interaction_level]] = "medium", 2,rounded[[#This Row],[social_interaction_level]] = "high", 3)</f>
        <v>3</v>
      </c>
      <c r="O720">
        <f t="shared" si="11"/>
        <v>24</v>
      </c>
      <c r="P720" t="str" cm="1">
        <f t="array" ref="P720">_xlfn.SWITCH(rounded[[#This Row],[depression_label]], 0, "Not Depressed", 1, "Depressed")</f>
        <v>Not Depressed</v>
      </c>
      <c r="Q720" s="45" t="str" cm="1">
        <f t="array" ref="Q720">_xlfn.SWITCH(rounded[[#This Row],[gender]], "male", "Male", "female", "Female")</f>
        <v>Female</v>
      </c>
    </row>
    <row r="721" spans="1:17" x14ac:dyDescent="0.35">
      <c r="A721">
        <v>17</v>
      </c>
      <c r="B721" t="s">
        <v>16</v>
      </c>
      <c r="C721" s="4">
        <v>2.7</v>
      </c>
      <c r="D721" t="s">
        <v>17</v>
      </c>
      <c r="E721" s="4">
        <v>6.6</v>
      </c>
      <c r="F721" s="4">
        <v>1.6</v>
      </c>
      <c r="G721">
        <v>3.36</v>
      </c>
      <c r="H721">
        <v>1.6</v>
      </c>
      <c r="I721" t="s">
        <v>18</v>
      </c>
      <c r="J721">
        <v>3</v>
      </c>
      <c r="K721">
        <v>1</v>
      </c>
      <c r="L721">
        <v>2</v>
      </c>
      <c r="M721">
        <v>0</v>
      </c>
      <c r="N721">
        <f>_xlfn.IFS(rounded[[#This Row],[social_interaction_level]] = "low", 1,rounded[[#This Row],[social_interaction_level]] = "medium", 2,rounded[[#This Row],[social_interaction_level]] = "high", 3)</f>
        <v>3</v>
      </c>
      <c r="O721">
        <f t="shared" si="11"/>
        <v>6</v>
      </c>
      <c r="P721" t="str" cm="1">
        <f t="array" ref="P721">_xlfn.SWITCH(rounded[[#This Row],[depression_label]], 0, "Not Depressed", 1, "Depressed")</f>
        <v>Not Depressed</v>
      </c>
      <c r="Q721" s="45" t="str" cm="1">
        <f t="array" ref="Q721">_xlfn.SWITCH(rounded[[#This Row],[gender]], "male", "Male", "female", "Female")</f>
        <v>Female</v>
      </c>
    </row>
    <row r="722" spans="1:17" x14ac:dyDescent="0.35">
      <c r="A722">
        <v>14</v>
      </c>
      <c r="B722" t="s">
        <v>13</v>
      </c>
      <c r="C722" s="4">
        <v>3.2</v>
      </c>
      <c r="D722" t="s">
        <v>14</v>
      </c>
      <c r="E722" s="4">
        <v>5.4</v>
      </c>
      <c r="F722" s="4">
        <v>2.6</v>
      </c>
      <c r="G722">
        <v>3.18</v>
      </c>
      <c r="H722">
        <v>0.9</v>
      </c>
      <c r="I722" t="s">
        <v>15</v>
      </c>
      <c r="J722">
        <v>9</v>
      </c>
      <c r="K722">
        <v>1</v>
      </c>
      <c r="L722">
        <v>7</v>
      </c>
      <c r="M722">
        <v>0</v>
      </c>
      <c r="N722">
        <f>_xlfn.IFS(rounded[[#This Row],[social_interaction_level]] = "low", 1,rounded[[#This Row],[social_interaction_level]] = "medium", 2,rounded[[#This Row],[social_interaction_level]] = "high", 3)</f>
        <v>1</v>
      </c>
      <c r="O722">
        <f t="shared" si="11"/>
        <v>17</v>
      </c>
      <c r="P722" t="str" cm="1">
        <f t="array" ref="P722">_xlfn.SWITCH(rounded[[#This Row],[depression_label]], 0, "Not Depressed", 1, "Depressed")</f>
        <v>Not Depressed</v>
      </c>
      <c r="Q722" s="45" t="str" cm="1">
        <f t="array" ref="Q722">_xlfn.SWITCH(rounded[[#This Row],[gender]], "male", "Male", "female", "Female")</f>
        <v>Male</v>
      </c>
    </row>
    <row r="723" spans="1:17" x14ac:dyDescent="0.35">
      <c r="A723">
        <v>18</v>
      </c>
      <c r="B723" t="s">
        <v>16</v>
      </c>
      <c r="C723" s="4">
        <v>3.8</v>
      </c>
      <c r="D723" t="s">
        <v>20</v>
      </c>
      <c r="E723" s="4">
        <v>5.3</v>
      </c>
      <c r="F723" s="4">
        <v>2.2999999999999998</v>
      </c>
      <c r="G723">
        <v>3.42</v>
      </c>
      <c r="H723">
        <v>0.4</v>
      </c>
      <c r="I723" t="s">
        <v>15</v>
      </c>
      <c r="J723">
        <v>4</v>
      </c>
      <c r="K723">
        <v>8</v>
      </c>
      <c r="L723">
        <v>2</v>
      </c>
      <c r="M723">
        <v>0</v>
      </c>
      <c r="N723">
        <f>_xlfn.IFS(rounded[[#This Row],[social_interaction_level]] = "low", 1,rounded[[#This Row],[social_interaction_level]] = "medium", 2,rounded[[#This Row],[social_interaction_level]] = "high", 3)</f>
        <v>1</v>
      </c>
      <c r="O723">
        <f t="shared" si="11"/>
        <v>14</v>
      </c>
      <c r="P723" t="str" cm="1">
        <f t="array" ref="P723">_xlfn.SWITCH(rounded[[#This Row],[depression_label]], 0, "Not Depressed", 1, "Depressed")</f>
        <v>Not Depressed</v>
      </c>
      <c r="Q723" s="45" t="str" cm="1">
        <f t="array" ref="Q723">_xlfn.SWITCH(rounded[[#This Row],[gender]], "male", "Male", "female", "Female")</f>
        <v>Female</v>
      </c>
    </row>
    <row r="724" spans="1:17" x14ac:dyDescent="0.35">
      <c r="A724">
        <v>14</v>
      </c>
      <c r="B724" t="s">
        <v>16</v>
      </c>
      <c r="C724" s="4">
        <v>4.0999999999999996</v>
      </c>
      <c r="D724" t="s">
        <v>17</v>
      </c>
      <c r="E724" s="4">
        <v>5.4</v>
      </c>
      <c r="F724" s="4">
        <v>2.4</v>
      </c>
      <c r="G724">
        <v>2.71</v>
      </c>
      <c r="H724">
        <v>1.3</v>
      </c>
      <c r="I724" t="s">
        <v>15</v>
      </c>
      <c r="J724">
        <v>9</v>
      </c>
      <c r="K724">
        <v>5</v>
      </c>
      <c r="L724">
        <v>10</v>
      </c>
      <c r="M724">
        <v>0</v>
      </c>
      <c r="N724">
        <f>_xlfn.IFS(rounded[[#This Row],[social_interaction_level]] = "low", 1,rounded[[#This Row],[social_interaction_level]] = "medium", 2,rounded[[#This Row],[social_interaction_level]] = "high", 3)</f>
        <v>1</v>
      </c>
      <c r="O724">
        <f t="shared" si="11"/>
        <v>24</v>
      </c>
      <c r="P724" t="str" cm="1">
        <f t="array" ref="P724">_xlfn.SWITCH(rounded[[#This Row],[depression_label]], 0, "Not Depressed", 1, "Depressed")</f>
        <v>Not Depressed</v>
      </c>
      <c r="Q724" s="45" t="str" cm="1">
        <f t="array" ref="Q724">_xlfn.SWITCH(rounded[[#This Row],[gender]], "male", "Male", "female", "Female")</f>
        <v>Female</v>
      </c>
    </row>
    <row r="725" spans="1:17" x14ac:dyDescent="0.35">
      <c r="A725">
        <v>13</v>
      </c>
      <c r="B725" t="s">
        <v>16</v>
      </c>
      <c r="C725" s="4">
        <v>2.2999999999999998</v>
      </c>
      <c r="D725" t="s">
        <v>17</v>
      </c>
      <c r="E725" s="4">
        <v>6.6</v>
      </c>
      <c r="F725" s="4">
        <v>1.4</v>
      </c>
      <c r="G725">
        <v>3.74</v>
      </c>
      <c r="H725">
        <v>1.5</v>
      </c>
      <c r="I725" t="s">
        <v>19</v>
      </c>
      <c r="J725">
        <v>6</v>
      </c>
      <c r="K725">
        <v>10</v>
      </c>
      <c r="L725">
        <v>1</v>
      </c>
      <c r="M725">
        <v>0</v>
      </c>
      <c r="N725">
        <f>_xlfn.IFS(rounded[[#This Row],[social_interaction_level]] = "low", 1,rounded[[#This Row],[social_interaction_level]] = "medium", 2,rounded[[#This Row],[social_interaction_level]] = "high", 3)</f>
        <v>2</v>
      </c>
      <c r="O725">
        <f t="shared" si="11"/>
        <v>17</v>
      </c>
      <c r="P725" t="str" cm="1">
        <f t="array" ref="P725">_xlfn.SWITCH(rounded[[#This Row],[depression_label]], 0, "Not Depressed", 1, "Depressed")</f>
        <v>Not Depressed</v>
      </c>
      <c r="Q725" s="45" t="str" cm="1">
        <f t="array" ref="Q725">_xlfn.SWITCH(rounded[[#This Row],[gender]], "male", "Male", "female", "Female")</f>
        <v>Female</v>
      </c>
    </row>
    <row r="726" spans="1:17" x14ac:dyDescent="0.35">
      <c r="A726">
        <v>15</v>
      </c>
      <c r="B726" t="s">
        <v>13</v>
      </c>
      <c r="C726" s="4">
        <v>8</v>
      </c>
      <c r="D726" t="s">
        <v>14</v>
      </c>
      <c r="E726" s="4">
        <v>4.7</v>
      </c>
      <c r="F726" s="4">
        <v>0.6</v>
      </c>
      <c r="G726">
        <v>3.01</v>
      </c>
      <c r="H726">
        <v>1.8</v>
      </c>
      <c r="I726" t="s">
        <v>19</v>
      </c>
      <c r="J726">
        <v>2</v>
      </c>
      <c r="K726">
        <v>9</v>
      </c>
      <c r="L726">
        <v>10</v>
      </c>
      <c r="M726">
        <v>0</v>
      </c>
      <c r="N726">
        <f>_xlfn.IFS(rounded[[#This Row],[social_interaction_level]] = "low", 1,rounded[[#This Row],[social_interaction_level]] = "medium", 2,rounded[[#This Row],[social_interaction_level]] = "high", 3)</f>
        <v>2</v>
      </c>
      <c r="O726">
        <f t="shared" si="11"/>
        <v>21</v>
      </c>
      <c r="P726" t="str" cm="1">
        <f t="array" ref="P726">_xlfn.SWITCH(rounded[[#This Row],[depression_label]], 0, "Not Depressed", 1, "Depressed")</f>
        <v>Not Depressed</v>
      </c>
      <c r="Q726" s="45" t="str" cm="1">
        <f t="array" ref="Q726">_xlfn.SWITCH(rounded[[#This Row],[gender]], "male", "Male", "female", "Female")</f>
        <v>Male</v>
      </c>
    </row>
    <row r="727" spans="1:17" x14ac:dyDescent="0.35">
      <c r="A727">
        <v>15</v>
      </c>
      <c r="B727" t="s">
        <v>16</v>
      </c>
      <c r="C727" s="4">
        <v>2.9</v>
      </c>
      <c r="D727" t="s">
        <v>17</v>
      </c>
      <c r="E727" s="4">
        <v>6.4</v>
      </c>
      <c r="F727" s="4">
        <v>0.7</v>
      </c>
      <c r="G727">
        <v>3.41</v>
      </c>
      <c r="H727">
        <v>1.6</v>
      </c>
      <c r="I727" t="s">
        <v>15</v>
      </c>
      <c r="J727">
        <v>3</v>
      </c>
      <c r="K727">
        <v>10</v>
      </c>
      <c r="L727">
        <v>7</v>
      </c>
      <c r="M727">
        <v>0</v>
      </c>
      <c r="N727">
        <f>_xlfn.IFS(rounded[[#This Row],[social_interaction_level]] = "low", 1,rounded[[#This Row],[social_interaction_level]] = "medium", 2,rounded[[#This Row],[social_interaction_level]] = "high", 3)</f>
        <v>1</v>
      </c>
      <c r="O727">
        <f t="shared" si="11"/>
        <v>20</v>
      </c>
      <c r="P727" t="str" cm="1">
        <f t="array" ref="P727">_xlfn.SWITCH(rounded[[#This Row],[depression_label]], 0, "Not Depressed", 1, "Depressed")</f>
        <v>Not Depressed</v>
      </c>
      <c r="Q727" s="45" t="str" cm="1">
        <f t="array" ref="Q727">_xlfn.SWITCH(rounded[[#This Row],[gender]], "male", "Male", "female", "Female")</f>
        <v>Female</v>
      </c>
    </row>
    <row r="728" spans="1:17" x14ac:dyDescent="0.35">
      <c r="A728">
        <v>19</v>
      </c>
      <c r="B728" t="s">
        <v>16</v>
      </c>
      <c r="C728" s="4">
        <v>4.4000000000000004</v>
      </c>
      <c r="D728" t="s">
        <v>20</v>
      </c>
      <c r="E728" s="4">
        <v>5</v>
      </c>
      <c r="F728" s="4">
        <v>2.8</v>
      </c>
      <c r="G728">
        <v>2.69</v>
      </c>
      <c r="H728">
        <v>0.4</v>
      </c>
      <c r="I728" t="s">
        <v>18</v>
      </c>
      <c r="J728">
        <v>3</v>
      </c>
      <c r="K728">
        <v>8</v>
      </c>
      <c r="L728">
        <v>8</v>
      </c>
      <c r="M728">
        <v>0</v>
      </c>
      <c r="N728">
        <f>_xlfn.IFS(rounded[[#This Row],[social_interaction_level]] = "low", 1,rounded[[#This Row],[social_interaction_level]] = "medium", 2,rounded[[#This Row],[social_interaction_level]] = "high", 3)</f>
        <v>3</v>
      </c>
      <c r="O728">
        <f t="shared" si="11"/>
        <v>19</v>
      </c>
      <c r="P728" t="str" cm="1">
        <f t="array" ref="P728">_xlfn.SWITCH(rounded[[#This Row],[depression_label]], 0, "Not Depressed", 1, "Depressed")</f>
        <v>Not Depressed</v>
      </c>
      <c r="Q728" s="45" t="str" cm="1">
        <f t="array" ref="Q728">_xlfn.SWITCH(rounded[[#This Row],[gender]], "male", "Male", "female", "Female")</f>
        <v>Female</v>
      </c>
    </row>
    <row r="729" spans="1:17" x14ac:dyDescent="0.35">
      <c r="A729">
        <v>18</v>
      </c>
      <c r="B729" t="s">
        <v>16</v>
      </c>
      <c r="C729" s="4">
        <v>3.1</v>
      </c>
      <c r="D729" t="s">
        <v>20</v>
      </c>
      <c r="E729" s="4">
        <v>6.8</v>
      </c>
      <c r="F729" s="4">
        <v>2</v>
      </c>
      <c r="G729">
        <v>3.77</v>
      </c>
      <c r="H729">
        <v>1.4</v>
      </c>
      <c r="I729" t="s">
        <v>15</v>
      </c>
      <c r="J729">
        <v>1</v>
      </c>
      <c r="K729">
        <v>3</v>
      </c>
      <c r="L729">
        <v>4</v>
      </c>
      <c r="M729">
        <v>0</v>
      </c>
      <c r="N729">
        <f>_xlfn.IFS(rounded[[#This Row],[social_interaction_level]] = "low", 1,rounded[[#This Row],[social_interaction_level]] = "medium", 2,rounded[[#This Row],[social_interaction_level]] = "high", 3)</f>
        <v>1</v>
      </c>
      <c r="O729">
        <f t="shared" si="11"/>
        <v>8</v>
      </c>
      <c r="P729" t="str" cm="1">
        <f t="array" ref="P729">_xlfn.SWITCH(rounded[[#This Row],[depression_label]], 0, "Not Depressed", 1, "Depressed")</f>
        <v>Not Depressed</v>
      </c>
      <c r="Q729" s="45" t="str" cm="1">
        <f t="array" ref="Q729">_xlfn.SWITCH(rounded[[#This Row],[gender]], "male", "Male", "female", "Female")</f>
        <v>Female</v>
      </c>
    </row>
    <row r="730" spans="1:17" x14ac:dyDescent="0.35">
      <c r="A730">
        <v>18</v>
      </c>
      <c r="B730" t="s">
        <v>13</v>
      </c>
      <c r="C730" s="4">
        <v>7.9</v>
      </c>
      <c r="D730" t="s">
        <v>17</v>
      </c>
      <c r="E730" s="4">
        <v>7.5</v>
      </c>
      <c r="F730" s="4">
        <v>2</v>
      </c>
      <c r="G730">
        <v>2.77</v>
      </c>
      <c r="H730">
        <v>0.9</v>
      </c>
      <c r="I730" t="s">
        <v>15</v>
      </c>
      <c r="J730">
        <v>10</v>
      </c>
      <c r="K730">
        <v>4</v>
      </c>
      <c r="L730">
        <v>4</v>
      </c>
      <c r="M730">
        <v>0</v>
      </c>
      <c r="N730">
        <f>_xlfn.IFS(rounded[[#This Row],[social_interaction_level]] = "low", 1,rounded[[#This Row],[social_interaction_level]] = "medium", 2,rounded[[#This Row],[social_interaction_level]] = "high", 3)</f>
        <v>1</v>
      </c>
      <c r="O730">
        <f t="shared" si="11"/>
        <v>18</v>
      </c>
      <c r="P730" t="str" cm="1">
        <f t="array" ref="P730">_xlfn.SWITCH(rounded[[#This Row],[depression_label]], 0, "Not Depressed", 1, "Depressed")</f>
        <v>Not Depressed</v>
      </c>
      <c r="Q730" s="45" t="str" cm="1">
        <f t="array" ref="Q730">_xlfn.SWITCH(rounded[[#This Row],[gender]], "male", "Male", "female", "Female")</f>
        <v>Male</v>
      </c>
    </row>
    <row r="731" spans="1:17" x14ac:dyDescent="0.35">
      <c r="A731">
        <v>14</v>
      </c>
      <c r="B731" t="s">
        <v>16</v>
      </c>
      <c r="C731" s="4">
        <v>1.2</v>
      </c>
      <c r="D731" t="s">
        <v>20</v>
      </c>
      <c r="E731" s="4">
        <v>7</v>
      </c>
      <c r="F731" s="4">
        <v>2.2000000000000002</v>
      </c>
      <c r="G731">
        <v>3.83</v>
      </c>
      <c r="H731">
        <v>0.8</v>
      </c>
      <c r="I731" t="s">
        <v>15</v>
      </c>
      <c r="J731">
        <v>6</v>
      </c>
      <c r="K731">
        <v>10</v>
      </c>
      <c r="L731">
        <v>5</v>
      </c>
      <c r="M731">
        <v>0</v>
      </c>
      <c r="N731">
        <f>_xlfn.IFS(rounded[[#This Row],[social_interaction_level]] = "low", 1,rounded[[#This Row],[social_interaction_level]] = "medium", 2,rounded[[#This Row],[social_interaction_level]] = "high", 3)</f>
        <v>1</v>
      </c>
      <c r="O731">
        <f t="shared" si="11"/>
        <v>21</v>
      </c>
      <c r="P731" t="str" cm="1">
        <f t="array" ref="P731">_xlfn.SWITCH(rounded[[#This Row],[depression_label]], 0, "Not Depressed", 1, "Depressed")</f>
        <v>Not Depressed</v>
      </c>
      <c r="Q731" s="45" t="str" cm="1">
        <f t="array" ref="Q731">_xlfn.SWITCH(rounded[[#This Row],[gender]], "male", "Male", "female", "Female")</f>
        <v>Female</v>
      </c>
    </row>
    <row r="732" spans="1:17" x14ac:dyDescent="0.35">
      <c r="A732">
        <v>19</v>
      </c>
      <c r="B732" t="s">
        <v>16</v>
      </c>
      <c r="C732" s="4">
        <v>4</v>
      </c>
      <c r="D732" t="s">
        <v>20</v>
      </c>
      <c r="E732" s="4">
        <v>7.4</v>
      </c>
      <c r="F732" s="4">
        <v>2.7</v>
      </c>
      <c r="G732">
        <v>3.41</v>
      </c>
      <c r="H732">
        <v>1.4</v>
      </c>
      <c r="I732" t="s">
        <v>19</v>
      </c>
      <c r="J732">
        <v>9</v>
      </c>
      <c r="K732">
        <v>4</v>
      </c>
      <c r="L732">
        <v>7</v>
      </c>
      <c r="M732">
        <v>0</v>
      </c>
      <c r="N732">
        <f>_xlfn.IFS(rounded[[#This Row],[social_interaction_level]] = "low", 1,rounded[[#This Row],[social_interaction_level]] = "medium", 2,rounded[[#This Row],[social_interaction_level]] = "high", 3)</f>
        <v>2</v>
      </c>
      <c r="O732">
        <f t="shared" si="11"/>
        <v>20</v>
      </c>
      <c r="P732" t="str" cm="1">
        <f t="array" ref="P732">_xlfn.SWITCH(rounded[[#This Row],[depression_label]], 0, "Not Depressed", 1, "Depressed")</f>
        <v>Not Depressed</v>
      </c>
      <c r="Q732" s="45" t="str" cm="1">
        <f t="array" ref="Q732">_xlfn.SWITCH(rounded[[#This Row],[gender]], "male", "Male", "female", "Female")</f>
        <v>Female</v>
      </c>
    </row>
    <row r="733" spans="1:17" x14ac:dyDescent="0.35">
      <c r="A733">
        <v>18</v>
      </c>
      <c r="B733" t="s">
        <v>13</v>
      </c>
      <c r="C733" s="4">
        <v>1</v>
      </c>
      <c r="D733" t="s">
        <v>14</v>
      </c>
      <c r="E733" s="4">
        <v>7.1</v>
      </c>
      <c r="F733" s="4">
        <v>0.8</v>
      </c>
      <c r="G733">
        <v>2.4700000000000002</v>
      </c>
      <c r="H733">
        <v>1.9</v>
      </c>
      <c r="I733" t="s">
        <v>18</v>
      </c>
      <c r="J733">
        <v>4</v>
      </c>
      <c r="K733">
        <v>2</v>
      </c>
      <c r="L733">
        <v>4</v>
      </c>
      <c r="M733">
        <v>0</v>
      </c>
      <c r="N733">
        <f>_xlfn.IFS(rounded[[#This Row],[social_interaction_level]] = "low", 1,rounded[[#This Row],[social_interaction_level]] = "medium", 2,rounded[[#This Row],[social_interaction_level]] = "high", 3)</f>
        <v>3</v>
      </c>
      <c r="O733">
        <f t="shared" si="11"/>
        <v>10</v>
      </c>
      <c r="P733" t="str" cm="1">
        <f t="array" ref="P733">_xlfn.SWITCH(rounded[[#This Row],[depression_label]], 0, "Not Depressed", 1, "Depressed")</f>
        <v>Not Depressed</v>
      </c>
      <c r="Q733" s="45" t="str" cm="1">
        <f t="array" ref="Q733">_xlfn.SWITCH(rounded[[#This Row],[gender]], "male", "Male", "female", "Female")</f>
        <v>Male</v>
      </c>
    </row>
    <row r="734" spans="1:17" x14ac:dyDescent="0.35">
      <c r="A734">
        <v>19</v>
      </c>
      <c r="B734" t="s">
        <v>16</v>
      </c>
      <c r="C734" s="4">
        <v>7.9</v>
      </c>
      <c r="D734" t="s">
        <v>14</v>
      </c>
      <c r="E734" s="4">
        <v>5.7</v>
      </c>
      <c r="F734" s="4">
        <v>2.4</v>
      </c>
      <c r="G734">
        <v>3.59</v>
      </c>
      <c r="H734">
        <v>1.9</v>
      </c>
      <c r="I734" t="s">
        <v>18</v>
      </c>
      <c r="J734">
        <v>1</v>
      </c>
      <c r="K734">
        <v>9</v>
      </c>
      <c r="L734">
        <v>9</v>
      </c>
      <c r="M734">
        <v>0</v>
      </c>
      <c r="N734">
        <f>_xlfn.IFS(rounded[[#This Row],[social_interaction_level]] = "low", 1,rounded[[#This Row],[social_interaction_level]] = "medium", 2,rounded[[#This Row],[social_interaction_level]] = "high", 3)</f>
        <v>3</v>
      </c>
      <c r="O734">
        <f t="shared" si="11"/>
        <v>19</v>
      </c>
      <c r="P734" t="str" cm="1">
        <f t="array" ref="P734">_xlfn.SWITCH(rounded[[#This Row],[depression_label]], 0, "Not Depressed", 1, "Depressed")</f>
        <v>Not Depressed</v>
      </c>
      <c r="Q734" s="45" t="str" cm="1">
        <f t="array" ref="Q734">_xlfn.SWITCH(rounded[[#This Row],[gender]], "male", "Male", "female", "Female")</f>
        <v>Female</v>
      </c>
    </row>
    <row r="735" spans="1:17" x14ac:dyDescent="0.35">
      <c r="A735">
        <v>14</v>
      </c>
      <c r="B735" t="s">
        <v>13</v>
      </c>
      <c r="C735" s="4">
        <v>6.2</v>
      </c>
      <c r="D735" t="s">
        <v>17</v>
      </c>
      <c r="E735" s="4">
        <v>4.4000000000000004</v>
      </c>
      <c r="F735" s="4">
        <v>0.7</v>
      </c>
      <c r="G735">
        <v>3.45</v>
      </c>
      <c r="H735">
        <v>0.5</v>
      </c>
      <c r="I735" t="s">
        <v>19</v>
      </c>
      <c r="J735">
        <v>9</v>
      </c>
      <c r="K735">
        <v>10</v>
      </c>
      <c r="L735">
        <v>3</v>
      </c>
      <c r="M735">
        <v>1</v>
      </c>
      <c r="N735">
        <f>_xlfn.IFS(rounded[[#This Row],[social_interaction_level]] = "low", 1,rounded[[#This Row],[social_interaction_level]] = "medium", 2,rounded[[#This Row],[social_interaction_level]] = "high", 3)</f>
        <v>2</v>
      </c>
      <c r="O735">
        <f t="shared" si="11"/>
        <v>22</v>
      </c>
      <c r="P735" t="str" cm="1">
        <f t="array" ref="P735">_xlfn.SWITCH(rounded[[#This Row],[depression_label]], 0, "Not Depressed", 1, "Depressed")</f>
        <v>Depressed</v>
      </c>
      <c r="Q735" s="45" t="str" cm="1">
        <f t="array" ref="Q735">_xlfn.SWITCH(rounded[[#This Row],[gender]], "male", "Male", "female", "Female")</f>
        <v>Male</v>
      </c>
    </row>
    <row r="736" spans="1:17" x14ac:dyDescent="0.35">
      <c r="A736">
        <v>16</v>
      </c>
      <c r="B736" t="s">
        <v>16</v>
      </c>
      <c r="C736" s="4">
        <v>2.5</v>
      </c>
      <c r="D736" t="s">
        <v>14</v>
      </c>
      <c r="E736" s="4">
        <v>5.4</v>
      </c>
      <c r="F736" s="4">
        <v>2.2999999999999998</v>
      </c>
      <c r="G736">
        <v>3.43</v>
      </c>
      <c r="H736">
        <v>0.5</v>
      </c>
      <c r="I736" t="s">
        <v>18</v>
      </c>
      <c r="J736">
        <v>9</v>
      </c>
      <c r="K736">
        <v>1</v>
      </c>
      <c r="L736">
        <v>2</v>
      </c>
      <c r="M736">
        <v>0</v>
      </c>
      <c r="N736">
        <f>_xlfn.IFS(rounded[[#This Row],[social_interaction_level]] = "low", 1,rounded[[#This Row],[social_interaction_level]] = "medium", 2,rounded[[#This Row],[social_interaction_level]] = "high", 3)</f>
        <v>3</v>
      </c>
      <c r="O736">
        <f t="shared" si="11"/>
        <v>12</v>
      </c>
      <c r="P736" t="str" cm="1">
        <f t="array" ref="P736">_xlfn.SWITCH(rounded[[#This Row],[depression_label]], 0, "Not Depressed", 1, "Depressed")</f>
        <v>Not Depressed</v>
      </c>
      <c r="Q736" s="45" t="str" cm="1">
        <f t="array" ref="Q736">_xlfn.SWITCH(rounded[[#This Row],[gender]], "male", "Male", "female", "Female")</f>
        <v>Female</v>
      </c>
    </row>
    <row r="737" spans="1:17" x14ac:dyDescent="0.35">
      <c r="A737">
        <v>16</v>
      </c>
      <c r="B737" t="s">
        <v>13</v>
      </c>
      <c r="C737" s="4">
        <v>4.7</v>
      </c>
      <c r="D737" t="s">
        <v>20</v>
      </c>
      <c r="E737" s="4">
        <v>8.1999999999999993</v>
      </c>
      <c r="F737" s="4">
        <v>2.6</v>
      </c>
      <c r="G737">
        <v>3.05</v>
      </c>
      <c r="H737">
        <v>1</v>
      </c>
      <c r="I737" t="s">
        <v>19</v>
      </c>
      <c r="J737">
        <v>4</v>
      </c>
      <c r="K737">
        <v>7</v>
      </c>
      <c r="L737">
        <v>2</v>
      </c>
      <c r="M737">
        <v>0</v>
      </c>
      <c r="N737">
        <f>_xlfn.IFS(rounded[[#This Row],[social_interaction_level]] = "low", 1,rounded[[#This Row],[social_interaction_level]] = "medium", 2,rounded[[#This Row],[social_interaction_level]] = "high", 3)</f>
        <v>2</v>
      </c>
      <c r="O737">
        <f t="shared" si="11"/>
        <v>13</v>
      </c>
      <c r="P737" t="str" cm="1">
        <f t="array" ref="P737">_xlfn.SWITCH(rounded[[#This Row],[depression_label]], 0, "Not Depressed", 1, "Depressed")</f>
        <v>Not Depressed</v>
      </c>
      <c r="Q737" s="45" t="str" cm="1">
        <f t="array" ref="Q737">_xlfn.SWITCH(rounded[[#This Row],[gender]], "male", "Male", "female", "Female")</f>
        <v>Male</v>
      </c>
    </row>
    <row r="738" spans="1:17" x14ac:dyDescent="0.35">
      <c r="A738">
        <v>16</v>
      </c>
      <c r="B738" t="s">
        <v>13</v>
      </c>
      <c r="C738" s="4">
        <v>6.3</v>
      </c>
      <c r="D738" t="s">
        <v>14</v>
      </c>
      <c r="E738" s="4">
        <v>6.5</v>
      </c>
      <c r="F738" s="4">
        <v>1</v>
      </c>
      <c r="G738">
        <v>2.52</v>
      </c>
      <c r="H738">
        <v>0.4</v>
      </c>
      <c r="I738" t="s">
        <v>15</v>
      </c>
      <c r="J738">
        <v>1</v>
      </c>
      <c r="K738">
        <v>10</v>
      </c>
      <c r="L738">
        <v>6</v>
      </c>
      <c r="M738">
        <v>0</v>
      </c>
      <c r="N738">
        <f>_xlfn.IFS(rounded[[#This Row],[social_interaction_level]] = "low", 1,rounded[[#This Row],[social_interaction_level]] = "medium", 2,rounded[[#This Row],[social_interaction_level]] = "high", 3)</f>
        <v>1</v>
      </c>
      <c r="O738">
        <f t="shared" si="11"/>
        <v>17</v>
      </c>
      <c r="P738" t="str" cm="1">
        <f t="array" ref="P738">_xlfn.SWITCH(rounded[[#This Row],[depression_label]], 0, "Not Depressed", 1, "Depressed")</f>
        <v>Not Depressed</v>
      </c>
      <c r="Q738" s="45" t="str" cm="1">
        <f t="array" ref="Q738">_xlfn.SWITCH(rounded[[#This Row],[gender]], "male", "Male", "female", "Female")</f>
        <v>Male</v>
      </c>
    </row>
    <row r="739" spans="1:17" x14ac:dyDescent="0.35">
      <c r="A739">
        <v>17</v>
      </c>
      <c r="B739" t="s">
        <v>16</v>
      </c>
      <c r="C739" s="4">
        <v>7.5</v>
      </c>
      <c r="D739" t="s">
        <v>17</v>
      </c>
      <c r="E739" s="4">
        <v>5.4</v>
      </c>
      <c r="F739" s="4">
        <v>2.2999999999999998</v>
      </c>
      <c r="G739">
        <v>3.44</v>
      </c>
      <c r="H739">
        <v>0.4</v>
      </c>
      <c r="I739" t="s">
        <v>19</v>
      </c>
      <c r="J739">
        <v>7</v>
      </c>
      <c r="K739">
        <v>9</v>
      </c>
      <c r="L739">
        <v>7</v>
      </c>
      <c r="M739">
        <v>1</v>
      </c>
      <c r="N739">
        <f>_xlfn.IFS(rounded[[#This Row],[social_interaction_level]] = "low", 1,rounded[[#This Row],[social_interaction_level]] = "medium", 2,rounded[[#This Row],[social_interaction_level]] = "high", 3)</f>
        <v>2</v>
      </c>
      <c r="O739">
        <f t="shared" si="11"/>
        <v>23</v>
      </c>
      <c r="P739" t="str" cm="1">
        <f t="array" ref="P739">_xlfn.SWITCH(rounded[[#This Row],[depression_label]], 0, "Not Depressed", 1, "Depressed")</f>
        <v>Depressed</v>
      </c>
      <c r="Q739" s="45" t="str" cm="1">
        <f t="array" ref="Q739">_xlfn.SWITCH(rounded[[#This Row],[gender]], "male", "Male", "female", "Female")</f>
        <v>Female</v>
      </c>
    </row>
    <row r="740" spans="1:17" x14ac:dyDescent="0.35">
      <c r="A740">
        <v>18</v>
      </c>
      <c r="B740" t="s">
        <v>13</v>
      </c>
      <c r="C740" s="4">
        <v>2</v>
      </c>
      <c r="D740" t="s">
        <v>17</v>
      </c>
      <c r="E740" s="4">
        <v>8.4</v>
      </c>
      <c r="F740" s="4">
        <v>1.5</v>
      </c>
      <c r="G740">
        <v>2.83</v>
      </c>
      <c r="H740">
        <v>1.2</v>
      </c>
      <c r="I740" t="s">
        <v>15</v>
      </c>
      <c r="J740">
        <v>9</v>
      </c>
      <c r="K740">
        <v>4</v>
      </c>
      <c r="L740">
        <v>5</v>
      </c>
      <c r="M740">
        <v>0</v>
      </c>
      <c r="N740">
        <f>_xlfn.IFS(rounded[[#This Row],[social_interaction_level]] = "low", 1,rounded[[#This Row],[social_interaction_level]] = "medium", 2,rounded[[#This Row],[social_interaction_level]] = "high", 3)</f>
        <v>1</v>
      </c>
      <c r="O740">
        <f t="shared" si="11"/>
        <v>18</v>
      </c>
      <c r="P740" t="str" cm="1">
        <f t="array" ref="P740">_xlfn.SWITCH(rounded[[#This Row],[depression_label]], 0, "Not Depressed", 1, "Depressed")</f>
        <v>Not Depressed</v>
      </c>
      <c r="Q740" s="45" t="str" cm="1">
        <f t="array" ref="Q740">_xlfn.SWITCH(rounded[[#This Row],[gender]], "male", "Male", "female", "Female")</f>
        <v>Male</v>
      </c>
    </row>
    <row r="741" spans="1:17" x14ac:dyDescent="0.35">
      <c r="A741">
        <v>13</v>
      </c>
      <c r="B741" t="s">
        <v>16</v>
      </c>
      <c r="C741" s="4">
        <v>6.3</v>
      </c>
      <c r="D741" t="s">
        <v>14</v>
      </c>
      <c r="E741" s="4">
        <v>8.4</v>
      </c>
      <c r="F741" s="4">
        <v>1.6</v>
      </c>
      <c r="G741">
        <v>2.0299999999999998</v>
      </c>
      <c r="H741">
        <v>1.5</v>
      </c>
      <c r="I741" t="s">
        <v>19</v>
      </c>
      <c r="J741">
        <v>5</v>
      </c>
      <c r="K741">
        <v>3</v>
      </c>
      <c r="L741">
        <v>9</v>
      </c>
      <c r="M741">
        <v>0</v>
      </c>
      <c r="N741">
        <f>_xlfn.IFS(rounded[[#This Row],[social_interaction_level]] = "low", 1,rounded[[#This Row],[social_interaction_level]] = "medium", 2,rounded[[#This Row],[social_interaction_level]] = "high", 3)</f>
        <v>2</v>
      </c>
      <c r="O741">
        <f t="shared" si="11"/>
        <v>17</v>
      </c>
      <c r="P741" t="str" cm="1">
        <f t="array" ref="P741">_xlfn.SWITCH(rounded[[#This Row],[depression_label]], 0, "Not Depressed", 1, "Depressed")</f>
        <v>Not Depressed</v>
      </c>
      <c r="Q741" s="45" t="str" cm="1">
        <f t="array" ref="Q741">_xlfn.SWITCH(rounded[[#This Row],[gender]], "male", "Male", "female", "Female")</f>
        <v>Female</v>
      </c>
    </row>
    <row r="742" spans="1:17" x14ac:dyDescent="0.35">
      <c r="A742">
        <v>16</v>
      </c>
      <c r="B742" t="s">
        <v>13</v>
      </c>
      <c r="C742" s="4">
        <v>6.6</v>
      </c>
      <c r="D742" t="s">
        <v>20</v>
      </c>
      <c r="E742" s="4">
        <v>8.9</v>
      </c>
      <c r="F742" s="4">
        <v>2</v>
      </c>
      <c r="G742">
        <v>3.44</v>
      </c>
      <c r="H742">
        <v>1.7</v>
      </c>
      <c r="I742" t="s">
        <v>15</v>
      </c>
      <c r="J742">
        <v>10</v>
      </c>
      <c r="K742">
        <v>9</v>
      </c>
      <c r="L742">
        <v>3</v>
      </c>
      <c r="M742">
        <v>0</v>
      </c>
      <c r="N742">
        <f>_xlfn.IFS(rounded[[#This Row],[social_interaction_level]] = "low", 1,rounded[[#This Row],[social_interaction_level]] = "medium", 2,rounded[[#This Row],[social_interaction_level]] = "high", 3)</f>
        <v>1</v>
      </c>
      <c r="O742">
        <f t="shared" si="11"/>
        <v>22</v>
      </c>
      <c r="P742" t="str" cm="1">
        <f t="array" ref="P742">_xlfn.SWITCH(rounded[[#This Row],[depression_label]], 0, "Not Depressed", 1, "Depressed")</f>
        <v>Not Depressed</v>
      </c>
      <c r="Q742" s="45" t="str" cm="1">
        <f t="array" ref="Q742">_xlfn.SWITCH(rounded[[#This Row],[gender]], "male", "Male", "female", "Female")</f>
        <v>Male</v>
      </c>
    </row>
    <row r="743" spans="1:17" x14ac:dyDescent="0.35">
      <c r="A743">
        <v>19</v>
      </c>
      <c r="B743" t="s">
        <v>16</v>
      </c>
      <c r="C743" s="4">
        <v>3.6</v>
      </c>
      <c r="D743" t="s">
        <v>20</v>
      </c>
      <c r="E743" s="4">
        <v>5.6</v>
      </c>
      <c r="F743" s="4">
        <v>1.7</v>
      </c>
      <c r="G743">
        <v>3.57</v>
      </c>
      <c r="H743">
        <v>1.5</v>
      </c>
      <c r="I743" t="s">
        <v>15</v>
      </c>
      <c r="J743">
        <v>10</v>
      </c>
      <c r="K743">
        <v>4</v>
      </c>
      <c r="L743">
        <v>3</v>
      </c>
      <c r="M743">
        <v>0</v>
      </c>
      <c r="N743">
        <f>_xlfn.IFS(rounded[[#This Row],[social_interaction_level]] = "low", 1,rounded[[#This Row],[social_interaction_level]] = "medium", 2,rounded[[#This Row],[social_interaction_level]] = "high", 3)</f>
        <v>1</v>
      </c>
      <c r="O743">
        <f t="shared" si="11"/>
        <v>17</v>
      </c>
      <c r="P743" t="str" cm="1">
        <f t="array" ref="P743">_xlfn.SWITCH(rounded[[#This Row],[depression_label]], 0, "Not Depressed", 1, "Depressed")</f>
        <v>Not Depressed</v>
      </c>
      <c r="Q743" s="45" t="str" cm="1">
        <f t="array" ref="Q743">_xlfn.SWITCH(rounded[[#This Row],[gender]], "male", "Male", "female", "Female")</f>
        <v>Female</v>
      </c>
    </row>
    <row r="744" spans="1:17" x14ac:dyDescent="0.35">
      <c r="A744">
        <v>16</v>
      </c>
      <c r="B744" t="s">
        <v>16</v>
      </c>
      <c r="C744" s="4">
        <v>3.2</v>
      </c>
      <c r="D744" t="s">
        <v>20</v>
      </c>
      <c r="E744" s="4">
        <v>4.5999999999999996</v>
      </c>
      <c r="F744" s="4">
        <v>2.5</v>
      </c>
      <c r="G744">
        <v>2.62</v>
      </c>
      <c r="H744">
        <v>1.8</v>
      </c>
      <c r="I744" t="s">
        <v>15</v>
      </c>
      <c r="J744">
        <v>9</v>
      </c>
      <c r="K744">
        <v>5</v>
      </c>
      <c r="L744">
        <v>1</v>
      </c>
      <c r="M744">
        <v>0</v>
      </c>
      <c r="N744">
        <f>_xlfn.IFS(rounded[[#This Row],[social_interaction_level]] = "low", 1,rounded[[#This Row],[social_interaction_level]] = "medium", 2,rounded[[#This Row],[social_interaction_level]] = "high", 3)</f>
        <v>1</v>
      </c>
      <c r="O744">
        <f t="shared" si="11"/>
        <v>15</v>
      </c>
      <c r="P744" t="str" cm="1">
        <f t="array" ref="P744">_xlfn.SWITCH(rounded[[#This Row],[depression_label]], 0, "Not Depressed", 1, "Depressed")</f>
        <v>Not Depressed</v>
      </c>
      <c r="Q744" s="45" t="str" cm="1">
        <f t="array" ref="Q744">_xlfn.SWITCH(rounded[[#This Row],[gender]], "male", "Male", "female", "Female")</f>
        <v>Female</v>
      </c>
    </row>
    <row r="745" spans="1:17" x14ac:dyDescent="0.35">
      <c r="A745">
        <v>13</v>
      </c>
      <c r="B745" t="s">
        <v>16</v>
      </c>
      <c r="C745" s="4">
        <v>3.1</v>
      </c>
      <c r="D745" t="s">
        <v>14</v>
      </c>
      <c r="E745" s="4">
        <v>6.4</v>
      </c>
      <c r="F745" s="4">
        <v>1.6</v>
      </c>
      <c r="G745">
        <v>3.69</v>
      </c>
      <c r="H745">
        <v>0.9</v>
      </c>
      <c r="I745" t="s">
        <v>19</v>
      </c>
      <c r="J745">
        <v>1</v>
      </c>
      <c r="K745">
        <v>2</v>
      </c>
      <c r="L745">
        <v>1</v>
      </c>
      <c r="M745">
        <v>0</v>
      </c>
      <c r="N745">
        <f>_xlfn.IFS(rounded[[#This Row],[social_interaction_level]] = "low", 1,rounded[[#This Row],[social_interaction_level]] = "medium", 2,rounded[[#This Row],[social_interaction_level]] = "high", 3)</f>
        <v>2</v>
      </c>
      <c r="O745">
        <f t="shared" si="11"/>
        <v>4</v>
      </c>
      <c r="P745" t="str" cm="1">
        <f t="array" ref="P745">_xlfn.SWITCH(rounded[[#This Row],[depression_label]], 0, "Not Depressed", 1, "Depressed")</f>
        <v>Not Depressed</v>
      </c>
      <c r="Q745" s="45" t="str" cm="1">
        <f t="array" ref="Q745">_xlfn.SWITCH(rounded[[#This Row],[gender]], "male", "Male", "female", "Female")</f>
        <v>Female</v>
      </c>
    </row>
    <row r="746" spans="1:17" x14ac:dyDescent="0.35">
      <c r="A746">
        <v>18</v>
      </c>
      <c r="B746" t="s">
        <v>13</v>
      </c>
      <c r="C746" s="4">
        <v>6.7</v>
      </c>
      <c r="D746" t="s">
        <v>14</v>
      </c>
      <c r="E746" s="4">
        <v>8.8000000000000007</v>
      </c>
      <c r="F746" s="4">
        <v>1.9</v>
      </c>
      <c r="G746">
        <v>2.5499999999999998</v>
      </c>
      <c r="H746">
        <v>1</v>
      </c>
      <c r="I746" t="s">
        <v>15</v>
      </c>
      <c r="J746">
        <v>5</v>
      </c>
      <c r="K746">
        <v>8</v>
      </c>
      <c r="L746">
        <v>3</v>
      </c>
      <c r="M746">
        <v>0</v>
      </c>
      <c r="N746">
        <f>_xlfn.IFS(rounded[[#This Row],[social_interaction_level]] = "low", 1,rounded[[#This Row],[social_interaction_level]] = "medium", 2,rounded[[#This Row],[social_interaction_level]] = "high", 3)</f>
        <v>1</v>
      </c>
      <c r="O746">
        <f t="shared" si="11"/>
        <v>16</v>
      </c>
      <c r="P746" t="str" cm="1">
        <f t="array" ref="P746">_xlfn.SWITCH(rounded[[#This Row],[depression_label]], 0, "Not Depressed", 1, "Depressed")</f>
        <v>Not Depressed</v>
      </c>
      <c r="Q746" s="45" t="str" cm="1">
        <f t="array" ref="Q746">_xlfn.SWITCH(rounded[[#This Row],[gender]], "male", "Male", "female", "Female")</f>
        <v>Male</v>
      </c>
    </row>
    <row r="747" spans="1:17" x14ac:dyDescent="0.35">
      <c r="A747">
        <v>17</v>
      </c>
      <c r="B747" t="s">
        <v>13</v>
      </c>
      <c r="C747" s="4">
        <v>6.6</v>
      </c>
      <c r="D747" t="s">
        <v>17</v>
      </c>
      <c r="E747" s="4">
        <v>8.1999999999999993</v>
      </c>
      <c r="F747" s="4">
        <v>0.7</v>
      </c>
      <c r="G747">
        <v>2.88</v>
      </c>
      <c r="H747">
        <v>0.8</v>
      </c>
      <c r="I747" t="s">
        <v>15</v>
      </c>
      <c r="J747">
        <v>1</v>
      </c>
      <c r="K747">
        <v>7</v>
      </c>
      <c r="L747">
        <v>7</v>
      </c>
      <c r="M747">
        <v>0</v>
      </c>
      <c r="N747">
        <f>_xlfn.IFS(rounded[[#This Row],[social_interaction_level]] = "low", 1,rounded[[#This Row],[social_interaction_level]] = "medium", 2,rounded[[#This Row],[social_interaction_level]] = "high", 3)</f>
        <v>1</v>
      </c>
      <c r="O747">
        <f t="shared" si="11"/>
        <v>15</v>
      </c>
      <c r="P747" t="str" cm="1">
        <f t="array" ref="P747">_xlfn.SWITCH(rounded[[#This Row],[depression_label]], 0, "Not Depressed", 1, "Depressed")</f>
        <v>Not Depressed</v>
      </c>
      <c r="Q747" s="45" t="str" cm="1">
        <f t="array" ref="Q747">_xlfn.SWITCH(rounded[[#This Row],[gender]], "male", "Male", "female", "Female")</f>
        <v>Male</v>
      </c>
    </row>
    <row r="748" spans="1:17" x14ac:dyDescent="0.35">
      <c r="A748">
        <v>14</v>
      </c>
      <c r="B748" t="s">
        <v>16</v>
      </c>
      <c r="C748" s="4">
        <v>7</v>
      </c>
      <c r="D748" t="s">
        <v>14</v>
      </c>
      <c r="E748" s="4">
        <v>4.5</v>
      </c>
      <c r="F748" s="4">
        <v>1.6</v>
      </c>
      <c r="G748">
        <v>2.83</v>
      </c>
      <c r="H748">
        <v>0.4</v>
      </c>
      <c r="I748" t="s">
        <v>19</v>
      </c>
      <c r="J748">
        <v>8</v>
      </c>
      <c r="K748">
        <v>1</v>
      </c>
      <c r="L748">
        <v>7</v>
      </c>
      <c r="M748">
        <v>0</v>
      </c>
      <c r="N748">
        <f>_xlfn.IFS(rounded[[#This Row],[social_interaction_level]] = "low", 1,rounded[[#This Row],[social_interaction_level]] = "medium", 2,rounded[[#This Row],[social_interaction_level]] = "high", 3)</f>
        <v>2</v>
      </c>
      <c r="O748">
        <f t="shared" si="11"/>
        <v>16</v>
      </c>
      <c r="P748" t="str" cm="1">
        <f t="array" ref="P748">_xlfn.SWITCH(rounded[[#This Row],[depression_label]], 0, "Not Depressed", 1, "Depressed")</f>
        <v>Not Depressed</v>
      </c>
      <c r="Q748" s="45" t="str" cm="1">
        <f t="array" ref="Q748">_xlfn.SWITCH(rounded[[#This Row],[gender]], "male", "Male", "female", "Female")</f>
        <v>Female</v>
      </c>
    </row>
    <row r="749" spans="1:17" x14ac:dyDescent="0.35">
      <c r="A749">
        <v>16</v>
      </c>
      <c r="B749" t="s">
        <v>16</v>
      </c>
      <c r="C749" s="4">
        <v>4.8</v>
      </c>
      <c r="D749" t="s">
        <v>20</v>
      </c>
      <c r="E749" s="4">
        <v>5.0999999999999996</v>
      </c>
      <c r="F749" s="4">
        <v>2.1</v>
      </c>
      <c r="G749">
        <v>2.4900000000000002</v>
      </c>
      <c r="H749">
        <v>1.6</v>
      </c>
      <c r="I749" t="s">
        <v>15</v>
      </c>
      <c r="J749">
        <v>4</v>
      </c>
      <c r="K749">
        <v>9</v>
      </c>
      <c r="L749">
        <v>1</v>
      </c>
      <c r="M749">
        <v>0</v>
      </c>
      <c r="N749">
        <f>_xlfn.IFS(rounded[[#This Row],[social_interaction_level]] = "low", 1,rounded[[#This Row],[social_interaction_level]] = "medium", 2,rounded[[#This Row],[social_interaction_level]] = "high", 3)</f>
        <v>1</v>
      </c>
      <c r="O749">
        <f t="shared" si="11"/>
        <v>14</v>
      </c>
      <c r="P749" t="str" cm="1">
        <f t="array" ref="P749">_xlfn.SWITCH(rounded[[#This Row],[depression_label]], 0, "Not Depressed", 1, "Depressed")</f>
        <v>Not Depressed</v>
      </c>
      <c r="Q749" s="45" t="str" cm="1">
        <f t="array" ref="Q749">_xlfn.SWITCH(rounded[[#This Row],[gender]], "male", "Male", "female", "Female")</f>
        <v>Female</v>
      </c>
    </row>
    <row r="750" spans="1:17" x14ac:dyDescent="0.35">
      <c r="A750">
        <v>13</v>
      </c>
      <c r="B750" t="s">
        <v>16</v>
      </c>
      <c r="C750" s="4">
        <v>5.8</v>
      </c>
      <c r="D750" t="s">
        <v>14</v>
      </c>
      <c r="E750" s="4">
        <v>6.3</v>
      </c>
      <c r="F750" s="4">
        <v>1.1000000000000001</v>
      </c>
      <c r="G750">
        <v>3.09</v>
      </c>
      <c r="H750">
        <v>0.9</v>
      </c>
      <c r="I750" t="s">
        <v>19</v>
      </c>
      <c r="J750">
        <v>8</v>
      </c>
      <c r="K750">
        <v>4</v>
      </c>
      <c r="L750">
        <v>9</v>
      </c>
      <c r="M750">
        <v>0</v>
      </c>
      <c r="N750">
        <f>_xlfn.IFS(rounded[[#This Row],[social_interaction_level]] = "low", 1,rounded[[#This Row],[social_interaction_level]] = "medium", 2,rounded[[#This Row],[social_interaction_level]] = "high", 3)</f>
        <v>2</v>
      </c>
      <c r="O750">
        <f t="shared" si="11"/>
        <v>21</v>
      </c>
      <c r="P750" t="str" cm="1">
        <f t="array" ref="P750">_xlfn.SWITCH(rounded[[#This Row],[depression_label]], 0, "Not Depressed", 1, "Depressed")</f>
        <v>Not Depressed</v>
      </c>
      <c r="Q750" s="45" t="str" cm="1">
        <f t="array" ref="Q750">_xlfn.SWITCH(rounded[[#This Row],[gender]], "male", "Male", "female", "Female")</f>
        <v>Female</v>
      </c>
    </row>
    <row r="751" spans="1:17" x14ac:dyDescent="0.35">
      <c r="A751">
        <v>19</v>
      </c>
      <c r="B751" t="s">
        <v>16</v>
      </c>
      <c r="C751" s="4">
        <v>6</v>
      </c>
      <c r="D751" t="s">
        <v>20</v>
      </c>
      <c r="E751" s="4">
        <v>6.3</v>
      </c>
      <c r="F751" s="4">
        <v>2.8</v>
      </c>
      <c r="G751">
        <v>3.98</v>
      </c>
      <c r="H751">
        <v>2</v>
      </c>
      <c r="I751" t="s">
        <v>19</v>
      </c>
      <c r="J751">
        <v>2</v>
      </c>
      <c r="K751">
        <v>6</v>
      </c>
      <c r="L751">
        <v>2</v>
      </c>
      <c r="M751">
        <v>0</v>
      </c>
      <c r="N751">
        <f>_xlfn.IFS(rounded[[#This Row],[social_interaction_level]] = "low", 1,rounded[[#This Row],[social_interaction_level]] = "medium", 2,rounded[[#This Row],[social_interaction_level]] = "high", 3)</f>
        <v>2</v>
      </c>
      <c r="O751">
        <f t="shared" si="11"/>
        <v>10</v>
      </c>
      <c r="P751" t="str" cm="1">
        <f t="array" ref="P751">_xlfn.SWITCH(rounded[[#This Row],[depression_label]], 0, "Not Depressed", 1, "Depressed")</f>
        <v>Not Depressed</v>
      </c>
      <c r="Q751" s="45" t="str" cm="1">
        <f t="array" ref="Q751">_xlfn.SWITCH(rounded[[#This Row],[gender]], "male", "Male", "female", "Female")</f>
        <v>Female</v>
      </c>
    </row>
    <row r="752" spans="1:17" x14ac:dyDescent="0.35">
      <c r="A752">
        <v>15</v>
      </c>
      <c r="B752" t="s">
        <v>13</v>
      </c>
      <c r="C752" s="4">
        <v>4</v>
      </c>
      <c r="D752" t="s">
        <v>20</v>
      </c>
      <c r="E752" s="4">
        <v>5.2</v>
      </c>
      <c r="F752" s="4">
        <v>1.8</v>
      </c>
      <c r="G752">
        <v>3.3</v>
      </c>
      <c r="H752">
        <v>0.7</v>
      </c>
      <c r="I752" t="s">
        <v>19</v>
      </c>
      <c r="J752">
        <v>10</v>
      </c>
      <c r="K752">
        <v>5</v>
      </c>
      <c r="L752">
        <v>1</v>
      </c>
      <c r="M752">
        <v>0</v>
      </c>
      <c r="N752">
        <f>_xlfn.IFS(rounded[[#This Row],[social_interaction_level]] = "low", 1,rounded[[#This Row],[social_interaction_level]] = "medium", 2,rounded[[#This Row],[social_interaction_level]] = "high", 3)</f>
        <v>2</v>
      </c>
      <c r="O752">
        <f t="shared" si="11"/>
        <v>16</v>
      </c>
      <c r="P752" t="str" cm="1">
        <f t="array" ref="P752">_xlfn.SWITCH(rounded[[#This Row],[depression_label]], 0, "Not Depressed", 1, "Depressed")</f>
        <v>Not Depressed</v>
      </c>
      <c r="Q752" s="45" t="str" cm="1">
        <f t="array" ref="Q752">_xlfn.SWITCH(rounded[[#This Row],[gender]], "male", "Male", "female", "Female")</f>
        <v>Male</v>
      </c>
    </row>
    <row r="753" spans="1:17" x14ac:dyDescent="0.35">
      <c r="A753">
        <v>14</v>
      </c>
      <c r="B753" t="s">
        <v>16</v>
      </c>
      <c r="C753" s="4">
        <v>5.8</v>
      </c>
      <c r="D753" t="s">
        <v>20</v>
      </c>
      <c r="E753" s="4">
        <v>4.8</v>
      </c>
      <c r="F753" s="4">
        <v>2.6</v>
      </c>
      <c r="G753">
        <v>2.08</v>
      </c>
      <c r="H753">
        <v>0.8</v>
      </c>
      <c r="I753" t="s">
        <v>19</v>
      </c>
      <c r="J753">
        <v>6</v>
      </c>
      <c r="K753">
        <v>4</v>
      </c>
      <c r="L753">
        <v>9</v>
      </c>
      <c r="M753">
        <v>0</v>
      </c>
      <c r="N753">
        <f>_xlfn.IFS(rounded[[#This Row],[social_interaction_level]] = "low", 1,rounded[[#This Row],[social_interaction_level]] = "medium", 2,rounded[[#This Row],[social_interaction_level]] = "high", 3)</f>
        <v>2</v>
      </c>
      <c r="O753">
        <f t="shared" si="11"/>
        <v>19</v>
      </c>
      <c r="P753" t="str" cm="1">
        <f t="array" ref="P753">_xlfn.SWITCH(rounded[[#This Row],[depression_label]], 0, "Not Depressed", 1, "Depressed")</f>
        <v>Not Depressed</v>
      </c>
      <c r="Q753" s="45" t="str" cm="1">
        <f t="array" ref="Q753">_xlfn.SWITCH(rounded[[#This Row],[gender]], "male", "Male", "female", "Female")</f>
        <v>Female</v>
      </c>
    </row>
    <row r="754" spans="1:17" x14ac:dyDescent="0.35">
      <c r="A754">
        <v>19</v>
      </c>
      <c r="B754" t="s">
        <v>13</v>
      </c>
      <c r="C754" s="4">
        <v>5.2</v>
      </c>
      <c r="D754" t="s">
        <v>14</v>
      </c>
      <c r="E754" s="4">
        <v>7.6</v>
      </c>
      <c r="F754" s="4">
        <v>1.3</v>
      </c>
      <c r="G754">
        <v>3.89</v>
      </c>
      <c r="H754">
        <v>1.5</v>
      </c>
      <c r="I754" t="s">
        <v>18</v>
      </c>
      <c r="J754">
        <v>4</v>
      </c>
      <c r="K754">
        <v>5</v>
      </c>
      <c r="L754">
        <v>8</v>
      </c>
      <c r="M754">
        <v>0</v>
      </c>
      <c r="N754">
        <f>_xlfn.IFS(rounded[[#This Row],[social_interaction_level]] = "low", 1,rounded[[#This Row],[social_interaction_level]] = "medium", 2,rounded[[#This Row],[social_interaction_level]] = "high", 3)</f>
        <v>3</v>
      </c>
      <c r="O754">
        <f t="shared" si="11"/>
        <v>17</v>
      </c>
      <c r="P754" t="str" cm="1">
        <f t="array" ref="P754">_xlfn.SWITCH(rounded[[#This Row],[depression_label]], 0, "Not Depressed", 1, "Depressed")</f>
        <v>Not Depressed</v>
      </c>
      <c r="Q754" s="45" t="str" cm="1">
        <f t="array" ref="Q754">_xlfn.SWITCH(rounded[[#This Row],[gender]], "male", "Male", "female", "Female")</f>
        <v>Male</v>
      </c>
    </row>
    <row r="755" spans="1:17" x14ac:dyDescent="0.35">
      <c r="A755">
        <v>17</v>
      </c>
      <c r="B755" t="s">
        <v>13</v>
      </c>
      <c r="C755" s="4">
        <v>2.9</v>
      </c>
      <c r="D755" t="s">
        <v>20</v>
      </c>
      <c r="E755" s="4">
        <v>6.7</v>
      </c>
      <c r="F755" s="4">
        <v>1.5</v>
      </c>
      <c r="G755">
        <v>3.62</v>
      </c>
      <c r="H755">
        <v>0.8</v>
      </c>
      <c r="I755" t="s">
        <v>19</v>
      </c>
      <c r="J755">
        <v>10</v>
      </c>
      <c r="K755">
        <v>6</v>
      </c>
      <c r="L755">
        <v>4</v>
      </c>
      <c r="M755">
        <v>0</v>
      </c>
      <c r="N755">
        <f>_xlfn.IFS(rounded[[#This Row],[social_interaction_level]] = "low", 1,rounded[[#This Row],[social_interaction_level]] = "medium", 2,rounded[[#This Row],[social_interaction_level]] = "high", 3)</f>
        <v>2</v>
      </c>
      <c r="O755">
        <f t="shared" si="11"/>
        <v>20</v>
      </c>
      <c r="P755" t="str" cm="1">
        <f t="array" ref="P755">_xlfn.SWITCH(rounded[[#This Row],[depression_label]], 0, "Not Depressed", 1, "Depressed")</f>
        <v>Not Depressed</v>
      </c>
      <c r="Q755" s="45" t="str" cm="1">
        <f t="array" ref="Q755">_xlfn.SWITCH(rounded[[#This Row],[gender]], "male", "Male", "female", "Female")</f>
        <v>Male</v>
      </c>
    </row>
    <row r="756" spans="1:17" x14ac:dyDescent="0.35">
      <c r="A756">
        <v>18</v>
      </c>
      <c r="B756" t="s">
        <v>16</v>
      </c>
      <c r="C756" s="4">
        <v>7.5</v>
      </c>
      <c r="D756" t="s">
        <v>17</v>
      </c>
      <c r="E756" s="4">
        <v>7.5</v>
      </c>
      <c r="F756" s="4">
        <v>1.4</v>
      </c>
      <c r="G756">
        <v>3.14</v>
      </c>
      <c r="H756">
        <v>2</v>
      </c>
      <c r="I756" t="s">
        <v>15</v>
      </c>
      <c r="J756">
        <v>2</v>
      </c>
      <c r="K756">
        <v>9</v>
      </c>
      <c r="L756">
        <v>2</v>
      </c>
      <c r="M756">
        <v>0</v>
      </c>
      <c r="N756">
        <f>_xlfn.IFS(rounded[[#This Row],[social_interaction_level]] = "low", 1,rounded[[#This Row],[social_interaction_level]] = "medium", 2,rounded[[#This Row],[social_interaction_level]] = "high", 3)</f>
        <v>1</v>
      </c>
      <c r="O756">
        <f t="shared" si="11"/>
        <v>13</v>
      </c>
      <c r="P756" t="str" cm="1">
        <f t="array" ref="P756">_xlfn.SWITCH(rounded[[#This Row],[depression_label]], 0, "Not Depressed", 1, "Depressed")</f>
        <v>Not Depressed</v>
      </c>
      <c r="Q756" s="45" t="str" cm="1">
        <f t="array" ref="Q756">_xlfn.SWITCH(rounded[[#This Row],[gender]], "male", "Male", "female", "Female")</f>
        <v>Female</v>
      </c>
    </row>
    <row r="757" spans="1:17" x14ac:dyDescent="0.35">
      <c r="A757">
        <v>13</v>
      </c>
      <c r="B757" t="s">
        <v>16</v>
      </c>
      <c r="C757" s="4">
        <v>5.8</v>
      </c>
      <c r="D757" t="s">
        <v>14</v>
      </c>
      <c r="E757" s="4">
        <v>6.1</v>
      </c>
      <c r="F757" s="4">
        <v>1.2</v>
      </c>
      <c r="G757">
        <v>3.81</v>
      </c>
      <c r="H757">
        <v>1.8</v>
      </c>
      <c r="I757" t="s">
        <v>19</v>
      </c>
      <c r="J757">
        <v>6</v>
      </c>
      <c r="K757">
        <v>10</v>
      </c>
      <c r="L757">
        <v>6</v>
      </c>
      <c r="M757">
        <v>0</v>
      </c>
      <c r="N757">
        <f>_xlfn.IFS(rounded[[#This Row],[social_interaction_level]] = "low", 1,rounded[[#This Row],[social_interaction_level]] = "medium", 2,rounded[[#This Row],[social_interaction_level]] = "high", 3)</f>
        <v>2</v>
      </c>
      <c r="O757">
        <f t="shared" si="11"/>
        <v>22</v>
      </c>
      <c r="P757" t="str" cm="1">
        <f t="array" ref="P757">_xlfn.SWITCH(rounded[[#This Row],[depression_label]], 0, "Not Depressed", 1, "Depressed")</f>
        <v>Not Depressed</v>
      </c>
      <c r="Q757" s="45" t="str" cm="1">
        <f t="array" ref="Q757">_xlfn.SWITCH(rounded[[#This Row],[gender]], "male", "Male", "female", "Female")</f>
        <v>Female</v>
      </c>
    </row>
    <row r="758" spans="1:17" x14ac:dyDescent="0.35">
      <c r="A758">
        <v>14</v>
      </c>
      <c r="B758" t="s">
        <v>13</v>
      </c>
      <c r="C758" s="4">
        <v>7.6</v>
      </c>
      <c r="D758" t="s">
        <v>14</v>
      </c>
      <c r="E758" s="4">
        <v>5.8</v>
      </c>
      <c r="F758" s="4">
        <v>1.9</v>
      </c>
      <c r="G758">
        <v>3.49</v>
      </c>
      <c r="H758">
        <v>1.7</v>
      </c>
      <c r="I758" t="s">
        <v>18</v>
      </c>
      <c r="J758">
        <v>10</v>
      </c>
      <c r="K758">
        <v>1</v>
      </c>
      <c r="L758">
        <v>3</v>
      </c>
      <c r="M758">
        <v>0</v>
      </c>
      <c r="N758">
        <f>_xlfn.IFS(rounded[[#This Row],[social_interaction_level]] = "low", 1,rounded[[#This Row],[social_interaction_level]] = "medium", 2,rounded[[#This Row],[social_interaction_level]] = "high", 3)</f>
        <v>3</v>
      </c>
      <c r="O758">
        <f t="shared" si="11"/>
        <v>14</v>
      </c>
      <c r="P758" t="str" cm="1">
        <f t="array" ref="P758">_xlfn.SWITCH(rounded[[#This Row],[depression_label]], 0, "Not Depressed", 1, "Depressed")</f>
        <v>Not Depressed</v>
      </c>
      <c r="Q758" s="45" t="str" cm="1">
        <f t="array" ref="Q758">_xlfn.SWITCH(rounded[[#This Row],[gender]], "male", "Male", "female", "Female")</f>
        <v>Male</v>
      </c>
    </row>
    <row r="759" spans="1:17" x14ac:dyDescent="0.35">
      <c r="A759">
        <v>15</v>
      </c>
      <c r="B759" t="s">
        <v>16</v>
      </c>
      <c r="C759" s="4">
        <v>1.3</v>
      </c>
      <c r="D759" t="s">
        <v>17</v>
      </c>
      <c r="E759" s="4">
        <v>7.6</v>
      </c>
      <c r="F759" s="4">
        <v>0.6</v>
      </c>
      <c r="G759">
        <v>3.46</v>
      </c>
      <c r="H759">
        <v>1.9</v>
      </c>
      <c r="I759" t="s">
        <v>15</v>
      </c>
      <c r="J759">
        <v>1</v>
      </c>
      <c r="K759">
        <v>1</v>
      </c>
      <c r="L759">
        <v>4</v>
      </c>
      <c r="M759">
        <v>0</v>
      </c>
      <c r="N759">
        <f>_xlfn.IFS(rounded[[#This Row],[social_interaction_level]] = "low", 1,rounded[[#This Row],[social_interaction_level]] = "medium", 2,rounded[[#This Row],[social_interaction_level]] = "high", 3)</f>
        <v>1</v>
      </c>
      <c r="O759">
        <f t="shared" si="11"/>
        <v>6</v>
      </c>
      <c r="P759" t="str" cm="1">
        <f t="array" ref="P759">_xlfn.SWITCH(rounded[[#This Row],[depression_label]], 0, "Not Depressed", 1, "Depressed")</f>
        <v>Not Depressed</v>
      </c>
      <c r="Q759" s="45" t="str" cm="1">
        <f t="array" ref="Q759">_xlfn.SWITCH(rounded[[#This Row],[gender]], "male", "Male", "female", "Female")</f>
        <v>Female</v>
      </c>
    </row>
    <row r="760" spans="1:17" x14ac:dyDescent="0.35">
      <c r="A760">
        <v>15</v>
      </c>
      <c r="B760" t="s">
        <v>13</v>
      </c>
      <c r="C760" s="4">
        <v>3.7</v>
      </c>
      <c r="D760" t="s">
        <v>20</v>
      </c>
      <c r="E760" s="4">
        <v>5.7</v>
      </c>
      <c r="F760" s="4">
        <v>1.3</v>
      </c>
      <c r="G760">
        <v>3.24</v>
      </c>
      <c r="H760">
        <v>0.2</v>
      </c>
      <c r="I760" t="s">
        <v>15</v>
      </c>
      <c r="J760">
        <v>4</v>
      </c>
      <c r="K760">
        <v>9</v>
      </c>
      <c r="L760">
        <v>10</v>
      </c>
      <c r="M760">
        <v>0</v>
      </c>
      <c r="N760">
        <f>_xlfn.IFS(rounded[[#This Row],[social_interaction_level]] = "low", 1,rounded[[#This Row],[social_interaction_level]] = "medium", 2,rounded[[#This Row],[social_interaction_level]] = "high", 3)</f>
        <v>1</v>
      </c>
      <c r="O760">
        <f t="shared" si="11"/>
        <v>23</v>
      </c>
      <c r="P760" t="str" cm="1">
        <f t="array" ref="P760">_xlfn.SWITCH(rounded[[#This Row],[depression_label]], 0, "Not Depressed", 1, "Depressed")</f>
        <v>Not Depressed</v>
      </c>
      <c r="Q760" s="45" t="str" cm="1">
        <f t="array" ref="Q760">_xlfn.SWITCH(rounded[[#This Row],[gender]], "male", "Male", "female", "Female")</f>
        <v>Male</v>
      </c>
    </row>
    <row r="761" spans="1:17" x14ac:dyDescent="0.35">
      <c r="A761">
        <v>18</v>
      </c>
      <c r="B761" t="s">
        <v>13</v>
      </c>
      <c r="C761" s="4">
        <v>3.6</v>
      </c>
      <c r="D761" t="s">
        <v>14</v>
      </c>
      <c r="E761" s="4">
        <v>4.7</v>
      </c>
      <c r="F761" s="4">
        <v>2.5</v>
      </c>
      <c r="G761">
        <v>2.73</v>
      </c>
      <c r="H761">
        <v>1.2</v>
      </c>
      <c r="I761" t="s">
        <v>19</v>
      </c>
      <c r="J761">
        <v>9</v>
      </c>
      <c r="K761">
        <v>7</v>
      </c>
      <c r="L761">
        <v>6</v>
      </c>
      <c r="M761">
        <v>0</v>
      </c>
      <c r="N761">
        <f>_xlfn.IFS(rounded[[#This Row],[social_interaction_level]] = "low", 1,rounded[[#This Row],[social_interaction_level]] = "medium", 2,rounded[[#This Row],[social_interaction_level]] = "high", 3)</f>
        <v>2</v>
      </c>
      <c r="O761">
        <f t="shared" si="11"/>
        <v>22</v>
      </c>
      <c r="P761" t="str" cm="1">
        <f t="array" ref="P761">_xlfn.SWITCH(rounded[[#This Row],[depression_label]], 0, "Not Depressed", 1, "Depressed")</f>
        <v>Not Depressed</v>
      </c>
      <c r="Q761" s="45" t="str" cm="1">
        <f t="array" ref="Q761">_xlfn.SWITCH(rounded[[#This Row],[gender]], "male", "Male", "female", "Female")</f>
        <v>Male</v>
      </c>
    </row>
    <row r="762" spans="1:17" x14ac:dyDescent="0.35">
      <c r="A762">
        <v>15</v>
      </c>
      <c r="B762" t="s">
        <v>13</v>
      </c>
      <c r="C762" s="4">
        <v>6.4</v>
      </c>
      <c r="D762" t="s">
        <v>17</v>
      </c>
      <c r="E762" s="4">
        <v>6.9</v>
      </c>
      <c r="F762" s="4">
        <v>2.9</v>
      </c>
      <c r="G762">
        <v>2.48</v>
      </c>
      <c r="H762">
        <v>0.9</v>
      </c>
      <c r="I762" t="s">
        <v>15</v>
      </c>
      <c r="J762">
        <v>8</v>
      </c>
      <c r="K762">
        <v>4</v>
      </c>
      <c r="L762">
        <v>8</v>
      </c>
      <c r="M762">
        <v>0</v>
      </c>
      <c r="N762">
        <f>_xlfn.IFS(rounded[[#This Row],[social_interaction_level]] = "low", 1,rounded[[#This Row],[social_interaction_level]] = "medium", 2,rounded[[#This Row],[social_interaction_level]] = "high", 3)</f>
        <v>1</v>
      </c>
      <c r="O762">
        <f t="shared" si="11"/>
        <v>20</v>
      </c>
      <c r="P762" t="str" cm="1">
        <f t="array" ref="P762">_xlfn.SWITCH(rounded[[#This Row],[depression_label]], 0, "Not Depressed", 1, "Depressed")</f>
        <v>Not Depressed</v>
      </c>
      <c r="Q762" s="45" t="str" cm="1">
        <f t="array" ref="Q762">_xlfn.SWITCH(rounded[[#This Row],[gender]], "male", "Male", "female", "Female")</f>
        <v>Male</v>
      </c>
    </row>
    <row r="763" spans="1:17" x14ac:dyDescent="0.35">
      <c r="A763">
        <v>13</v>
      </c>
      <c r="B763" t="s">
        <v>13</v>
      </c>
      <c r="C763" s="4">
        <v>6</v>
      </c>
      <c r="D763" t="s">
        <v>17</v>
      </c>
      <c r="E763" s="4">
        <v>4.8</v>
      </c>
      <c r="F763" s="4">
        <v>2.6</v>
      </c>
      <c r="G763">
        <v>2.74</v>
      </c>
      <c r="H763">
        <v>1.6</v>
      </c>
      <c r="I763" t="s">
        <v>18</v>
      </c>
      <c r="J763">
        <v>6</v>
      </c>
      <c r="K763">
        <v>10</v>
      </c>
      <c r="L763">
        <v>8</v>
      </c>
      <c r="M763">
        <v>0</v>
      </c>
      <c r="N763">
        <f>_xlfn.IFS(rounded[[#This Row],[social_interaction_level]] = "low", 1,rounded[[#This Row],[social_interaction_level]] = "medium", 2,rounded[[#This Row],[social_interaction_level]] = "high", 3)</f>
        <v>3</v>
      </c>
      <c r="O763">
        <f t="shared" si="11"/>
        <v>24</v>
      </c>
      <c r="P763" t="str" cm="1">
        <f t="array" ref="P763">_xlfn.SWITCH(rounded[[#This Row],[depression_label]], 0, "Not Depressed", 1, "Depressed")</f>
        <v>Not Depressed</v>
      </c>
      <c r="Q763" s="45" t="str" cm="1">
        <f t="array" ref="Q763">_xlfn.SWITCH(rounded[[#This Row],[gender]], "male", "Male", "female", "Female")</f>
        <v>Male</v>
      </c>
    </row>
    <row r="764" spans="1:17" x14ac:dyDescent="0.35">
      <c r="A764">
        <v>14</v>
      </c>
      <c r="B764" t="s">
        <v>16</v>
      </c>
      <c r="C764" s="4">
        <v>1.3</v>
      </c>
      <c r="D764" t="s">
        <v>17</v>
      </c>
      <c r="E764" s="4">
        <v>7.7</v>
      </c>
      <c r="F764" s="4">
        <v>1.9</v>
      </c>
      <c r="G764">
        <v>2.27</v>
      </c>
      <c r="H764">
        <v>1.5</v>
      </c>
      <c r="I764" t="s">
        <v>15</v>
      </c>
      <c r="J764">
        <v>7</v>
      </c>
      <c r="K764">
        <v>2</v>
      </c>
      <c r="L764">
        <v>2</v>
      </c>
      <c r="M764">
        <v>0</v>
      </c>
      <c r="N764">
        <f>_xlfn.IFS(rounded[[#This Row],[social_interaction_level]] = "low", 1,rounded[[#This Row],[social_interaction_level]] = "medium", 2,rounded[[#This Row],[social_interaction_level]] = "high", 3)</f>
        <v>1</v>
      </c>
      <c r="O764">
        <f t="shared" si="11"/>
        <v>11</v>
      </c>
      <c r="P764" t="str" cm="1">
        <f t="array" ref="P764">_xlfn.SWITCH(rounded[[#This Row],[depression_label]], 0, "Not Depressed", 1, "Depressed")</f>
        <v>Not Depressed</v>
      </c>
      <c r="Q764" s="45" t="str" cm="1">
        <f t="array" ref="Q764">_xlfn.SWITCH(rounded[[#This Row],[gender]], "male", "Male", "female", "Female")</f>
        <v>Female</v>
      </c>
    </row>
    <row r="765" spans="1:17" x14ac:dyDescent="0.35">
      <c r="A765">
        <v>18</v>
      </c>
      <c r="B765" t="s">
        <v>13</v>
      </c>
      <c r="C765" s="4">
        <v>3.7</v>
      </c>
      <c r="D765" t="s">
        <v>14</v>
      </c>
      <c r="E765" s="4">
        <v>7</v>
      </c>
      <c r="F765" s="4">
        <v>1.4</v>
      </c>
      <c r="G765">
        <v>2.0499999999999998</v>
      </c>
      <c r="H765">
        <v>0.4</v>
      </c>
      <c r="I765" t="s">
        <v>19</v>
      </c>
      <c r="J765">
        <v>10</v>
      </c>
      <c r="K765">
        <v>9</v>
      </c>
      <c r="L765">
        <v>5</v>
      </c>
      <c r="M765">
        <v>0</v>
      </c>
      <c r="N765">
        <f>_xlfn.IFS(rounded[[#This Row],[social_interaction_level]] = "low", 1,rounded[[#This Row],[social_interaction_level]] = "medium", 2,rounded[[#This Row],[social_interaction_level]] = "high", 3)</f>
        <v>2</v>
      </c>
      <c r="O765">
        <f t="shared" si="11"/>
        <v>24</v>
      </c>
      <c r="P765" t="str" cm="1">
        <f t="array" ref="P765">_xlfn.SWITCH(rounded[[#This Row],[depression_label]], 0, "Not Depressed", 1, "Depressed")</f>
        <v>Not Depressed</v>
      </c>
      <c r="Q765" s="45" t="str" cm="1">
        <f t="array" ref="Q765">_xlfn.SWITCH(rounded[[#This Row],[gender]], "male", "Male", "female", "Female")</f>
        <v>Male</v>
      </c>
    </row>
    <row r="766" spans="1:17" x14ac:dyDescent="0.35">
      <c r="A766">
        <v>18</v>
      </c>
      <c r="B766" t="s">
        <v>16</v>
      </c>
      <c r="C766" s="4">
        <v>8</v>
      </c>
      <c r="D766" t="s">
        <v>17</v>
      </c>
      <c r="E766" s="4">
        <v>4.3</v>
      </c>
      <c r="F766" s="4">
        <v>0.8</v>
      </c>
      <c r="G766">
        <v>3.44</v>
      </c>
      <c r="H766">
        <v>0.8</v>
      </c>
      <c r="I766" t="s">
        <v>19</v>
      </c>
      <c r="J766">
        <v>3</v>
      </c>
      <c r="K766">
        <v>4</v>
      </c>
      <c r="L766">
        <v>4</v>
      </c>
      <c r="M766">
        <v>0</v>
      </c>
      <c r="N766">
        <f>_xlfn.IFS(rounded[[#This Row],[social_interaction_level]] = "low", 1,rounded[[#This Row],[social_interaction_level]] = "medium", 2,rounded[[#This Row],[social_interaction_level]] = "high", 3)</f>
        <v>2</v>
      </c>
      <c r="O766">
        <f t="shared" si="11"/>
        <v>11</v>
      </c>
      <c r="P766" t="str" cm="1">
        <f t="array" ref="P766">_xlfn.SWITCH(rounded[[#This Row],[depression_label]], 0, "Not Depressed", 1, "Depressed")</f>
        <v>Not Depressed</v>
      </c>
      <c r="Q766" s="45" t="str" cm="1">
        <f t="array" ref="Q766">_xlfn.SWITCH(rounded[[#This Row],[gender]], "male", "Male", "female", "Female")</f>
        <v>Female</v>
      </c>
    </row>
    <row r="767" spans="1:17" x14ac:dyDescent="0.35">
      <c r="A767">
        <v>19</v>
      </c>
      <c r="B767" t="s">
        <v>16</v>
      </c>
      <c r="C767" s="4">
        <v>4.0999999999999996</v>
      </c>
      <c r="D767" t="s">
        <v>20</v>
      </c>
      <c r="E767" s="4">
        <v>7.5</v>
      </c>
      <c r="F767" s="4">
        <v>2.7</v>
      </c>
      <c r="G767">
        <v>2.66</v>
      </c>
      <c r="H767">
        <v>1.6</v>
      </c>
      <c r="I767" t="s">
        <v>18</v>
      </c>
      <c r="J767">
        <v>5</v>
      </c>
      <c r="K767">
        <v>10</v>
      </c>
      <c r="L767">
        <v>5</v>
      </c>
      <c r="M767">
        <v>0</v>
      </c>
      <c r="N767">
        <f>_xlfn.IFS(rounded[[#This Row],[social_interaction_level]] = "low", 1,rounded[[#This Row],[social_interaction_level]] = "medium", 2,rounded[[#This Row],[social_interaction_level]] = "high", 3)</f>
        <v>3</v>
      </c>
      <c r="O767">
        <f t="shared" si="11"/>
        <v>20</v>
      </c>
      <c r="P767" t="str" cm="1">
        <f t="array" ref="P767">_xlfn.SWITCH(rounded[[#This Row],[depression_label]], 0, "Not Depressed", 1, "Depressed")</f>
        <v>Not Depressed</v>
      </c>
      <c r="Q767" s="45" t="str" cm="1">
        <f t="array" ref="Q767">_xlfn.SWITCH(rounded[[#This Row],[gender]], "male", "Male", "female", "Female")</f>
        <v>Female</v>
      </c>
    </row>
    <row r="768" spans="1:17" x14ac:dyDescent="0.35">
      <c r="A768">
        <v>13</v>
      </c>
      <c r="B768" t="s">
        <v>13</v>
      </c>
      <c r="C768" s="4">
        <v>3.9</v>
      </c>
      <c r="D768" t="s">
        <v>20</v>
      </c>
      <c r="E768" s="4">
        <v>8.6999999999999993</v>
      </c>
      <c r="F768" s="4">
        <v>1.5</v>
      </c>
      <c r="G768">
        <v>2.71</v>
      </c>
      <c r="H768">
        <v>0.7</v>
      </c>
      <c r="I768" t="s">
        <v>15</v>
      </c>
      <c r="J768">
        <v>7</v>
      </c>
      <c r="K768">
        <v>1</v>
      </c>
      <c r="L768">
        <v>4</v>
      </c>
      <c r="M768">
        <v>0</v>
      </c>
      <c r="N768">
        <f>_xlfn.IFS(rounded[[#This Row],[social_interaction_level]] = "low", 1,rounded[[#This Row],[social_interaction_level]] = "medium", 2,rounded[[#This Row],[social_interaction_level]] = "high", 3)</f>
        <v>1</v>
      </c>
      <c r="O768">
        <f t="shared" si="11"/>
        <v>12</v>
      </c>
      <c r="P768" t="str" cm="1">
        <f t="array" ref="P768">_xlfn.SWITCH(rounded[[#This Row],[depression_label]], 0, "Not Depressed", 1, "Depressed")</f>
        <v>Not Depressed</v>
      </c>
      <c r="Q768" s="45" t="str" cm="1">
        <f t="array" ref="Q768">_xlfn.SWITCH(rounded[[#This Row],[gender]], "male", "Male", "female", "Female")</f>
        <v>Male</v>
      </c>
    </row>
    <row r="769" spans="1:17" x14ac:dyDescent="0.35">
      <c r="A769">
        <v>15</v>
      </c>
      <c r="B769" t="s">
        <v>16</v>
      </c>
      <c r="C769" s="4">
        <v>6.4</v>
      </c>
      <c r="D769" t="s">
        <v>14</v>
      </c>
      <c r="E769" s="4">
        <v>5.9</v>
      </c>
      <c r="F769" s="4">
        <v>1.6</v>
      </c>
      <c r="G769">
        <v>3.97</v>
      </c>
      <c r="H769">
        <v>1</v>
      </c>
      <c r="I769" t="s">
        <v>18</v>
      </c>
      <c r="J769">
        <v>10</v>
      </c>
      <c r="K769">
        <v>2</v>
      </c>
      <c r="L769">
        <v>6</v>
      </c>
      <c r="M769">
        <v>0</v>
      </c>
      <c r="N769">
        <f>_xlfn.IFS(rounded[[#This Row],[social_interaction_level]] = "low", 1,rounded[[#This Row],[social_interaction_level]] = "medium", 2,rounded[[#This Row],[social_interaction_level]] = "high", 3)</f>
        <v>3</v>
      </c>
      <c r="O769">
        <f t="shared" si="11"/>
        <v>18</v>
      </c>
      <c r="P769" t="str" cm="1">
        <f t="array" ref="P769">_xlfn.SWITCH(rounded[[#This Row],[depression_label]], 0, "Not Depressed", 1, "Depressed")</f>
        <v>Not Depressed</v>
      </c>
      <c r="Q769" s="45" t="str" cm="1">
        <f t="array" ref="Q769">_xlfn.SWITCH(rounded[[#This Row],[gender]], "male", "Male", "female", "Female")</f>
        <v>Female</v>
      </c>
    </row>
    <row r="770" spans="1:17" x14ac:dyDescent="0.35">
      <c r="A770">
        <v>19</v>
      </c>
      <c r="B770" t="s">
        <v>16</v>
      </c>
      <c r="C770" s="4">
        <v>1.3</v>
      </c>
      <c r="D770" t="s">
        <v>17</v>
      </c>
      <c r="E770" s="4">
        <v>6.5</v>
      </c>
      <c r="F770" s="4">
        <v>2.1</v>
      </c>
      <c r="G770">
        <v>3.68</v>
      </c>
      <c r="H770">
        <v>1.1000000000000001</v>
      </c>
      <c r="I770" t="s">
        <v>18</v>
      </c>
      <c r="J770">
        <v>7</v>
      </c>
      <c r="K770">
        <v>1</v>
      </c>
      <c r="L770">
        <v>9</v>
      </c>
      <c r="M770">
        <v>0</v>
      </c>
      <c r="N770">
        <f>_xlfn.IFS(rounded[[#This Row],[social_interaction_level]] = "low", 1,rounded[[#This Row],[social_interaction_level]] = "medium", 2,rounded[[#This Row],[social_interaction_level]] = "high", 3)</f>
        <v>3</v>
      </c>
      <c r="O770">
        <f t="shared" ref="O770:O833" si="12">SUM(J770+K770+L770)</f>
        <v>17</v>
      </c>
      <c r="P770" t="str" cm="1">
        <f t="array" ref="P770">_xlfn.SWITCH(rounded[[#This Row],[depression_label]], 0, "Not Depressed", 1, "Depressed")</f>
        <v>Not Depressed</v>
      </c>
      <c r="Q770" s="45" t="str" cm="1">
        <f t="array" ref="Q770">_xlfn.SWITCH(rounded[[#This Row],[gender]], "male", "Male", "female", "Female")</f>
        <v>Female</v>
      </c>
    </row>
    <row r="771" spans="1:17" x14ac:dyDescent="0.35">
      <c r="A771">
        <v>18</v>
      </c>
      <c r="B771" t="s">
        <v>16</v>
      </c>
      <c r="C771" s="4">
        <v>5</v>
      </c>
      <c r="D771" t="s">
        <v>14</v>
      </c>
      <c r="E771" s="4">
        <v>6.6</v>
      </c>
      <c r="F771" s="4">
        <v>1.8</v>
      </c>
      <c r="G771">
        <v>3.87</v>
      </c>
      <c r="H771">
        <v>1.2</v>
      </c>
      <c r="I771" t="s">
        <v>18</v>
      </c>
      <c r="J771">
        <v>3</v>
      </c>
      <c r="K771">
        <v>4</v>
      </c>
      <c r="L771">
        <v>2</v>
      </c>
      <c r="M771">
        <v>0</v>
      </c>
      <c r="N771">
        <f>_xlfn.IFS(rounded[[#This Row],[social_interaction_level]] = "low", 1,rounded[[#This Row],[social_interaction_level]] = "medium", 2,rounded[[#This Row],[social_interaction_level]] = "high", 3)</f>
        <v>3</v>
      </c>
      <c r="O771">
        <f t="shared" si="12"/>
        <v>9</v>
      </c>
      <c r="P771" t="str" cm="1">
        <f t="array" ref="P771">_xlfn.SWITCH(rounded[[#This Row],[depression_label]], 0, "Not Depressed", 1, "Depressed")</f>
        <v>Not Depressed</v>
      </c>
      <c r="Q771" s="45" t="str" cm="1">
        <f t="array" ref="Q771">_xlfn.SWITCH(rounded[[#This Row],[gender]], "male", "Male", "female", "Female")</f>
        <v>Female</v>
      </c>
    </row>
    <row r="772" spans="1:17" x14ac:dyDescent="0.35">
      <c r="A772">
        <v>18</v>
      </c>
      <c r="B772" t="s">
        <v>13</v>
      </c>
      <c r="C772" s="4">
        <v>5.5</v>
      </c>
      <c r="D772" t="s">
        <v>20</v>
      </c>
      <c r="E772" s="4">
        <v>5.2</v>
      </c>
      <c r="F772" s="4">
        <v>1.4</v>
      </c>
      <c r="G772">
        <v>3.24</v>
      </c>
      <c r="H772">
        <v>0.9</v>
      </c>
      <c r="I772" t="s">
        <v>19</v>
      </c>
      <c r="J772">
        <v>10</v>
      </c>
      <c r="K772">
        <v>5</v>
      </c>
      <c r="L772">
        <v>7</v>
      </c>
      <c r="M772">
        <v>0</v>
      </c>
      <c r="N772">
        <f>_xlfn.IFS(rounded[[#This Row],[social_interaction_level]] = "low", 1,rounded[[#This Row],[social_interaction_level]] = "medium", 2,rounded[[#This Row],[social_interaction_level]] = "high", 3)</f>
        <v>2</v>
      </c>
      <c r="O772">
        <f t="shared" si="12"/>
        <v>22</v>
      </c>
      <c r="P772" t="str" cm="1">
        <f t="array" ref="P772">_xlfn.SWITCH(rounded[[#This Row],[depression_label]], 0, "Not Depressed", 1, "Depressed")</f>
        <v>Not Depressed</v>
      </c>
      <c r="Q772" s="45" t="str" cm="1">
        <f t="array" ref="Q772">_xlfn.SWITCH(rounded[[#This Row],[gender]], "male", "Male", "female", "Female")</f>
        <v>Male</v>
      </c>
    </row>
    <row r="773" spans="1:17" x14ac:dyDescent="0.35">
      <c r="A773">
        <v>13</v>
      </c>
      <c r="B773" t="s">
        <v>16</v>
      </c>
      <c r="C773" s="4">
        <v>7.6</v>
      </c>
      <c r="D773" t="s">
        <v>14</v>
      </c>
      <c r="E773" s="4">
        <v>7.9</v>
      </c>
      <c r="F773" s="4">
        <v>3</v>
      </c>
      <c r="G773">
        <v>2.54</v>
      </c>
      <c r="H773">
        <v>1.2</v>
      </c>
      <c r="I773" t="s">
        <v>18</v>
      </c>
      <c r="J773">
        <v>8</v>
      </c>
      <c r="K773">
        <v>8</v>
      </c>
      <c r="L773">
        <v>1</v>
      </c>
      <c r="M773">
        <v>0</v>
      </c>
      <c r="N773">
        <f>_xlfn.IFS(rounded[[#This Row],[social_interaction_level]] = "low", 1,rounded[[#This Row],[social_interaction_level]] = "medium", 2,rounded[[#This Row],[social_interaction_level]] = "high", 3)</f>
        <v>3</v>
      </c>
      <c r="O773">
        <f t="shared" si="12"/>
        <v>17</v>
      </c>
      <c r="P773" t="str" cm="1">
        <f t="array" ref="P773">_xlfn.SWITCH(rounded[[#This Row],[depression_label]], 0, "Not Depressed", 1, "Depressed")</f>
        <v>Not Depressed</v>
      </c>
      <c r="Q773" s="45" t="str" cm="1">
        <f t="array" ref="Q773">_xlfn.SWITCH(rounded[[#This Row],[gender]], "male", "Male", "female", "Female")</f>
        <v>Female</v>
      </c>
    </row>
    <row r="774" spans="1:17" x14ac:dyDescent="0.35">
      <c r="A774">
        <v>19</v>
      </c>
      <c r="B774" t="s">
        <v>16</v>
      </c>
      <c r="C774" s="4">
        <v>6.3</v>
      </c>
      <c r="D774" t="s">
        <v>20</v>
      </c>
      <c r="E774" s="4">
        <v>5.7</v>
      </c>
      <c r="F774" s="4">
        <v>2.2999999999999998</v>
      </c>
      <c r="G774">
        <v>2.16</v>
      </c>
      <c r="H774">
        <v>1.9</v>
      </c>
      <c r="I774" t="s">
        <v>18</v>
      </c>
      <c r="J774">
        <v>6</v>
      </c>
      <c r="K774">
        <v>3</v>
      </c>
      <c r="L774">
        <v>6</v>
      </c>
      <c r="M774">
        <v>0</v>
      </c>
      <c r="N774">
        <f>_xlfn.IFS(rounded[[#This Row],[social_interaction_level]] = "low", 1,rounded[[#This Row],[social_interaction_level]] = "medium", 2,rounded[[#This Row],[social_interaction_level]] = "high", 3)</f>
        <v>3</v>
      </c>
      <c r="O774">
        <f t="shared" si="12"/>
        <v>15</v>
      </c>
      <c r="P774" t="str" cm="1">
        <f t="array" ref="P774">_xlfn.SWITCH(rounded[[#This Row],[depression_label]], 0, "Not Depressed", 1, "Depressed")</f>
        <v>Not Depressed</v>
      </c>
      <c r="Q774" s="45" t="str" cm="1">
        <f t="array" ref="Q774">_xlfn.SWITCH(rounded[[#This Row],[gender]], "male", "Male", "female", "Female")</f>
        <v>Female</v>
      </c>
    </row>
    <row r="775" spans="1:17" x14ac:dyDescent="0.35">
      <c r="A775">
        <v>18</v>
      </c>
      <c r="B775" t="s">
        <v>16</v>
      </c>
      <c r="C775" s="4">
        <v>2</v>
      </c>
      <c r="D775" t="s">
        <v>14</v>
      </c>
      <c r="E775" s="4">
        <v>5.9</v>
      </c>
      <c r="F775" s="4">
        <v>2.9</v>
      </c>
      <c r="G775">
        <v>3.52</v>
      </c>
      <c r="H775">
        <v>1.1000000000000001</v>
      </c>
      <c r="I775" t="s">
        <v>18</v>
      </c>
      <c r="J775">
        <v>8</v>
      </c>
      <c r="K775">
        <v>6</v>
      </c>
      <c r="L775">
        <v>10</v>
      </c>
      <c r="M775">
        <v>0</v>
      </c>
      <c r="N775">
        <f>_xlfn.IFS(rounded[[#This Row],[social_interaction_level]] = "low", 1,rounded[[#This Row],[social_interaction_level]] = "medium", 2,rounded[[#This Row],[social_interaction_level]] = "high", 3)</f>
        <v>3</v>
      </c>
      <c r="O775">
        <f t="shared" si="12"/>
        <v>24</v>
      </c>
      <c r="P775" t="str" cm="1">
        <f t="array" ref="P775">_xlfn.SWITCH(rounded[[#This Row],[depression_label]], 0, "Not Depressed", 1, "Depressed")</f>
        <v>Not Depressed</v>
      </c>
      <c r="Q775" s="45" t="str" cm="1">
        <f t="array" ref="Q775">_xlfn.SWITCH(rounded[[#This Row],[gender]], "male", "Male", "female", "Female")</f>
        <v>Female</v>
      </c>
    </row>
    <row r="776" spans="1:17" x14ac:dyDescent="0.35">
      <c r="A776">
        <v>15</v>
      </c>
      <c r="B776" t="s">
        <v>13</v>
      </c>
      <c r="C776" s="4">
        <v>4</v>
      </c>
      <c r="D776" t="s">
        <v>17</v>
      </c>
      <c r="E776" s="4">
        <v>4.5</v>
      </c>
      <c r="F776" s="4">
        <v>1.9</v>
      </c>
      <c r="G776">
        <v>3.22</v>
      </c>
      <c r="H776">
        <v>0.2</v>
      </c>
      <c r="I776" t="s">
        <v>19</v>
      </c>
      <c r="J776">
        <v>4</v>
      </c>
      <c r="K776">
        <v>5</v>
      </c>
      <c r="L776">
        <v>3</v>
      </c>
      <c r="M776">
        <v>0</v>
      </c>
      <c r="N776">
        <f>_xlfn.IFS(rounded[[#This Row],[social_interaction_level]] = "low", 1,rounded[[#This Row],[social_interaction_level]] = "medium", 2,rounded[[#This Row],[social_interaction_level]] = "high", 3)</f>
        <v>2</v>
      </c>
      <c r="O776">
        <f t="shared" si="12"/>
        <v>12</v>
      </c>
      <c r="P776" t="str" cm="1">
        <f t="array" ref="P776">_xlfn.SWITCH(rounded[[#This Row],[depression_label]], 0, "Not Depressed", 1, "Depressed")</f>
        <v>Not Depressed</v>
      </c>
      <c r="Q776" s="45" t="str" cm="1">
        <f t="array" ref="Q776">_xlfn.SWITCH(rounded[[#This Row],[gender]], "male", "Male", "female", "Female")</f>
        <v>Male</v>
      </c>
    </row>
    <row r="777" spans="1:17" x14ac:dyDescent="0.35">
      <c r="A777">
        <v>14</v>
      </c>
      <c r="B777" t="s">
        <v>13</v>
      </c>
      <c r="C777" s="4">
        <v>4.9000000000000004</v>
      </c>
      <c r="D777" t="s">
        <v>14</v>
      </c>
      <c r="E777" s="4">
        <v>5.5</v>
      </c>
      <c r="F777" s="4">
        <v>1.6</v>
      </c>
      <c r="G777">
        <v>2.85</v>
      </c>
      <c r="H777">
        <v>0.4</v>
      </c>
      <c r="I777" t="s">
        <v>15</v>
      </c>
      <c r="J777">
        <v>8</v>
      </c>
      <c r="K777">
        <v>1</v>
      </c>
      <c r="L777">
        <v>8</v>
      </c>
      <c r="M777">
        <v>0</v>
      </c>
      <c r="N777">
        <f>_xlfn.IFS(rounded[[#This Row],[social_interaction_level]] = "low", 1,rounded[[#This Row],[social_interaction_level]] = "medium", 2,rounded[[#This Row],[social_interaction_level]] = "high", 3)</f>
        <v>1</v>
      </c>
      <c r="O777">
        <f t="shared" si="12"/>
        <v>17</v>
      </c>
      <c r="P777" t="str" cm="1">
        <f t="array" ref="P777">_xlfn.SWITCH(rounded[[#This Row],[depression_label]], 0, "Not Depressed", 1, "Depressed")</f>
        <v>Not Depressed</v>
      </c>
      <c r="Q777" s="45" t="str" cm="1">
        <f t="array" ref="Q777">_xlfn.SWITCH(rounded[[#This Row],[gender]], "male", "Male", "female", "Female")</f>
        <v>Male</v>
      </c>
    </row>
    <row r="778" spans="1:17" x14ac:dyDescent="0.35">
      <c r="A778">
        <v>14</v>
      </c>
      <c r="B778" t="s">
        <v>16</v>
      </c>
      <c r="C778" s="4">
        <v>6.9</v>
      </c>
      <c r="D778" t="s">
        <v>17</v>
      </c>
      <c r="E778" s="4">
        <v>8</v>
      </c>
      <c r="F778" s="4">
        <v>1.6</v>
      </c>
      <c r="G778">
        <v>2.64</v>
      </c>
      <c r="H778">
        <v>0.1</v>
      </c>
      <c r="I778" t="s">
        <v>19</v>
      </c>
      <c r="J778">
        <v>3</v>
      </c>
      <c r="K778">
        <v>3</v>
      </c>
      <c r="L778">
        <v>3</v>
      </c>
      <c r="M778">
        <v>0</v>
      </c>
      <c r="N778">
        <f>_xlfn.IFS(rounded[[#This Row],[social_interaction_level]] = "low", 1,rounded[[#This Row],[social_interaction_level]] = "medium", 2,rounded[[#This Row],[social_interaction_level]] = "high", 3)</f>
        <v>2</v>
      </c>
      <c r="O778">
        <f t="shared" si="12"/>
        <v>9</v>
      </c>
      <c r="P778" t="str" cm="1">
        <f t="array" ref="P778">_xlfn.SWITCH(rounded[[#This Row],[depression_label]], 0, "Not Depressed", 1, "Depressed")</f>
        <v>Not Depressed</v>
      </c>
      <c r="Q778" s="45" t="str" cm="1">
        <f t="array" ref="Q778">_xlfn.SWITCH(rounded[[#This Row],[gender]], "male", "Male", "female", "Female")</f>
        <v>Female</v>
      </c>
    </row>
    <row r="779" spans="1:17" x14ac:dyDescent="0.35">
      <c r="A779">
        <v>15</v>
      </c>
      <c r="B779" t="s">
        <v>13</v>
      </c>
      <c r="C779" s="4">
        <v>5.4</v>
      </c>
      <c r="D779" t="s">
        <v>17</v>
      </c>
      <c r="E779" s="4">
        <v>4.2</v>
      </c>
      <c r="F779" s="4">
        <v>1.8</v>
      </c>
      <c r="G779">
        <v>2.15</v>
      </c>
      <c r="H779">
        <v>0.3</v>
      </c>
      <c r="I779" t="s">
        <v>19</v>
      </c>
      <c r="J779">
        <v>1</v>
      </c>
      <c r="K779">
        <v>10</v>
      </c>
      <c r="L779">
        <v>5</v>
      </c>
      <c r="M779">
        <v>0</v>
      </c>
      <c r="N779">
        <f>_xlfn.IFS(rounded[[#This Row],[social_interaction_level]] = "low", 1,rounded[[#This Row],[social_interaction_level]] = "medium", 2,rounded[[#This Row],[social_interaction_level]] = "high", 3)</f>
        <v>2</v>
      </c>
      <c r="O779">
        <f t="shared" si="12"/>
        <v>16</v>
      </c>
      <c r="P779" t="str" cm="1">
        <f t="array" ref="P779">_xlfn.SWITCH(rounded[[#This Row],[depression_label]], 0, "Not Depressed", 1, "Depressed")</f>
        <v>Not Depressed</v>
      </c>
      <c r="Q779" s="45" t="str" cm="1">
        <f t="array" ref="Q779">_xlfn.SWITCH(rounded[[#This Row],[gender]], "male", "Male", "female", "Female")</f>
        <v>Male</v>
      </c>
    </row>
    <row r="780" spans="1:17" x14ac:dyDescent="0.35">
      <c r="A780">
        <v>13</v>
      </c>
      <c r="B780" t="s">
        <v>16</v>
      </c>
      <c r="C780" s="4">
        <v>3.8</v>
      </c>
      <c r="D780" t="s">
        <v>20</v>
      </c>
      <c r="E780" s="4">
        <v>8.9</v>
      </c>
      <c r="F780" s="4">
        <v>2.5</v>
      </c>
      <c r="G780">
        <v>2.29</v>
      </c>
      <c r="H780">
        <v>0.6</v>
      </c>
      <c r="I780" t="s">
        <v>18</v>
      </c>
      <c r="J780">
        <v>9</v>
      </c>
      <c r="K780">
        <v>9</v>
      </c>
      <c r="L780">
        <v>7</v>
      </c>
      <c r="M780">
        <v>0</v>
      </c>
      <c r="N780">
        <f>_xlfn.IFS(rounded[[#This Row],[social_interaction_level]] = "low", 1,rounded[[#This Row],[social_interaction_level]] = "medium", 2,rounded[[#This Row],[social_interaction_level]] = "high", 3)</f>
        <v>3</v>
      </c>
      <c r="O780">
        <f t="shared" si="12"/>
        <v>25</v>
      </c>
      <c r="P780" t="str" cm="1">
        <f t="array" ref="P780">_xlfn.SWITCH(rounded[[#This Row],[depression_label]], 0, "Not Depressed", 1, "Depressed")</f>
        <v>Not Depressed</v>
      </c>
      <c r="Q780" s="45" t="str" cm="1">
        <f t="array" ref="Q780">_xlfn.SWITCH(rounded[[#This Row],[gender]], "male", "Male", "female", "Female")</f>
        <v>Female</v>
      </c>
    </row>
    <row r="781" spans="1:17" x14ac:dyDescent="0.35">
      <c r="A781">
        <v>15</v>
      </c>
      <c r="B781" t="s">
        <v>13</v>
      </c>
      <c r="C781" s="4">
        <v>7.8</v>
      </c>
      <c r="D781" t="s">
        <v>20</v>
      </c>
      <c r="E781" s="4">
        <v>6.8</v>
      </c>
      <c r="F781" s="4">
        <v>0.6</v>
      </c>
      <c r="G781">
        <v>3.2</v>
      </c>
      <c r="H781">
        <v>1.7</v>
      </c>
      <c r="I781" t="s">
        <v>19</v>
      </c>
      <c r="J781">
        <v>1</v>
      </c>
      <c r="K781">
        <v>7</v>
      </c>
      <c r="L781">
        <v>5</v>
      </c>
      <c r="M781">
        <v>0</v>
      </c>
      <c r="N781">
        <f>_xlfn.IFS(rounded[[#This Row],[social_interaction_level]] = "low", 1,rounded[[#This Row],[social_interaction_level]] = "medium", 2,rounded[[#This Row],[social_interaction_level]] = "high", 3)</f>
        <v>2</v>
      </c>
      <c r="O781">
        <f t="shared" si="12"/>
        <v>13</v>
      </c>
      <c r="P781" t="str" cm="1">
        <f t="array" ref="P781">_xlfn.SWITCH(rounded[[#This Row],[depression_label]], 0, "Not Depressed", 1, "Depressed")</f>
        <v>Not Depressed</v>
      </c>
      <c r="Q781" s="45" t="str" cm="1">
        <f t="array" ref="Q781">_xlfn.SWITCH(rounded[[#This Row],[gender]], "male", "Male", "female", "Female")</f>
        <v>Male</v>
      </c>
    </row>
    <row r="782" spans="1:17" x14ac:dyDescent="0.35">
      <c r="A782">
        <v>15</v>
      </c>
      <c r="B782" t="s">
        <v>13</v>
      </c>
      <c r="C782" s="4">
        <v>3.5</v>
      </c>
      <c r="D782" t="s">
        <v>20</v>
      </c>
      <c r="E782" s="4">
        <v>8.8000000000000007</v>
      </c>
      <c r="F782" s="4">
        <v>1.8</v>
      </c>
      <c r="G782">
        <v>3.5</v>
      </c>
      <c r="H782">
        <v>0.8</v>
      </c>
      <c r="I782" t="s">
        <v>15</v>
      </c>
      <c r="J782">
        <v>3</v>
      </c>
      <c r="K782">
        <v>6</v>
      </c>
      <c r="L782">
        <v>3</v>
      </c>
      <c r="M782">
        <v>0</v>
      </c>
      <c r="N782">
        <f>_xlfn.IFS(rounded[[#This Row],[social_interaction_level]] = "low", 1,rounded[[#This Row],[social_interaction_level]] = "medium", 2,rounded[[#This Row],[social_interaction_level]] = "high", 3)</f>
        <v>1</v>
      </c>
      <c r="O782">
        <f t="shared" si="12"/>
        <v>12</v>
      </c>
      <c r="P782" t="str" cm="1">
        <f t="array" ref="P782">_xlfn.SWITCH(rounded[[#This Row],[depression_label]], 0, "Not Depressed", 1, "Depressed")</f>
        <v>Not Depressed</v>
      </c>
      <c r="Q782" s="45" t="str" cm="1">
        <f t="array" ref="Q782">_xlfn.SWITCH(rounded[[#This Row],[gender]], "male", "Male", "female", "Female")</f>
        <v>Male</v>
      </c>
    </row>
    <row r="783" spans="1:17" x14ac:dyDescent="0.35">
      <c r="A783">
        <v>19</v>
      </c>
      <c r="B783" t="s">
        <v>16</v>
      </c>
      <c r="C783" s="4">
        <v>5.4</v>
      </c>
      <c r="D783" t="s">
        <v>14</v>
      </c>
      <c r="E783" s="4">
        <v>7.3</v>
      </c>
      <c r="F783" s="4">
        <v>2</v>
      </c>
      <c r="G783">
        <v>3.98</v>
      </c>
      <c r="H783">
        <v>0.9</v>
      </c>
      <c r="I783" t="s">
        <v>19</v>
      </c>
      <c r="J783">
        <v>6</v>
      </c>
      <c r="K783">
        <v>6</v>
      </c>
      <c r="L783">
        <v>1</v>
      </c>
      <c r="M783">
        <v>0</v>
      </c>
      <c r="N783">
        <f>_xlfn.IFS(rounded[[#This Row],[social_interaction_level]] = "low", 1,rounded[[#This Row],[social_interaction_level]] = "medium", 2,rounded[[#This Row],[social_interaction_level]] = "high", 3)</f>
        <v>2</v>
      </c>
      <c r="O783">
        <f t="shared" si="12"/>
        <v>13</v>
      </c>
      <c r="P783" t="str" cm="1">
        <f t="array" ref="P783">_xlfn.SWITCH(rounded[[#This Row],[depression_label]], 0, "Not Depressed", 1, "Depressed")</f>
        <v>Not Depressed</v>
      </c>
      <c r="Q783" s="45" t="str" cm="1">
        <f t="array" ref="Q783">_xlfn.SWITCH(rounded[[#This Row],[gender]], "male", "Male", "female", "Female")</f>
        <v>Female</v>
      </c>
    </row>
    <row r="784" spans="1:17" x14ac:dyDescent="0.35">
      <c r="A784">
        <v>17</v>
      </c>
      <c r="B784" t="s">
        <v>13</v>
      </c>
      <c r="C784" s="4">
        <v>3.8</v>
      </c>
      <c r="D784" t="s">
        <v>20</v>
      </c>
      <c r="E784" s="4">
        <v>5.7</v>
      </c>
      <c r="F784" s="4">
        <v>2</v>
      </c>
      <c r="G784">
        <v>3.01</v>
      </c>
      <c r="H784">
        <v>1</v>
      </c>
      <c r="I784" t="s">
        <v>15</v>
      </c>
      <c r="J784">
        <v>1</v>
      </c>
      <c r="K784">
        <v>3</v>
      </c>
      <c r="L784">
        <v>1</v>
      </c>
      <c r="M784">
        <v>0</v>
      </c>
      <c r="N784">
        <f>_xlfn.IFS(rounded[[#This Row],[social_interaction_level]] = "low", 1,rounded[[#This Row],[social_interaction_level]] = "medium", 2,rounded[[#This Row],[social_interaction_level]] = "high", 3)</f>
        <v>1</v>
      </c>
      <c r="O784">
        <f t="shared" si="12"/>
        <v>5</v>
      </c>
      <c r="P784" t="str" cm="1">
        <f t="array" ref="P784">_xlfn.SWITCH(rounded[[#This Row],[depression_label]], 0, "Not Depressed", 1, "Depressed")</f>
        <v>Not Depressed</v>
      </c>
      <c r="Q784" s="45" t="str" cm="1">
        <f t="array" ref="Q784">_xlfn.SWITCH(rounded[[#This Row],[gender]], "male", "Male", "female", "Female")</f>
        <v>Male</v>
      </c>
    </row>
    <row r="785" spans="1:17" x14ac:dyDescent="0.35">
      <c r="A785">
        <v>17</v>
      </c>
      <c r="B785" t="s">
        <v>13</v>
      </c>
      <c r="C785" s="4">
        <v>8</v>
      </c>
      <c r="D785" t="s">
        <v>14</v>
      </c>
      <c r="E785" s="4">
        <v>6.9</v>
      </c>
      <c r="F785" s="4">
        <v>2.2000000000000002</v>
      </c>
      <c r="G785">
        <v>2.36</v>
      </c>
      <c r="H785">
        <v>1.6</v>
      </c>
      <c r="I785" t="s">
        <v>15</v>
      </c>
      <c r="J785">
        <v>4</v>
      </c>
      <c r="K785">
        <v>2</v>
      </c>
      <c r="L785">
        <v>8</v>
      </c>
      <c r="M785">
        <v>0</v>
      </c>
      <c r="N785">
        <f>_xlfn.IFS(rounded[[#This Row],[social_interaction_level]] = "low", 1,rounded[[#This Row],[social_interaction_level]] = "medium", 2,rounded[[#This Row],[social_interaction_level]] = "high", 3)</f>
        <v>1</v>
      </c>
      <c r="O785">
        <f t="shared" si="12"/>
        <v>14</v>
      </c>
      <c r="P785" t="str" cm="1">
        <f t="array" ref="P785">_xlfn.SWITCH(rounded[[#This Row],[depression_label]], 0, "Not Depressed", 1, "Depressed")</f>
        <v>Not Depressed</v>
      </c>
      <c r="Q785" s="45" t="str" cm="1">
        <f t="array" ref="Q785">_xlfn.SWITCH(rounded[[#This Row],[gender]], "male", "Male", "female", "Female")</f>
        <v>Male</v>
      </c>
    </row>
    <row r="786" spans="1:17" x14ac:dyDescent="0.35">
      <c r="A786">
        <v>14</v>
      </c>
      <c r="B786" t="s">
        <v>16</v>
      </c>
      <c r="C786" s="4">
        <v>3.7</v>
      </c>
      <c r="D786" t="s">
        <v>17</v>
      </c>
      <c r="E786" s="4">
        <v>5.7</v>
      </c>
      <c r="F786" s="4">
        <v>1.7</v>
      </c>
      <c r="G786">
        <v>2.88</v>
      </c>
      <c r="H786">
        <v>0.2</v>
      </c>
      <c r="I786" t="s">
        <v>15</v>
      </c>
      <c r="J786">
        <v>9</v>
      </c>
      <c r="K786">
        <v>10</v>
      </c>
      <c r="L786">
        <v>3</v>
      </c>
      <c r="M786">
        <v>0</v>
      </c>
      <c r="N786">
        <f>_xlfn.IFS(rounded[[#This Row],[social_interaction_level]] = "low", 1,rounded[[#This Row],[social_interaction_level]] = "medium", 2,rounded[[#This Row],[social_interaction_level]] = "high", 3)</f>
        <v>1</v>
      </c>
      <c r="O786">
        <f t="shared" si="12"/>
        <v>22</v>
      </c>
      <c r="P786" t="str" cm="1">
        <f t="array" ref="P786">_xlfn.SWITCH(rounded[[#This Row],[depression_label]], 0, "Not Depressed", 1, "Depressed")</f>
        <v>Not Depressed</v>
      </c>
      <c r="Q786" s="45" t="str" cm="1">
        <f t="array" ref="Q786">_xlfn.SWITCH(rounded[[#This Row],[gender]], "male", "Male", "female", "Female")</f>
        <v>Female</v>
      </c>
    </row>
    <row r="787" spans="1:17" x14ac:dyDescent="0.35">
      <c r="A787">
        <v>19</v>
      </c>
      <c r="B787" t="s">
        <v>16</v>
      </c>
      <c r="C787" s="4">
        <v>5</v>
      </c>
      <c r="D787" t="s">
        <v>14</v>
      </c>
      <c r="E787" s="4">
        <v>6.3</v>
      </c>
      <c r="F787" s="4">
        <v>2.9</v>
      </c>
      <c r="G787">
        <v>2.04</v>
      </c>
      <c r="H787">
        <v>0.5</v>
      </c>
      <c r="I787" t="s">
        <v>19</v>
      </c>
      <c r="J787">
        <v>5</v>
      </c>
      <c r="K787">
        <v>2</v>
      </c>
      <c r="L787">
        <v>2</v>
      </c>
      <c r="M787">
        <v>0</v>
      </c>
      <c r="N787">
        <f>_xlfn.IFS(rounded[[#This Row],[social_interaction_level]] = "low", 1,rounded[[#This Row],[social_interaction_level]] = "medium", 2,rounded[[#This Row],[social_interaction_level]] = "high", 3)</f>
        <v>2</v>
      </c>
      <c r="O787">
        <f t="shared" si="12"/>
        <v>9</v>
      </c>
      <c r="P787" t="str" cm="1">
        <f t="array" ref="P787">_xlfn.SWITCH(rounded[[#This Row],[depression_label]], 0, "Not Depressed", 1, "Depressed")</f>
        <v>Not Depressed</v>
      </c>
      <c r="Q787" s="45" t="str" cm="1">
        <f t="array" ref="Q787">_xlfn.SWITCH(rounded[[#This Row],[gender]], "male", "Male", "female", "Female")</f>
        <v>Female</v>
      </c>
    </row>
    <row r="788" spans="1:17" x14ac:dyDescent="0.35">
      <c r="A788">
        <v>19</v>
      </c>
      <c r="B788" t="s">
        <v>16</v>
      </c>
      <c r="C788" s="4">
        <v>4.2</v>
      </c>
      <c r="D788" t="s">
        <v>14</v>
      </c>
      <c r="E788" s="4">
        <v>7.1</v>
      </c>
      <c r="F788" s="4">
        <v>2.5</v>
      </c>
      <c r="G788">
        <v>3.91</v>
      </c>
      <c r="H788">
        <v>1.5</v>
      </c>
      <c r="I788" t="s">
        <v>18</v>
      </c>
      <c r="J788">
        <v>6</v>
      </c>
      <c r="K788">
        <v>8</v>
      </c>
      <c r="L788">
        <v>9</v>
      </c>
      <c r="M788">
        <v>0</v>
      </c>
      <c r="N788">
        <f>_xlfn.IFS(rounded[[#This Row],[social_interaction_level]] = "low", 1,rounded[[#This Row],[social_interaction_level]] = "medium", 2,rounded[[#This Row],[social_interaction_level]] = "high", 3)</f>
        <v>3</v>
      </c>
      <c r="O788">
        <f t="shared" si="12"/>
        <v>23</v>
      </c>
      <c r="P788" t="str" cm="1">
        <f t="array" ref="P788">_xlfn.SWITCH(rounded[[#This Row],[depression_label]], 0, "Not Depressed", 1, "Depressed")</f>
        <v>Not Depressed</v>
      </c>
      <c r="Q788" s="45" t="str" cm="1">
        <f t="array" ref="Q788">_xlfn.SWITCH(rounded[[#This Row],[gender]], "male", "Male", "female", "Female")</f>
        <v>Female</v>
      </c>
    </row>
    <row r="789" spans="1:17" x14ac:dyDescent="0.35">
      <c r="A789">
        <v>16</v>
      </c>
      <c r="B789" t="s">
        <v>13</v>
      </c>
      <c r="C789" s="4">
        <v>4.5999999999999996</v>
      </c>
      <c r="D789" t="s">
        <v>14</v>
      </c>
      <c r="E789" s="4">
        <v>8.1999999999999993</v>
      </c>
      <c r="F789" s="4">
        <v>1.5</v>
      </c>
      <c r="G789">
        <v>2.13</v>
      </c>
      <c r="H789">
        <v>1</v>
      </c>
      <c r="I789" t="s">
        <v>15</v>
      </c>
      <c r="J789">
        <v>3</v>
      </c>
      <c r="K789">
        <v>2</v>
      </c>
      <c r="L789">
        <v>2</v>
      </c>
      <c r="M789">
        <v>0</v>
      </c>
      <c r="N789">
        <f>_xlfn.IFS(rounded[[#This Row],[social_interaction_level]] = "low", 1,rounded[[#This Row],[social_interaction_level]] = "medium", 2,rounded[[#This Row],[social_interaction_level]] = "high", 3)</f>
        <v>1</v>
      </c>
      <c r="O789">
        <f t="shared" si="12"/>
        <v>7</v>
      </c>
      <c r="P789" t="str" cm="1">
        <f t="array" ref="P789">_xlfn.SWITCH(rounded[[#This Row],[depression_label]], 0, "Not Depressed", 1, "Depressed")</f>
        <v>Not Depressed</v>
      </c>
      <c r="Q789" s="45" t="str" cm="1">
        <f t="array" ref="Q789">_xlfn.SWITCH(rounded[[#This Row],[gender]], "male", "Male", "female", "Female")</f>
        <v>Male</v>
      </c>
    </row>
    <row r="790" spans="1:17" x14ac:dyDescent="0.35">
      <c r="A790">
        <v>18</v>
      </c>
      <c r="B790" t="s">
        <v>13</v>
      </c>
      <c r="C790" s="4">
        <v>5.5</v>
      </c>
      <c r="D790" t="s">
        <v>14</v>
      </c>
      <c r="E790" s="4">
        <v>5</v>
      </c>
      <c r="F790" s="4">
        <v>0.9</v>
      </c>
      <c r="G790">
        <v>2.93</v>
      </c>
      <c r="H790">
        <v>1.1000000000000001</v>
      </c>
      <c r="I790" t="s">
        <v>15</v>
      </c>
      <c r="J790">
        <v>4</v>
      </c>
      <c r="K790">
        <v>10</v>
      </c>
      <c r="L790">
        <v>10</v>
      </c>
      <c r="M790">
        <v>0</v>
      </c>
      <c r="N790">
        <f>_xlfn.IFS(rounded[[#This Row],[social_interaction_level]] = "low", 1,rounded[[#This Row],[social_interaction_level]] = "medium", 2,rounded[[#This Row],[social_interaction_level]] = "high", 3)</f>
        <v>1</v>
      </c>
      <c r="O790">
        <f t="shared" si="12"/>
        <v>24</v>
      </c>
      <c r="P790" t="str" cm="1">
        <f t="array" ref="P790">_xlfn.SWITCH(rounded[[#This Row],[depression_label]], 0, "Not Depressed", 1, "Depressed")</f>
        <v>Not Depressed</v>
      </c>
      <c r="Q790" s="45" t="str" cm="1">
        <f t="array" ref="Q790">_xlfn.SWITCH(rounded[[#This Row],[gender]], "male", "Male", "female", "Female")</f>
        <v>Male</v>
      </c>
    </row>
    <row r="791" spans="1:17" x14ac:dyDescent="0.35">
      <c r="A791">
        <v>19</v>
      </c>
      <c r="B791" t="s">
        <v>16</v>
      </c>
      <c r="C791" s="4">
        <v>1.8</v>
      </c>
      <c r="D791" t="s">
        <v>14</v>
      </c>
      <c r="E791" s="4">
        <v>4.5</v>
      </c>
      <c r="F791" s="4">
        <v>2.8</v>
      </c>
      <c r="G791">
        <v>3.22</v>
      </c>
      <c r="H791">
        <v>1.6</v>
      </c>
      <c r="I791" t="s">
        <v>19</v>
      </c>
      <c r="J791">
        <v>5</v>
      </c>
      <c r="K791">
        <v>3</v>
      </c>
      <c r="L791">
        <v>10</v>
      </c>
      <c r="M791">
        <v>0</v>
      </c>
      <c r="N791">
        <f>_xlfn.IFS(rounded[[#This Row],[social_interaction_level]] = "low", 1,rounded[[#This Row],[social_interaction_level]] = "medium", 2,rounded[[#This Row],[social_interaction_level]] = "high", 3)</f>
        <v>2</v>
      </c>
      <c r="O791">
        <f t="shared" si="12"/>
        <v>18</v>
      </c>
      <c r="P791" t="str" cm="1">
        <f t="array" ref="P791">_xlfn.SWITCH(rounded[[#This Row],[depression_label]], 0, "Not Depressed", 1, "Depressed")</f>
        <v>Not Depressed</v>
      </c>
      <c r="Q791" s="45" t="str" cm="1">
        <f t="array" ref="Q791">_xlfn.SWITCH(rounded[[#This Row],[gender]], "male", "Male", "female", "Female")</f>
        <v>Female</v>
      </c>
    </row>
    <row r="792" spans="1:17" x14ac:dyDescent="0.35">
      <c r="A792">
        <v>14</v>
      </c>
      <c r="B792" t="s">
        <v>16</v>
      </c>
      <c r="C792" s="4">
        <v>6.6</v>
      </c>
      <c r="D792" t="s">
        <v>17</v>
      </c>
      <c r="E792" s="4">
        <v>6.2</v>
      </c>
      <c r="F792" s="4">
        <v>1.8</v>
      </c>
      <c r="G792">
        <v>2.36</v>
      </c>
      <c r="H792">
        <v>1.7</v>
      </c>
      <c r="I792" t="s">
        <v>18</v>
      </c>
      <c r="J792">
        <v>4</v>
      </c>
      <c r="K792">
        <v>1</v>
      </c>
      <c r="L792">
        <v>8</v>
      </c>
      <c r="M792">
        <v>0</v>
      </c>
      <c r="N792">
        <f>_xlfn.IFS(rounded[[#This Row],[social_interaction_level]] = "low", 1,rounded[[#This Row],[social_interaction_level]] = "medium", 2,rounded[[#This Row],[social_interaction_level]] = "high", 3)</f>
        <v>3</v>
      </c>
      <c r="O792">
        <f t="shared" si="12"/>
        <v>13</v>
      </c>
      <c r="P792" t="str" cm="1">
        <f t="array" ref="P792">_xlfn.SWITCH(rounded[[#This Row],[depression_label]], 0, "Not Depressed", 1, "Depressed")</f>
        <v>Not Depressed</v>
      </c>
      <c r="Q792" s="45" t="str" cm="1">
        <f t="array" ref="Q792">_xlfn.SWITCH(rounded[[#This Row],[gender]], "male", "Male", "female", "Female")</f>
        <v>Female</v>
      </c>
    </row>
    <row r="793" spans="1:17" x14ac:dyDescent="0.35">
      <c r="A793">
        <v>15</v>
      </c>
      <c r="B793" t="s">
        <v>16</v>
      </c>
      <c r="C793" s="4">
        <v>4.4000000000000004</v>
      </c>
      <c r="D793" t="s">
        <v>17</v>
      </c>
      <c r="E793" s="4">
        <v>5.3</v>
      </c>
      <c r="F793" s="4">
        <v>0.9</v>
      </c>
      <c r="G793">
        <v>3.75</v>
      </c>
      <c r="H793">
        <v>0.5</v>
      </c>
      <c r="I793" t="s">
        <v>18</v>
      </c>
      <c r="J793">
        <v>10</v>
      </c>
      <c r="K793">
        <v>5</v>
      </c>
      <c r="L793">
        <v>5</v>
      </c>
      <c r="M793">
        <v>0</v>
      </c>
      <c r="N793">
        <f>_xlfn.IFS(rounded[[#This Row],[social_interaction_level]] = "low", 1,rounded[[#This Row],[social_interaction_level]] = "medium", 2,rounded[[#This Row],[social_interaction_level]] = "high", 3)</f>
        <v>3</v>
      </c>
      <c r="O793">
        <f t="shared" si="12"/>
        <v>20</v>
      </c>
      <c r="P793" t="str" cm="1">
        <f t="array" ref="P793">_xlfn.SWITCH(rounded[[#This Row],[depression_label]], 0, "Not Depressed", 1, "Depressed")</f>
        <v>Not Depressed</v>
      </c>
      <c r="Q793" s="45" t="str" cm="1">
        <f t="array" ref="Q793">_xlfn.SWITCH(rounded[[#This Row],[gender]], "male", "Male", "female", "Female")</f>
        <v>Female</v>
      </c>
    </row>
    <row r="794" spans="1:17" x14ac:dyDescent="0.35">
      <c r="A794">
        <v>14</v>
      </c>
      <c r="B794" t="s">
        <v>16</v>
      </c>
      <c r="C794" s="4">
        <v>4.7</v>
      </c>
      <c r="D794" t="s">
        <v>17</v>
      </c>
      <c r="E794" s="4">
        <v>4.4000000000000004</v>
      </c>
      <c r="F794" s="4">
        <v>2.1</v>
      </c>
      <c r="G794">
        <v>3.92</v>
      </c>
      <c r="H794">
        <v>0.9</v>
      </c>
      <c r="I794" t="s">
        <v>15</v>
      </c>
      <c r="J794">
        <v>10</v>
      </c>
      <c r="K794">
        <v>1</v>
      </c>
      <c r="L794">
        <v>4</v>
      </c>
      <c r="M794">
        <v>0</v>
      </c>
      <c r="N794">
        <f>_xlfn.IFS(rounded[[#This Row],[social_interaction_level]] = "low", 1,rounded[[#This Row],[social_interaction_level]] = "medium", 2,rounded[[#This Row],[social_interaction_level]] = "high", 3)</f>
        <v>1</v>
      </c>
      <c r="O794">
        <f t="shared" si="12"/>
        <v>15</v>
      </c>
      <c r="P794" t="str" cm="1">
        <f t="array" ref="P794">_xlfn.SWITCH(rounded[[#This Row],[depression_label]], 0, "Not Depressed", 1, "Depressed")</f>
        <v>Not Depressed</v>
      </c>
      <c r="Q794" s="45" t="str" cm="1">
        <f t="array" ref="Q794">_xlfn.SWITCH(rounded[[#This Row],[gender]], "male", "Male", "female", "Female")</f>
        <v>Female</v>
      </c>
    </row>
    <row r="795" spans="1:17" x14ac:dyDescent="0.35">
      <c r="A795">
        <v>18</v>
      </c>
      <c r="B795" t="s">
        <v>16</v>
      </c>
      <c r="C795" s="4">
        <v>7.1</v>
      </c>
      <c r="D795" t="s">
        <v>14</v>
      </c>
      <c r="E795" s="4">
        <v>5.7</v>
      </c>
      <c r="F795" s="4">
        <v>0.6</v>
      </c>
      <c r="G795">
        <v>2.9</v>
      </c>
      <c r="H795">
        <v>1.7</v>
      </c>
      <c r="I795" t="s">
        <v>19</v>
      </c>
      <c r="J795">
        <v>3</v>
      </c>
      <c r="K795">
        <v>1</v>
      </c>
      <c r="L795">
        <v>6</v>
      </c>
      <c r="M795">
        <v>0</v>
      </c>
      <c r="N795">
        <f>_xlfn.IFS(rounded[[#This Row],[social_interaction_level]] = "low", 1,rounded[[#This Row],[social_interaction_level]] = "medium", 2,rounded[[#This Row],[social_interaction_level]] = "high", 3)</f>
        <v>2</v>
      </c>
      <c r="O795">
        <f t="shared" si="12"/>
        <v>10</v>
      </c>
      <c r="P795" t="str" cm="1">
        <f t="array" ref="P795">_xlfn.SWITCH(rounded[[#This Row],[depression_label]], 0, "Not Depressed", 1, "Depressed")</f>
        <v>Not Depressed</v>
      </c>
      <c r="Q795" s="45" t="str" cm="1">
        <f t="array" ref="Q795">_xlfn.SWITCH(rounded[[#This Row],[gender]], "male", "Male", "female", "Female")</f>
        <v>Female</v>
      </c>
    </row>
    <row r="796" spans="1:17" x14ac:dyDescent="0.35">
      <c r="A796">
        <v>17</v>
      </c>
      <c r="B796" t="s">
        <v>13</v>
      </c>
      <c r="C796" s="4">
        <v>4</v>
      </c>
      <c r="D796" t="s">
        <v>20</v>
      </c>
      <c r="E796" s="4">
        <v>8.5</v>
      </c>
      <c r="F796" s="4">
        <v>1</v>
      </c>
      <c r="G796">
        <v>2.16</v>
      </c>
      <c r="H796">
        <v>0.1</v>
      </c>
      <c r="I796" t="s">
        <v>15</v>
      </c>
      <c r="J796">
        <v>1</v>
      </c>
      <c r="K796">
        <v>7</v>
      </c>
      <c r="L796">
        <v>5</v>
      </c>
      <c r="M796">
        <v>0</v>
      </c>
      <c r="N796">
        <f>_xlfn.IFS(rounded[[#This Row],[social_interaction_level]] = "low", 1,rounded[[#This Row],[social_interaction_level]] = "medium", 2,rounded[[#This Row],[social_interaction_level]] = "high", 3)</f>
        <v>1</v>
      </c>
      <c r="O796">
        <f t="shared" si="12"/>
        <v>13</v>
      </c>
      <c r="P796" t="str" cm="1">
        <f t="array" ref="P796">_xlfn.SWITCH(rounded[[#This Row],[depression_label]], 0, "Not Depressed", 1, "Depressed")</f>
        <v>Not Depressed</v>
      </c>
      <c r="Q796" s="45" t="str" cm="1">
        <f t="array" ref="Q796">_xlfn.SWITCH(rounded[[#This Row],[gender]], "male", "Male", "female", "Female")</f>
        <v>Male</v>
      </c>
    </row>
    <row r="797" spans="1:17" x14ac:dyDescent="0.35">
      <c r="A797">
        <v>18</v>
      </c>
      <c r="B797" t="s">
        <v>16</v>
      </c>
      <c r="C797" s="4">
        <v>5.5</v>
      </c>
      <c r="D797" t="s">
        <v>14</v>
      </c>
      <c r="E797" s="4">
        <v>5.3</v>
      </c>
      <c r="F797" s="4">
        <v>2.6</v>
      </c>
      <c r="G797">
        <v>3.09</v>
      </c>
      <c r="H797">
        <v>2</v>
      </c>
      <c r="I797" t="s">
        <v>15</v>
      </c>
      <c r="J797">
        <v>8</v>
      </c>
      <c r="K797">
        <v>6</v>
      </c>
      <c r="L797">
        <v>3</v>
      </c>
      <c r="M797">
        <v>0</v>
      </c>
      <c r="N797">
        <f>_xlfn.IFS(rounded[[#This Row],[social_interaction_level]] = "low", 1,rounded[[#This Row],[social_interaction_level]] = "medium", 2,rounded[[#This Row],[social_interaction_level]] = "high", 3)</f>
        <v>1</v>
      </c>
      <c r="O797">
        <f t="shared" si="12"/>
        <v>17</v>
      </c>
      <c r="P797" t="str" cm="1">
        <f t="array" ref="P797">_xlfn.SWITCH(rounded[[#This Row],[depression_label]], 0, "Not Depressed", 1, "Depressed")</f>
        <v>Not Depressed</v>
      </c>
      <c r="Q797" s="45" t="str" cm="1">
        <f t="array" ref="Q797">_xlfn.SWITCH(rounded[[#This Row],[gender]], "male", "Male", "female", "Female")</f>
        <v>Female</v>
      </c>
    </row>
    <row r="798" spans="1:17" x14ac:dyDescent="0.35">
      <c r="A798">
        <v>19</v>
      </c>
      <c r="B798" t="s">
        <v>13</v>
      </c>
      <c r="C798" s="4">
        <v>5.6</v>
      </c>
      <c r="D798" t="s">
        <v>17</v>
      </c>
      <c r="E798" s="4">
        <v>6.5</v>
      </c>
      <c r="F798" s="4">
        <v>1.4</v>
      </c>
      <c r="G798">
        <v>3.19</v>
      </c>
      <c r="H798">
        <v>0</v>
      </c>
      <c r="I798" t="s">
        <v>18</v>
      </c>
      <c r="J798">
        <v>9</v>
      </c>
      <c r="K798">
        <v>9</v>
      </c>
      <c r="L798">
        <v>7</v>
      </c>
      <c r="M798">
        <v>0</v>
      </c>
      <c r="N798">
        <f>_xlfn.IFS(rounded[[#This Row],[social_interaction_level]] = "low", 1,rounded[[#This Row],[social_interaction_level]] = "medium", 2,rounded[[#This Row],[social_interaction_level]] = "high", 3)</f>
        <v>3</v>
      </c>
      <c r="O798">
        <f t="shared" si="12"/>
        <v>25</v>
      </c>
      <c r="P798" t="str" cm="1">
        <f t="array" ref="P798">_xlfn.SWITCH(rounded[[#This Row],[depression_label]], 0, "Not Depressed", 1, "Depressed")</f>
        <v>Not Depressed</v>
      </c>
      <c r="Q798" s="45" t="str" cm="1">
        <f t="array" ref="Q798">_xlfn.SWITCH(rounded[[#This Row],[gender]], "male", "Male", "female", "Female")</f>
        <v>Male</v>
      </c>
    </row>
    <row r="799" spans="1:17" x14ac:dyDescent="0.35">
      <c r="A799">
        <v>14</v>
      </c>
      <c r="B799" t="s">
        <v>16</v>
      </c>
      <c r="C799" s="4">
        <v>3.7</v>
      </c>
      <c r="D799" t="s">
        <v>20</v>
      </c>
      <c r="E799" s="4">
        <v>7.1</v>
      </c>
      <c r="F799" s="4">
        <v>1.7</v>
      </c>
      <c r="G799">
        <v>2.5</v>
      </c>
      <c r="H799">
        <v>1.8</v>
      </c>
      <c r="I799" t="s">
        <v>19</v>
      </c>
      <c r="J799">
        <v>10</v>
      </c>
      <c r="K799">
        <v>4</v>
      </c>
      <c r="L799">
        <v>5</v>
      </c>
      <c r="M799">
        <v>0</v>
      </c>
      <c r="N799">
        <f>_xlfn.IFS(rounded[[#This Row],[social_interaction_level]] = "low", 1,rounded[[#This Row],[social_interaction_level]] = "medium", 2,rounded[[#This Row],[social_interaction_level]] = "high", 3)</f>
        <v>2</v>
      </c>
      <c r="O799">
        <f t="shared" si="12"/>
        <v>19</v>
      </c>
      <c r="P799" t="str" cm="1">
        <f t="array" ref="P799">_xlfn.SWITCH(rounded[[#This Row],[depression_label]], 0, "Not Depressed", 1, "Depressed")</f>
        <v>Not Depressed</v>
      </c>
      <c r="Q799" s="45" t="str" cm="1">
        <f t="array" ref="Q799">_xlfn.SWITCH(rounded[[#This Row],[gender]], "male", "Male", "female", "Female")</f>
        <v>Female</v>
      </c>
    </row>
    <row r="800" spans="1:17" x14ac:dyDescent="0.35">
      <c r="A800">
        <v>16</v>
      </c>
      <c r="B800" t="s">
        <v>13</v>
      </c>
      <c r="C800" s="4">
        <v>1.8</v>
      </c>
      <c r="D800" t="s">
        <v>17</v>
      </c>
      <c r="E800" s="4">
        <v>7.4</v>
      </c>
      <c r="F800" s="4">
        <v>2.2999999999999998</v>
      </c>
      <c r="G800">
        <v>3.76</v>
      </c>
      <c r="H800">
        <v>0.8</v>
      </c>
      <c r="I800" t="s">
        <v>15</v>
      </c>
      <c r="J800">
        <v>9</v>
      </c>
      <c r="K800">
        <v>5</v>
      </c>
      <c r="L800">
        <v>8</v>
      </c>
      <c r="M800">
        <v>0</v>
      </c>
      <c r="N800">
        <f>_xlfn.IFS(rounded[[#This Row],[social_interaction_level]] = "low", 1,rounded[[#This Row],[social_interaction_level]] = "medium", 2,rounded[[#This Row],[social_interaction_level]] = "high", 3)</f>
        <v>1</v>
      </c>
      <c r="O800">
        <f t="shared" si="12"/>
        <v>22</v>
      </c>
      <c r="P800" t="str" cm="1">
        <f t="array" ref="P800">_xlfn.SWITCH(rounded[[#This Row],[depression_label]], 0, "Not Depressed", 1, "Depressed")</f>
        <v>Not Depressed</v>
      </c>
      <c r="Q800" s="45" t="str" cm="1">
        <f t="array" ref="Q800">_xlfn.SWITCH(rounded[[#This Row],[gender]], "male", "Male", "female", "Female")</f>
        <v>Male</v>
      </c>
    </row>
    <row r="801" spans="1:17" x14ac:dyDescent="0.35">
      <c r="A801">
        <v>16</v>
      </c>
      <c r="B801" t="s">
        <v>16</v>
      </c>
      <c r="C801" s="4">
        <v>7.6</v>
      </c>
      <c r="D801" t="s">
        <v>17</v>
      </c>
      <c r="E801" s="4">
        <v>4.2</v>
      </c>
      <c r="F801" s="4">
        <v>2.8</v>
      </c>
      <c r="G801">
        <v>3.87</v>
      </c>
      <c r="H801">
        <v>0.7</v>
      </c>
      <c r="I801" t="s">
        <v>18</v>
      </c>
      <c r="J801">
        <v>10</v>
      </c>
      <c r="K801">
        <v>2</v>
      </c>
      <c r="L801">
        <v>9</v>
      </c>
      <c r="M801">
        <v>0</v>
      </c>
      <c r="N801">
        <f>_xlfn.IFS(rounded[[#This Row],[social_interaction_level]] = "low", 1,rounded[[#This Row],[social_interaction_level]] = "medium", 2,rounded[[#This Row],[social_interaction_level]] = "high", 3)</f>
        <v>3</v>
      </c>
      <c r="O801">
        <f t="shared" si="12"/>
        <v>21</v>
      </c>
      <c r="P801" t="str" cm="1">
        <f t="array" ref="P801">_xlfn.SWITCH(rounded[[#This Row],[depression_label]], 0, "Not Depressed", 1, "Depressed")</f>
        <v>Not Depressed</v>
      </c>
      <c r="Q801" s="45" t="str" cm="1">
        <f t="array" ref="Q801">_xlfn.SWITCH(rounded[[#This Row],[gender]], "male", "Male", "female", "Female")</f>
        <v>Female</v>
      </c>
    </row>
    <row r="802" spans="1:17" x14ac:dyDescent="0.35">
      <c r="A802">
        <v>18</v>
      </c>
      <c r="B802" t="s">
        <v>13</v>
      </c>
      <c r="C802" s="4">
        <v>5.7</v>
      </c>
      <c r="D802" t="s">
        <v>17</v>
      </c>
      <c r="E802" s="4">
        <v>8</v>
      </c>
      <c r="F802" s="4">
        <v>2.5</v>
      </c>
      <c r="G802">
        <v>3.4</v>
      </c>
      <c r="H802">
        <v>0.1</v>
      </c>
      <c r="I802" t="s">
        <v>15</v>
      </c>
      <c r="J802">
        <v>5</v>
      </c>
      <c r="K802">
        <v>2</v>
      </c>
      <c r="L802">
        <v>1</v>
      </c>
      <c r="M802">
        <v>0</v>
      </c>
      <c r="N802">
        <f>_xlfn.IFS(rounded[[#This Row],[social_interaction_level]] = "low", 1,rounded[[#This Row],[social_interaction_level]] = "medium", 2,rounded[[#This Row],[social_interaction_level]] = "high", 3)</f>
        <v>1</v>
      </c>
      <c r="O802">
        <f t="shared" si="12"/>
        <v>8</v>
      </c>
      <c r="P802" t="str" cm="1">
        <f t="array" ref="P802">_xlfn.SWITCH(rounded[[#This Row],[depression_label]], 0, "Not Depressed", 1, "Depressed")</f>
        <v>Not Depressed</v>
      </c>
      <c r="Q802" s="45" t="str" cm="1">
        <f t="array" ref="Q802">_xlfn.SWITCH(rounded[[#This Row],[gender]], "male", "Male", "female", "Female")</f>
        <v>Male</v>
      </c>
    </row>
    <row r="803" spans="1:17" x14ac:dyDescent="0.35">
      <c r="A803">
        <v>14</v>
      </c>
      <c r="B803" t="s">
        <v>16</v>
      </c>
      <c r="C803" s="4">
        <v>6.1</v>
      </c>
      <c r="D803" t="s">
        <v>14</v>
      </c>
      <c r="E803" s="4">
        <v>7</v>
      </c>
      <c r="F803" s="4">
        <v>2.7</v>
      </c>
      <c r="G803">
        <v>3.97</v>
      </c>
      <c r="H803">
        <v>1</v>
      </c>
      <c r="I803" t="s">
        <v>19</v>
      </c>
      <c r="J803">
        <v>1</v>
      </c>
      <c r="K803">
        <v>8</v>
      </c>
      <c r="L803">
        <v>8</v>
      </c>
      <c r="M803">
        <v>0</v>
      </c>
      <c r="N803">
        <f>_xlfn.IFS(rounded[[#This Row],[social_interaction_level]] = "low", 1,rounded[[#This Row],[social_interaction_level]] = "medium", 2,rounded[[#This Row],[social_interaction_level]] = "high", 3)</f>
        <v>2</v>
      </c>
      <c r="O803">
        <f t="shared" si="12"/>
        <v>17</v>
      </c>
      <c r="P803" t="str" cm="1">
        <f t="array" ref="P803">_xlfn.SWITCH(rounded[[#This Row],[depression_label]], 0, "Not Depressed", 1, "Depressed")</f>
        <v>Not Depressed</v>
      </c>
      <c r="Q803" s="45" t="str" cm="1">
        <f t="array" ref="Q803">_xlfn.SWITCH(rounded[[#This Row],[gender]], "male", "Male", "female", "Female")</f>
        <v>Female</v>
      </c>
    </row>
    <row r="804" spans="1:17" x14ac:dyDescent="0.35">
      <c r="A804">
        <v>13</v>
      </c>
      <c r="B804" t="s">
        <v>16</v>
      </c>
      <c r="C804" s="4">
        <v>6</v>
      </c>
      <c r="D804" t="s">
        <v>14</v>
      </c>
      <c r="E804" s="4">
        <v>7.2</v>
      </c>
      <c r="F804" s="4">
        <v>0.6</v>
      </c>
      <c r="G804">
        <v>2.11</v>
      </c>
      <c r="H804">
        <v>1.1000000000000001</v>
      </c>
      <c r="I804" t="s">
        <v>15</v>
      </c>
      <c r="J804">
        <v>1</v>
      </c>
      <c r="K804">
        <v>3</v>
      </c>
      <c r="L804">
        <v>6</v>
      </c>
      <c r="M804">
        <v>0</v>
      </c>
      <c r="N804">
        <f>_xlfn.IFS(rounded[[#This Row],[social_interaction_level]] = "low", 1,rounded[[#This Row],[social_interaction_level]] = "medium", 2,rounded[[#This Row],[social_interaction_level]] = "high", 3)</f>
        <v>1</v>
      </c>
      <c r="O804">
        <f t="shared" si="12"/>
        <v>10</v>
      </c>
      <c r="P804" t="str" cm="1">
        <f t="array" ref="P804">_xlfn.SWITCH(rounded[[#This Row],[depression_label]], 0, "Not Depressed", 1, "Depressed")</f>
        <v>Not Depressed</v>
      </c>
      <c r="Q804" s="45" t="str" cm="1">
        <f t="array" ref="Q804">_xlfn.SWITCH(rounded[[#This Row],[gender]], "male", "Male", "female", "Female")</f>
        <v>Female</v>
      </c>
    </row>
    <row r="805" spans="1:17" x14ac:dyDescent="0.35">
      <c r="A805">
        <v>15</v>
      </c>
      <c r="B805" t="s">
        <v>16</v>
      </c>
      <c r="C805" s="4">
        <v>3.1</v>
      </c>
      <c r="D805" t="s">
        <v>17</v>
      </c>
      <c r="E805" s="4">
        <v>4.2</v>
      </c>
      <c r="F805" s="4">
        <v>2.4</v>
      </c>
      <c r="G805">
        <v>3.41</v>
      </c>
      <c r="H805">
        <v>0.2</v>
      </c>
      <c r="I805" t="s">
        <v>15</v>
      </c>
      <c r="J805">
        <v>3</v>
      </c>
      <c r="K805">
        <v>7</v>
      </c>
      <c r="L805">
        <v>5</v>
      </c>
      <c r="M805">
        <v>0</v>
      </c>
      <c r="N805">
        <f>_xlfn.IFS(rounded[[#This Row],[social_interaction_level]] = "low", 1,rounded[[#This Row],[social_interaction_level]] = "medium", 2,rounded[[#This Row],[social_interaction_level]] = "high", 3)</f>
        <v>1</v>
      </c>
      <c r="O805">
        <f t="shared" si="12"/>
        <v>15</v>
      </c>
      <c r="P805" t="str" cm="1">
        <f t="array" ref="P805">_xlfn.SWITCH(rounded[[#This Row],[depression_label]], 0, "Not Depressed", 1, "Depressed")</f>
        <v>Not Depressed</v>
      </c>
      <c r="Q805" s="45" t="str" cm="1">
        <f t="array" ref="Q805">_xlfn.SWITCH(rounded[[#This Row],[gender]], "male", "Male", "female", "Female")</f>
        <v>Female</v>
      </c>
    </row>
    <row r="806" spans="1:17" x14ac:dyDescent="0.35">
      <c r="A806">
        <v>17</v>
      </c>
      <c r="B806" t="s">
        <v>13</v>
      </c>
      <c r="C806" s="4">
        <v>7.6</v>
      </c>
      <c r="D806" t="s">
        <v>14</v>
      </c>
      <c r="E806" s="4">
        <v>6</v>
      </c>
      <c r="F806" s="4">
        <v>2</v>
      </c>
      <c r="G806">
        <v>3.82</v>
      </c>
      <c r="H806">
        <v>1.5</v>
      </c>
      <c r="I806" t="s">
        <v>15</v>
      </c>
      <c r="J806">
        <v>8</v>
      </c>
      <c r="K806">
        <v>9</v>
      </c>
      <c r="L806">
        <v>7</v>
      </c>
      <c r="M806">
        <v>0</v>
      </c>
      <c r="N806">
        <f>_xlfn.IFS(rounded[[#This Row],[social_interaction_level]] = "low", 1,rounded[[#This Row],[social_interaction_level]] = "medium", 2,rounded[[#This Row],[social_interaction_level]] = "high", 3)</f>
        <v>1</v>
      </c>
      <c r="O806">
        <f t="shared" si="12"/>
        <v>24</v>
      </c>
      <c r="P806" t="str" cm="1">
        <f t="array" ref="P806">_xlfn.SWITCH(rounded[[#This Row],[depression_label]], 0, "Not Depressed", 1, "Depressed")</f>
        <v>Not Depressed</v>
      </c>
      <c r="Q806" s="45" t="str" cm="1">
        <f t="array" ref="Q806">_xlfn.SWITCH(rounded[[#This Row],[gender]], "male", "Male", "female", "Female")</f>
        <v>Male</v>
      </c>
    </row>
    <row r="807" spans="1:17" x14ac:dyDescent="0.35">
      <c r="A807">
        <v>17</v>
      </c>
      <c r="B807" t="s">
        <v>13</v>
      </c>
      <c r="C807" s="4">
        <v>6</v>
      </c>
      <c r="D807" t="s">
        <v>20</v>
      </c>
      <c r="E807" s="4">
        <v>5.3</v>
      </c>
      <c r="F807" s="4">
        <v>2.7</v>
      </c>
      <c r="G807">
        <v>3.2</v>
      </c>
      <c r="H807">
        <v>1.4</v>
      </c>
      <c r="I807" t="s">
        <v>19</v>
      </c>
      <c r="J807">
        <v>8</v>
      </c>
      <c r="K807">
        <v>2</v>
      </c>
      <c r="L807">
        <v>4</v>
      </c>
      <c r="M807">
        <v>0</v>
      </c>
      <c r="N807">
        <f>_xlfn.IFS(rounded[[#This Row],[social_interaction_level]] = "low", 1,rounded[[#This Row],[social_interaction_level]] = "medium", 2,rounded[[#This Row],[social_interaction_level]] = "high", 3)</f>
        <v>2</v>
      </c>
      <c r="O807">
        <f t="shared" si="12"/>
        <v>14</v>
      </c>
      <c r="P807" t="str" cm="1">
        <f t="array" ref="P807">_xlfn.SWITCH(rounded[[#This Row],[depression_label]], 0, "Not Depressed", 1, "Depressed")</f>
        <v>Not Depressed</v>
      </c>
      <c r="Q807" s="45" t="str" cm="1">
        <f t="array" ref="Q807">_xlfn.SWITCH(rounded[[#This Row],[gender]], "male", "Male", "female", "Female")</f>
        <v>Male</v>
      </c>
    </row>
    <row r="808" spans="1:17" x14ac:dyDescent="0.35">
      <c r="A808">
        <v>13</v>
      </c>
      <c r="B808" t="s">
        <v>16</v>
      </c>
      <c r="C808" s="4">
        <v>3.5</v>
      </c>
      <c r="D808" t="s">
        <v>14</v>
      </c>
      <c r="E808" s="4">
        <v>5.3</v>
      </c>
      <c r="F808" s="4">
        <v>2.7</v>
      </c>
      <c r="G808">
        <v>3.7</v>
      </c>
      <c r="H808">
        <v>0.5</v>
      </c>
      <c r="I808" t="s">
        <v>15</v>
      </c>
      <c r="J808">
        <v>3</v>
      </c>
      <c r="K808">
        <v>7</v>
      </c>
      <c r="L808">
        <v>2</v>
      </c>
      <c r="M808">
        <v>0</v>
      </c>
      <c r="N808">
        <f>_xlfn.IFS(rounded[[#This Row],[social_interaction_level]] = "low", 1,rounded[[#This Row],[social_interaction_level]] = "medium", 2,rounded[[#This Row],[social_interaction_level]] = "high", 3)</f>
        <v>1</v>
      </c>
      <c r="O808">
        <f t="shared" si="12"/>
        <v>12</v>
      </c>
      <c r="P808" t="str" cm="1">
        <f t="array" ref="P808">_xlfn.SWITCH(rounded[[#This Row],[depression_label]], 0, "Not Depressed", 1, "Depressed")</f>
        <v>Not Depressed</v>
      </c>
      <c r="Q808" s="45" t="str" cm="1">
        <f t="array" ref="Q808">_xlfn.SWITCH(rounded[[#This Row],[gender]], "male", "Male", "female", "Female")</f>
        <v>Female</v>
      </c>
    </row>
    <row r="809" spans="1:17" x14ac:dyDescent="0.35">
      <c r="A809">
        <v>14</v>
      </c>
      <c r="B809" t="s">
        <v>16</v>
      </c>
      <c r="C809" s="4">
        <v>1.3</v>
      </c>
      <c r="D809" t="s">
        <v>17</v>
      </c>
      <c r="E809" s="4">
        <v>7.5</v>
      </c>
      <c r="F809" s="4">
        <v>1.4</v>
      </c>
      <c r="G809">
        <v>3.85</v>
      </c>
      <c r="H809">
        <v>1.6</v>
      </c>
      <c r="I809" t="s">
        <v>19</v>
      </c>
      <c r="J809">
        <v>10</v>
      </c>
      <c r="K809">
        <v>8</v>
      </c>
      <c r="L809">
        <v>7</v>
      </c>
      <c r="M809">
        <v>0</v>
      </c>
      <c r="N809">
        <f>_xlfn.IFS(rounded[[#This Row],[social_interaction_level]] = "low", 1,rounded[[#This Row],[social_interaction_level]] = "medium", 2,rounded[[#This Row],[social_interaction_level]] = "high", 3)</f>
        <v>2</v>
      </c>
      <c r="O809">
        <f t="shared" si="12"/>
        <v>25</v>
      </c>
      <c r="P809" t="str" cm="1">
        <f t="array" ref="P809">_xlfn.SWITCH(rounded[[#This Row],[depression_label]], 0, "Not Depressed", 1, "Depressed")</f>
        <v>Not Depressed</v>
      </c>
      <c r="Q809" s="45" t="str" cm="1">
        <f t="array" ref="Q809">_xlfn.SWITCH(rounded[[#This Row],[gender]], "male", "Male", "female", "Female")</f>
        <v>Female</v>
      </c>
    </row>
    <row r="810" spans="1:17" x14ac:dyDescent="0.35">
      <c r="A810">
        <v>18</v>
      </c>
      <c r="B810" t="s">
        <v>16</v>
      </c>
      <c r="C810" s="4">
        <v>2.8</v>
      </c>
      <c r="D810" t="s">
        <v>17</v>
      </c>
      <c r="E810" s="4">
        <v>7</v>
      </c>
      <c r="F810" s="4">
        <v>2.9</v>
      </c>
      <c r="G810">
        <v>3.91</v>
      </c>
      <c r="H810">
        <v>1.1000000000000001</v>
      </c>
      <c r="I810" t="s">
        <v>19</v>
      </c>
      <c r="J810">
        <v>9</v>
      </c>
      <c r="K810">
        <v>9</v>
      </c>
      <c r="L810">
        <v>1</v>
      </c>
      <c r="M810">
        <v>0</v>
      </c>
      <c r="N810">
        <f>_xlfn.IFS(rounded[[#This Row],[social_interaction_level]] = "low", 1,rounded[[#This Row],[social_interaction_level]] = "medium", 2,rounded[[#This Row],[social_interaction_level]] = "high", 3)</f>
        <v>2</v>
      </c>
      <c r="O810">
        <f t="shared" si="12"/>
        <v>19</v>
      </c>
      <c r="P810" t="str" cm="1">
        <f t="array" ref="P810">_xlfn.SWITCH(rounded[[#This Row],[depression_label]], 0, "Not Depressed", 1, "Depressed")</f>
        <v>Not Depressed</v>
      </c>
      <c r="Q810" s="45" t="str" cm="1">
        <f t="array" ref="Q810">_xlfn.SWITCH(rounded[[#This Row],[gender]], "male", "Male", "female", "Female")</f>
        <v>Female</v>
      </c>
    </row>
    <row r="811" spans="1:17" x14ac:dyDescent="0.35">
      <c r="A811">
        <v>14</v>
      </c>
      <c r="B811" t="s">
        <v>13</v>
      </c>
      <c r="C811" s="4">
        <v>3.9</v>
      </c>
      <c r="D811" t="s">
        <v>20</v>
      </c>
      <c r="E811" s="4">
        <v>4.8</v>
      </c>
      <c r="F811" s="4">
        <v>0.8</v>
      </c>
      <c r="G811">
        <v>3.32</v>
      </c>
      <c r="H811">
        <v>0.3</v>
      </c>
      <c r="I811" t="s">
        <v>18</v>
      </c>
      <c r="J811">
        <v>5</v>
      </c>
      <c r="K811">
        <v>2</v>
      </c>
      <c r="L811">
        <v>5</v>
      </c>
      <c r="M811">
        <v>0</v>
      </c>
      <c r="N811">
        <f>_xlfn.IFS(rounded[[#This Row],[social_interaction_level]] = "low", 1,rounded[[#This Row],[social_interaction_level]] = "medium", 2,rounded[[#This Row],[social_interaction_level]] = "high", 3)</f>
        <v>3</v>
      </c>
      <c r="O811">
        <f t="shared" si="12"/>
        <v>12</v>
      </c>
      <c r="P811" t="str" cm="1">
        <f t="array" ref="P811">_xlfn.SWITCH(rounded[[#This Row],[depression_label]], 0, "Not Depressed", 1, "Depressed")</f>
        <v>Not Depressed</v>
      </c>
      <c r="Q811" s="45" t="str" cm="1">
        <f t="array" ref="Q811">_xlfn.SWITCH(rounded[[#This Row],[gender]], "male", "Male", "female", "Female")</f>
        <v>Male</v>
      </c>
    </row>
    <row r="812" spans="1:17" x14ac:dyDescent="0.35">
      <c r="A812">
        <v>19</v>
      </c>
      <c r="B812" t="s">
        <v>13</v>
      </c>
      <c r="C812" s="4">
        <v>3.9</v>
      </c>
      <c r="D812" t="s">
        <v>20</v>
      </c>
      <c r="E812" s="4">
        <v>4.8</v>
      </c>
      <c r="F812" s="4">
        <v>2.8</v>
      </c>
      <c r="G812">
        <v>3.98</v>
      </c>
      <c r="H812">
        <v>1.9</v>
      </c>
      <c r="I812" t="s">
        <v>19</v>
      </c>
      <c r="J812">
        <v>7</v>
      </c>
      <c r="K812">
        <v>5</v>
      </c>
      <c r="L812">
        <v>3</v>
      </c>
      <c r="M812">
        <v>0</v>
      </c>
      <c r="N812">
        <f>_xlfn.IFS(rounded[[#This Row],[social_interaction_level]] = "low", 1,rounded[[#This Row],[social_interaction_level]] = "medium", 2,rounded[[#This Row],[social_interaction_level]] = "high", 3)</f>
        <v>2</v>
      </c>
      <c r="O812">
        <f t="shared" si="12"/>
        <v>15</v>
      </c>
      <c r="P812" t="str" cm="1">
        <f t="array" ref="P812">_xlfn.SWITCH(rounded[[#This Row],[depression_label]], 0, "Not Depressed", 1, "Depressed")</f>
        <v>Not Depressed</v>
      </c>
      <c r="Q812" s="45" t="str" cm="1">
        <f t="array" ref="Q812">_xlfn.SWITCH(rounded[[#This Row],[gender]], "male", "Male", "female", "Female")</f>
        <v>Male</v>
      </c>
    </row>
    <row r="813" spans="1:17" x14ac:dyDescent="0.35">
      <c r="A813">
        <v>14</v>
      </c>
      <c r="B813" t="s">
        <v>13</v>
      </c>
      <c r="C813" s="4">
        <v>7.4</v>
      </c>
      <c r="D813" t="s">
        <v>14</v>
      </c>
      <c r="E813" s="4">
        <v>8.9</v>
      </c>
      <c r="F813" s="4">
        <v>2.4</v>
      </c>
      <c r="G813">
        <v>2.29</v>
      </c>
      <c r="H813">
        <v>1.1000000000000001</v>
      </c>
      <c r="I813" t="s">
        <v>15</v>
      </c>
      <c r="J813">
        <v>10</v>
      </c>
      <c r="K813">
        <v>4</v>
      </c>
      <c r="L813">
        <v>8</v>
      </c>
      <c r="M813">
        <v>0</v>
      </c>
      <c r="N813">
        <f>_xlfn.IFS(rounded[[#This Row],[social_interaction_level]] = "low", 1,rounded[[#This Row],[social_interaction_level]] = "medium", 2,rounded[[#This Row],[social_interaction_level]] = "high", 3)</f>
        <v>1</v>
      </c>
      <c r="O813">
        <f t="shared" si="12"/>
        <v>22</v>
      </c>
      <c r="P813" t="str" cm="1">
        <f t="array" ref="P813">_xlfn.SWITCH(rounded[[#This Row],[depression_label]], 0, "Not Depressed", 1, "Depressed")</f>
        <v>Not Depressed</v>
      </c>
      <c r="Q813" s="45" t="str" cm="1">
        <f t="array" ref="Q813">_xlfn.SWITCH(rounded[[#This Row],[gender]], "male", "Male", "female", "Female")</f>
        <v>Male</v>
      </c>
    </row>
    <row r="814" spans="1:17" x14ac:dyDescent="0.35">
      <c r="A814">
        <v>19</v>
      </c>
      <c r="B814" t="s">
        <v>16</v>
      </c>
      <c r="C814" s="4">
        <v>5.4</v>
      </c>
      <c r="D814" t="s">
        <v>17</v>
      </c>
      <c r="E814" s="4">
        <v>7.4</v>
      </c>
      <c r="F814" s="4">
        <v>1.7</v>
      </c>
      <c r="G814">
        <v>2.88</v>
      </c>
      <c r="H814">
        <v>0.6</v>
      </c>
      <c r="I814" t="s">
        <v>15</v>
      </c>
      <c r="J814">
        <v>6</v>
      </c>
      <c r="K814">
        <v>10</v>
      </c>
      <c r="L814">
        <v>9</v>
      </c>
      <c r="M814">
        <v>0</v>
      </c>
      <c r="N814">
        <f>_xlfn.IFS(rounded[[#This Row],[social_interaction_level]] = "low", 1,rounded[[#This Row],[social_interaction_level]] = "medium", 2,rounded[[#This Row],[social_interaction_level]] = "high", 3)</f>
        <v>1</v>
      </c>
      <c r="O814">
        <f t="shared" si="12"/>
        <v>25</v>
      </c>
      <c r="P814" t="str" cm="1">
        <f t="array" ref="P814">_xlfn.SWITCH(rounded[[#This Row],[depression_label]], 0, "Not Depressed", 1, "Depressed")</f>
        <v>Not Depressed</v>
      </c>
      <c r="Q814" s="45" t="str" cm="1">
        <f t="array" ref="Q814">_xlfn.SWITCH(rounded[[#This Row],[gender]], "male", "Male", "female", "Female")</f>
        <v>Female</v>
      </c>
    </row>
    <row r="815" spans="1:17" x14ac:dyDescent="0.35">
      <c r="A815">
        <v>19</v>
      </c>
      <c r="B815" t="s">
        <v>16</v>
      </c>
      <c r="C815" s="4">
        <v>6.6</v>
      </c>
      <c r="D815" t="s">
        <v>20</v>
      </c>
      <c r="E815" s="4">
        <v>6.8</v>
      </c>
      <c r="F815" s="4">
        <v>0.8</v>
      </c>
      <c r="G815">
        <v>2.64</v>
      </c>
      <c r="H815">
        <v>1.5</v>
      </c>
      <c r="I815" t="s">
        <v>15</v>
      </c>
      <c r="J815">
        <v>5</v>
      </c>
      <c r="K815">
        <v>4</v>
      </c>
      <c r="L815">
        <v>6</v>
      </c>
      <c r="M815">
        <v>0</v>
      </c>
      <c r="N815">
        <f>_xlfn.IFS(rounded[[#This Row],[social_interaction_level]] = "low", 1,rounded[[#This Row],[social_interaction_level]] = "medium", 2,rounded[[#This Row],[social_interaction_level]] = "high", 3)</f>
        <v>1</v>
      </c>
      <c r="O815">
        <f t="shared" si="12"/>
        <v>15</v>
      </c>
      <c r="P815" t="str" cm="1">
        <f t="array" ref="P815">_xlfn.SWITCH(rounded[[#This Row],[depression_label]], 0, "Not Depressed", 1, "Depressed")</f>
        <v>Not Depressed</v>
      </c>
      <c r="Q815" s="45" t="str" cm="1">
        <f t="array" ref="Q815">_xlfn.SWITCH(rounded[[#This Row],[gender]], "male", "Male", "female", "Female")</f>
        <v>Female</v>
      </c>
    </row>
    <row r="816" spans="1:17" x14ac:dyDescent="0.35">
      <c r="A816">
        <v>17</v>
      </c>
      <c r="B816" t="s">
        <v>13</v>
      </c>
      <c r="C816" s="4">
        <v>5.9</v>
      </c>
      <c r="D816" t="s">
        <v>14</v>
      </c>
      <c r="E816" s="4">
        <v>7.4</v>
      </c>
      <c r="F816" s="4">
        <v>1.7</v>
      </c>
      <c r="G816">
        <v>2.5</v>
      </c>
      <c r="H816">
        <v>0.7</v>
      </c>
      <c r="I816" t="s">
        <v>18</v>
      </c>
      <c r="J816">
        <v>6</v>
      </c>
      <c r="K816">
        <v>7</v>
      </c>
      <c r="L816">
        <v>1</v>
      </c>
      <c r="M816">
        <v>0</v>
      </c>
      <c r="N816">
        <f>_xlfn.IFS(rounded[[#This Row],[social_interaction_level]] = "low", 1,rounded[[#This Row],[social_interaction_level]] = "medium", 2,rounded[[#This Row],[social_interaction_level]] = "high", 3)</f>
        <v>3</v>
      </c>
      <c r="O816">
        <f t="shared" si="12"/>
        <v>14</v>
      </c>
      <c r="P816" t="str" cm="1">
        <f t="array" ref="P816">_xlfn.SWITCH(rounded[[#This Row],[depression_label]], 0, "Not Depressed", 1, "Depressed")</f>
        <v>Not Depressed</v>
      </c>
      <c r="Q816" s="45" t="str" cm="1">
        <f t="array" ref="Q816">_xlfn.SWITCH(rounded[[#This Row],[gender]], "male", "Male", "female", "Female")</f>
        <v>Male</v>
      </c>
    </row>
    <row r="817" spans="1:17" x14ac:dyDescent="0.35">
      <c r="A817">
        <v>17</v>
      </c>
      <c r="B817" t="s">
        <v>13</v>
      </c>
      <c r="C817" s="4">
        <v>3.3</v>
      </c>
      <c r="D817" t="s">
        <v>20</v>
      </c>
      <c r="E817" s="4">
        <v>5.2</v>
      </c>
      <c r="F817" s="4">
        <v>1.8</v>
      </c>
      <c r="G817">
        <v>2.1</v>
      </c>
      <c r="H817">
        <v>1.2</v>
      </c>
      <c r="I817" t="s">
        <v>15</v>
      </c>
      <c r="J817">
        <v>2</v>
      </c>
      <c r="K817">
        <v>3</v>
      </c>
      <c r="L817">
        <v>9</v>
      </c>
      <c r="M817">
        <v>0</v>
      </c>
      <c r="N817">
        <f>_xlfn.IFS(rounded[[#This Row],[social_interaction_level]] = "low", 1,rounded[[#This Row],[social_interaction_level]] = "medium", 2,rounded[[#This Row],[social_interaction_level]] = "high", 3)</f>
        <v>1</v>
      </c>
      <c r="O817">
        <f t="shared" si="12"/>
        <v>14</v>
      </c>
      <c r="P817" t="str" cm="1">
        <f t="array" ref="P817">_xlfn.SWITCH(rounded[[#This Row],[depression_label]], 0, "Not Depressed", 1, "Depressed")</f>
        <v>Not Depressed</v>
      </c>
      <c r="Q817" s="45" t="str" cm="1">
        <f t="array" ref="Q817">_xlfn.SWITCH(rounded[[#This Row],[gender]], "male", "Male", "female", "Female")</f>
        <v>Male</v>
      </c>
    </row>
    <row r="818" spans="1:17" x14ac:dyDescent="0.35">
      <c r="A818">
        <v>15</v>
      </c>
      <c r="B818" t="s">
        <v>16</v>
      </c>
      <c r="C818" s="4">
        <v>2.8</v>
      </c>
      <c r="D818" t="s">
        <v>14</v>
      </c>
      <c r="E818" s="4">
        <v>7.7</v>
      </c>
      <c r="F818" s="4">
        <v>1</v>
      </c>
      <c r="G818">
        <v>3.73</v>
      </c>
      <c r="H818">
        <v>0.5</v>
      </c>
      <c r="I818" t="s">
        <v>19</v>
      </c>
      <c r="J818">
        <v>6</v>
      </c>
      <c r="K818">
        <v>10</v>
      </c>
      <c r="L818">
        <v>1</v>
      </c>
      <c r="M818">
        <v>0</v>
      </c>
      <c r="N818">
        <f>_xlfn.IFS(rounded[[#This Row],[social_interaction_level]] = "low", 1,rounded[[#This Row],[social_interaction_level]] = "medium", 2,rounded[[#This Row],[social_interaction_level]] = "high", 3)</f>
        <v>2</v>
      </c>
      <c r="O818">
        <f t="shared" si="12"/>
        <v>17</v>
      </c>
      <c r="P818" t="str" cm="1">
        <f t="array" ref="P818">_xlfn.SWITCH(rounded[[#This Row],[depression_label]], 0, "Not Depressed", 1, "Depressed")</f>
        <v>Not Depressed</v>
      </c>
      <c r="Q818" s="45" t="str" cm="1">
        <f t="array" ref="Q818">_xlfn.SWITCH(rounded[[#This Row],[gender]], "male", "Male", "female", "Female")</f>
        <v>Female</v>
      </c>
    </row>
    <row r="819" spans="1:17" x14ac:dyDescent="0.35">
      <c r="A819">
        <v>14</v>
      </c>
      <c r="B819" t="s">
        <v>16</v>
      </c>
      <c r="C819" s="4">
        <v>7.3</v>
      </c>
      <c r="D819" t="s">
        <v>17</v>
      </c>
      <c r="E819" s="4">
        <v>8.8000000000000007</v>
      </c>
      <c r="F819" s="4">
        <v>2.5</v>
      </c>
      <c r="G819">
        <v>2.12</v>
      </c>
      <c r="H819">
        <v>0.5</v>
      </c>
      <c r="I819" t="s">
        <v>18</v>
      </c>
      <c r="J819">
        <v>10</v>
      </c>
      <c r="K819">
        <v>10</v>
      </c>
      <c r="L819">
        <v>1</v>
      </c>
      <c r="M819">
        <v>0</v>
      </c>
      <c r="N819">
        <f>_xlfn.IFS(rounded[[#This Row],[social_interaction_level]] = "low", 1,rounded[[#This Row],[social_interaction_level]] = "medium", 2,rounded[[#This Row],[social_interaction_level]] = "high", 3)</f>
        <v>3</v>
      </c>
      <c r="O819">
        <f t="shared" si="12"/>
        <v>21</v>
      </c>
      <c r="P819" t="str" cm="1">
        <f t="array" ref="P819">_xlfn.SWITCH(rounded[[#This Row],[depression_label]], 0, "Not Depressed", 1, "Depressed")</f>
        <v>Not Depressed</v>
      </c>
      <c r="Q819" s="45" t="str" cm="1">
        <f t="array" ref="Q819">_xlfn.SWITCH(rounded[[#This Row],[gender]], "male", "Male", "female", "Female")</f>
        <v>Female</v>
      </c>
    </row>
    <row r="820" spans="1:17" x14ac:dyDescent="0.35">
      <c r="A820">
        <v>18</v>
      </c>
      <c r="B820" t="s">
        <v>13</v>
      </c>
      <c r="C820" s="4">
        <v>2.8</v>
      </c>
      <c r="D820" t="s">
        <v>14</v>
      </c>
      <c r="E820" s="4">
        <v>6.9</v>
      </c>
      <c r="F820" s="4">
        <v>2.2999999999999998</v>
      </c>
      <c r="G820">
        <v>3.11</v>
      </c>
      <c r="H820">
        <v>0.1</v>
      </c>
      <c r="I820" t="s">
        <v>19</v>
      </c>
      <c r="J820">
        <v>7</v>
      </c>
      <c r="K820">
        <v>1</v>
      </c>
      <c r="L820">
        <v>9</v>
      </c>
      <c r="M820">
        <v>0</v>
      </c>
      <c r="N820">
        <f>_xlfn.IFS(rounded[[#This Row],[social_interaction_level]] = "low", 1,rounded[[#This Row],[social_interaction_level]] = "medium", 2,rounded[[#This Row],[social_interaction_level]] = "high", 3)</f>
        <v>2</v>
      </c>
      <c r="O820">
        <f t="shared" si="12"/>
        <v>17</v>
      </c>
      <c r="P820" t="str" cm="1">
        <f t="array" ref="P820">_xlfn.SWITCH(rounded[[#This Row],[depression_label]], 0, "Not Depressed", 1, "Depressed")</f>
        <v>Not Depressed</v>
      </c>
      <c r="Q820" s="45" t="str" cm="1">
        <f t="array" ref="Q820">_xlfn.SWITCH(rounded[[#This Row],[gender]], "male", "Male", "female", "Female")</f>
        <v>Male</v>
      </c>
    </row>
    <row r="821" spans="1:17" x14ac:dyDescent="0.35">
      <c r="A821">
        <v>18</v>
      </c>
      <c r="B821" t="s">
        <v>16</v>
      </c>
      <c r="C821" s="4">
        <v>7.2</v>
      </c>
      <c r="D821" t="s">
        <v>17</v>
      </c>
      <c r="E821" s="4">
        <v>7.7</v>
      </c>
      <c r="F821" s="4">
        <v>1.2</v>
      </c>
      <c r="G821">
        <v>3.7</v>
      </c>
      <c r="H821">
        <v>0.1</v>
      </c>
      <c r="I821" t="s">
        <v>15</v>
      </c>
      <c r="J821">
        <v>6</v>
      </c>
      <c r="K821">
        <v>3</v>
      </c>
      <c r="L821">
        <v>9</v>
      </c>
      <c r="M821">
        <v>0</v>
      </c>
      <c r="N821">
        <f>_xlfn.IFS(rounded[[#This Row],[social_interaction_level]] = "low", 1,rounded[[#This Row],[social_interaction_level]] = "medium", 2,rounded[[#This Row],[social_interaction_level]] = "high", 3)</f>
        <v>1</v>
      </c>
      <c r="O821">
        <f t="shared" si="12"/>
        <v>18</v>
      </c>
      <c r="P821" t="str" cm="1">
        <f t="array" ref="P821">_xlfn.SWITCH(rounded[[#This Row],[depression_label]], 0, "Not Depressed", 1, "Depressed")</f>
        <v>Not Depressed</v>
      </c>
      <c r="Q821" s="45" t="str" cm="1">
        <f t="array" ref="Q821">_xlfn.SWITCH(rounded[[#This Row],[gender]], "male", "Male", "female", "Female")</f>
        <v>Female</v>
      </c>
    </row>
    <row r="822" spans="1:17" x14ac:dyDescent="0.35">
      <c r="A822">
        <v>19</v>
      </c>
      <c r="B822" t="s">
        <v>16</v>
      </c>
      <c r="C822" s="4">
        <v>7.1</v>
      </c>
      <c r="D822" t="s">
        <v>17</v>
      </c>
      <c r="E822" s="4">
        <v>6.3</v>
      </c>
      <c r="F822" s="4">
        <v>0.8</v>
      </c>
      <c r="G822">
        <v>3.66</v>
      </c>
      <c r="H822">
        <v>0.5</v>
      </c>
      <c r="I822" t="s">
        <v>18</v>
      </c>
      <c r="J822">
        <v>3</v>
      </c>
      <c r="K822">
        <v>7</v>
      </c>
      <c r="L822">
        <v>7</v>
      </c>
      <c r="M822">
        <v>0</v>
      </c>
      <c r="N822">
        <f>_xlfn.IFS(rounded[[#This Row],[social_interaction_level]] = "low", 1,rounded[[#This Row],[social_interaction_level]] = "medium", 2,rounded[[#This Row],[social_interaction_level]] = "high", 3)</f>
        <v>3</v>
      </c>
      <c r="O822">
        <f t="shared" si="12"/>
        <v>17</v>
      </c>
      <c r="P822" t="str" cm="1">
        <f t="array" ref="P822">_xlfn.SWITCH(rounded[[#This Row],[depression_label]], 0, "Not Depressed", 1, "Depressed")</f>
        <v>Not Depressed</v>
      </c>
      <c r="Q822" s="45" t="str" cm="1">
        <f t="array" ref="Q822">_xlfn.SWITCH(rounded[[#This Row],[gender]], "male", "Male", "female", "Female")</f>
        <v>Female</v>
      </c>
    </row>
    <row r="823" spans="1:17" x14ac:dyDescent="0.35">
      <c r="A823">
        <v>13</v>
      </c>
      <c r="B823" t="s">
        <v>16</v>
      </c>
      <c r="C823" s="4">
        <v>4.3</v>
      </c>
      <c r="D823" t="s">
        <v>17</v>
      </c>
      <c r="E823" s="4">
        <v>4.4000000000000004</v>
      </c>
      <c r="F823" s="4">
        <v>0.9</v>
      </c>
      <c r="G823">
        <v>2.35</v>
      </c>
      <c r="H823">
        <v>1.5</v>
      </c>
      <c r="I823" t="s">
        <v>18</v>
      </c>
      <c r="J823">
        <v>3</v>
      </c>
      <c r="K823">
        <v>1</v>
      </c>
      <c r="L823">
        <v>7</v>
      </c>
      <c r="M823">
        <v>0</v>
      </c>
      <c r="N823">
        <f>_xlfn.IFS(rounded[[#This Row],[social_interaction_level]] = "low", 1,rounded[[#This Row],[social_interaction_level]] = "medium", 2,rounded[[#This Row],[social_interaction_level]] = "high", 3)</f>
        <v>3</v>
      </c>
      <c r="O823">
        <f t="shared" si="12"/>
        <v>11</v>
      </c>
      <c r="P823" t="str" cm="1">
        <f t="array" ref="P823">_xlfn.SWITCH(rounded[[#This Row],[depression_label]], 0, "Not Depressed", 1, "Depressed")</f>
        <v>Not Depressed</v>
      </c>
      <c r="Q823" s="45" t="str" cm="1">
        <f t="array" ref="Q823">_xlfn.SWITCH(rounded[[#This Row],[gender]], "male", "Male", "female", "Female")</f>
        <v>Female</v>
      </c>
    </row>
    <row r="824" spans="1:17" x14ac:dyDescent="0.35">
      <c r="A824">
        <v>19</v>
      </c>
      <c r="B824" t="s">
        <v>13</v>
      </c>
      <c r="C824" s="4">
        <v>1.6</v>
      </c>
      <c r="D824" t="s">
        <v>20</v>
      </c>
      <c r="E824" s="4">
        <v>4.4000000000000004</v>
      </c>
      <c r="F824" s="4">
        <v>1.4</v>
      </c>
      <c r="G824">
        <v>2.0299999999999998</v>
      </c>
      <c r="H824">
        <v>1.1000000000000001</v>
      </c>
      <c r="I824" t="s">
        <v>18</v>
      </c>
      <c r="J824">
        <v>2</v>
      </c>
      <c r="K824">
        <v>9</v>
      </c>
      <c r="L824">
        <v>5</v>
      </c>
      <c r="M824">
        <v>0</v>
      </c>
      <c r="N824">
        <f>_xlfn.IFS(rounded[[#This Row],[social_interaction_level]] = "low", 1,rounded[[#This Row],[social_interaction_level]] = "medium", 2,rounded[[#This Row],[social_interaction_level]] = "high", 3)</f>
        <v>3</v>
      </c>
      <c r="O824">
        <f t="shared" si="12"/>
        <v>16</v>
      </c>
      <c r="P824" t="str" cm="1">
        <f t="array" ref="P824">_xlfn.SWITCH(rounded[[#This Row],[depression_label]], 0, "Not Depressed", 1, "Depressed")</f>
        <v>Not Depressed</v>
      </c>
      <c r="Q824" s="45" t="str" cm="1">
        <f t="array" ref="Q824">_xlfn.SWITCH(rounded[[#This Row],[gender]], "male", "Male", "female", "Female")</f>
        <v>Male</v>
      </c>
    </row>
    <row r="825" spans="1:17" x14ac:dyDescent="0.35">
      <c r="A825">
        <v>19</v>
      </c>
      <c r="B825" t="s">
        <v>16</v>
      </c>
      <c r="C825" s="4">
        <v>1.4</v>
      </c>
      <c r="D825" t="s">
        <v>20</v>
      </c>
      <c r="E825" s="4">
        <v>8</v>
      </c>
      <c r="F825" s="4">
        <v>2.5</v>
      </c>
      <c r="G825">
        <v>3.54</v>
      </c>
      <c r="H825">
        <v>1.8</v>
      </c>
      <c r="I825" t="s">
        <v>15</v>
      </c>
      <c r="J825">
        <v>4</v>
      </c>
      <c r="K825">
        <v>8</v>
      </c>
      <c r="L825">
        <v>3</v>
      </c>
      <c r="M825">
        <v>0</v>
      </c>
      <c r="N825">
        <f>_xlfn.IFS(rounded[[#This Row],[social_interaction_level]] = "low", 1,rounded[[#This Row],[social_interaction_level]] = "medium", 2,rounded[[#This Row],[social_interaction_level]] = "high", 3)</f>
        <v>1</v>
      </c>
      <c r="O825">
        <f t="shared" si="12"/>
        <v>15</v>
      </c>
      <c r="P825" t="str" cm="1">
        <f t="array" ref="P825">_xlfn.SWITCH(rounded[[#This Row],[depression_label]], 0, "Not Depressed", 1, "Depressed")</f>
        <v>Not Depressed</v>
      </c>
      <c r="Q825" s="45" t="str" cm="1">
        <f t="array" ref="Q825">_xlfn.SWITCH(rounded[[#This Row],[gender]], "male", "Male", "female", "Female")</f>
        <v>Female</v>
      </c>
    </row>
    <row r="826" spans="1:17" x14ac:dyDescent="0.35">
      <c r="A826">
        <v>18</v>
      </c>
      <c r="B826" t="s">
        <v>16</v>
      </c>
      <c r="C826" s="4">
        <v>3.2</v>
      </c>
      <c r="D826" t="s">
        <v>14</v>
      </c>
      <c r="E826" s="4">
        <v>6.8</v>
      </c>
      <c r="F826" s="4">
        <v>2.2999999999999998</v>
      </c>
      <c r="G826">
        <v>3.16</v>
      </c>
      <c r="H826">
        <v>1.8</v>
      </c>
      <c r="I826" t="s">
        <v>15</v>
      </c>
      <c r="J826">
        <v>4</v>
      </c>
      <c r="K826">
        <v>8</v>
      </c>
      <c r="L826">
        <v>5</v>
      </c>
      <c r="M826">
        <v>0</v>
      </c>
      <c r="N826">
        <f>_xlfn.IFS(rounded[[#This Row],[social_interaction_level]] = "low", 1,rounded[[#This Row],[social_interaction_level]] = "medium", 2,rounded[[#This Row],[social_interaction_level]] = "high", 3)</f>
        <v>1</v>
      </c>
      <c r="O826">
        <f t="shared" si="12"/>
        <v>17</v>
      </c>
      <c r="P826" t="str" cm="1">
        <f t="array" ref="P826">_xlfn.SWITCH(rounded[[#This Row],[depression_label]], 0, "Not Depressed", 1, "Depressed")</f>
        <v>Not Depressed</v>
      </c>
      <c r="Q826" s="45" t="str" cm="1">
        <f t="array" ref="Q826">_xlfn.SWITCH(rounded[[#This Row],[gender]], "male", "Male", "female", "Female")</f>
        <v>Female</v>
      </c>
    </row>
    <row r="827" spans="1:17" x14ac:dyDescent="0.35">
      <c r="A827">
        <v>17</v>
      </c>
      <c r="B827" t="s">
        <v>13</v>
      </c>
      <c r="C827" s="4">
        <v>1.5</v>
      </c>
      <c r="D827" t="s">
        <v>20</v>
      </c>
      <c r="E827" s="4">
        <v>8</v>
      </c>
      <c r="F827" s="4">
        <v>0.5</v>
      </c>
      <c r="G827">
        <v>3.01</v>
      </c>
      <c r="H827">
        <v>0.4</v>
      </c>
      <c r="I827" t="s">
        <v>19</v>
      </c>
      <c r="J827">
        <v>10</v>
      </c>
      <c r="K827">
        <v>2</v>
      </c>
      <c r="L827">
        <v>3</v>
      </c>
      <c r="M827">
        <v>0</v>
      </c>
      <c r="N827">
        <f>_xlfn.IFS(rounded[[#This Row],[social_interaction_level]] = "low", 1,rounded[[#This Row],[social_interaction_level]] = "medium", 2,rounded[[#This Row],[social_interaction_level]] = "high", 3)</f>
        <v>2</v>
      </c>
      <c r="O827">
        <f t="shared" si="12"/>
        <v>15</v>
      </c>
      <c r="P827" t="str" cm="1">
        <f t="array" ref="P827">_xlfn.SWITCH(rounded[[#This Row],[depression_label]], 0, "Not Depressed", 1, "Depressed")</f>
        <v>Not Depressed</v>
      </c>
      <c r="Q827" s="45" t="str" cm="1">
        <f t="array" ref="Q827">_xlfn.SWITCH(rounded[[#This Row],[gender]], "male", "Male", "female", "Female")</f>
        <v>Male</v>
      </c>
    </row>
    <row r="828" spans="1:17" x14ac:dyDescent="0.35">
      <c r="A828">
        <v>18</v>
      </c>
      <c r="B828" t="s">
        <v>13</v>
      </c>
      <c r="C828" s="4">
        <v>7.5</v>
      </c>
      <c r="D828" t="s">
        <v>17</v>
      </c>
      <c r="E828" s="4">
        <v>5.0999999999999996</v>
      </c>
      <c r="F828" s="4">
        <v>2.6</v>
      </c>
      <c r="G828">
        <v>3.82</v>
      </c>
      <c r="H828">
        <v>0.7</v>
      </c>
      <c r="I828" t="s">
        <v>15</v>
      </c>
      <c r="J828">
        <v>7</v>
      </c>
      <c r="K828">
        <v>3</v>
      </c>
      <c r="L828">
        <v>8</v>
      </c>
      <c r="M828">
        <v>0</v>
      </c>
      <c r="N828">
        <f>_xlfn.IFS(rounded[[#This Row],[social_interaction_level]] = "low", 1,rounded[[#This Row],[social_interaction_level]] = "medium", 2,rounded[[#This Row],[social_interaction_level]] = "high", 3)</f>
        <v>1</v>
      </c>
      <c r="O828">
        <f t="shared" si="12"/>
        <v>18</v>
      </c>
      <c r="P828" t="str" cm="1">
        <f t="array" ref="P828">_xlfn.SWITCH(rounded[[#This Row],[depression_label]], 0, "Not Depressed", 1, "Depressed")</f>
        <v>Not Depressed</v>
      </c>
      <c r="Q828" s="45" t="str" cm="1">
        <f t="array" ref="Q828">_xlfn.SWITCH(rounded[[#This Row],[gender]], "male", "Male", "female", "Female")</f>
        <v>Male</v>
      </c>
    </row>
    <row r="829" spans="1:17" x14ac:dyDescent="0.35">
      <c r="A829">
        <v>14</v>
      </c>
      <c r="B829" t="s">
        <v>16</v>
      </c>
      <c r="C829" s="4">
        <v>3.5</v>
      </c>
      <c r="D829" t="s">
        <v>14</v>
      </c>
      <c r="E829" s="4">
        <v>4.5999999999999996</v>
      </c>
      <c r="F829" s="4">
        <v>0.7</v>
      </c>
      <c r="G829">
        <v>2.74</v>
      </c>
      <c r="H829">
        <v>1</v>
      </c>
      <c r="I829" t="s">
        <v>15</v>
      </c>
      <c r="J829">
        <v>2</v>
      </c>
      <c r="K829">
        <v>7</v>
      </c>
      <c r="L829">
        <v>8</v>
      </c>
      <c r="M829">
        <v>0</v>
      </c>
      <c r="N829">
        <f>_xlfn.IFS(rounded[[#This Row],[social_interaction_level]] = "low", 1,rounded[[#This Row],[social_interaction_level]] = "medium", 2,rounded[[#This Row],[social_interaction_level]] = "high", 3)</f>
        <v>1</v>
      </c>
      <c r="O829">
        <f t="shared" si="12"/>
        <v>17</v>
      </c>
      <c r="P829" t="str" cm="1">
        <f t="array" ref="P829">_xlfn.SWITCH(rounded[[#This Row],[depression_label]], 0, "Not Depressed", 1, "Depressed")</f>
        <v>Not Depressed</v>
      </c>
      <c r="Q829" s="45" t="str" cm="1">
        <f t="array" ref="Q829">_xlfn.SWITCH(rounded[[#This Row],[gender]], "male", "Male", "female", "Female")</f>
        <v>Female</v>
      </c>
    </row>
    <row r="830" spans="1:17" x14ac:dyDescent="0.35">
      <c r="A830">
        <v>17</v>
      </c>
      <c r="B830" t="s">
        <v>13</v>
      </c>
      <c r="C830" s="4">
        <v>4.4000000000000004</v>
      </c>
      <c r="D830" t="s">
        <v>20</v>
      </c>
      <c r="E830" s="4">
        <v>8.1999999999999993</v>
      </c>
      <c r="F830" s="4">
        <v>2.7</v>
      </c>
      <c r="G830">
        <v>3.13</v>
      </c>
      <c r="H830">
        <v>0.3</v>
      </c>
      <c r="I830" t="s">
        <v>19</v>
      </c>
      <c r="J830">
        <v>3</v>
      </c>
      <c r="K830">
        <v>1</v>
      </c>
      <c r="L830">
        <v>2</v>
      </c>
      <c r="M830">
        <v>0</v>
      </c>
      <c r="N830">
        <f>_xlfn.IFS(rounded[[#This Row],[social_interaction_level]] = "low", 1,rounded[[#This Row],[social_interaction_level]] = "medium", 2,rounded[[#This Row],[social_interaction_level]] = "high", 3)</f>
        <v>2</v>
      </c>
      <c r="O830">
        <f t="shared" si="12"/>
        <v>6</v>
      </c>
      <c r="P830" t="str" cm="1">
        <f t="array" ref="P830">_xlfn.SWITCH(rounded[[#This Row],[depression_label]], 0, "Not Depressed", 1, "Depressed")</f>
        <v>Not Depressed</v>
      </c>
      <c r="Q830" s="45" t="str" cm="1">
        <f t="array" ref="Q830">_xlfn.SWITCH(rounded[[#This Row],[gender]], "male", "Male", "female", "Female")</f>
        <v>Male</v>
      </c>
    </row>
    <row r="831" spans="1:17" x14ac:dyDescent="0.35">
      <c r="A831">
        <v>17</v>
      </c>
      <c r="B831" t="s">
        <v>13</v>
      </c>
      <c r="C831" s="4">
        <v>4.5999999999999996</v>
      </c>
      <c r="D831" t="s">
        <v>17</v>
      </c>
      <c r="E831" s="4">
        <v>5.0999999999999996</v>
      </c>
      <c r="F831" s="4">
        <v>2.5</v>
      </c>
      <c r="G831">
        <v>2.13</v>
      </c>
      <c r="H831">
        <v>1</v>
      </c>
      <c r="I831" t="s">
        <v>19</v>
      </c>
      <c r="J831">
        <v>2</v>
      </c>
      <c r="K831">
        <v>5</v>
      </c>
      <c r="L831">
        <v>6</v>
      </c>
      <c r="M831">
        <v>0</v>
      </c>
      <c r="N831">
        <f>_xlfn.IFS(rounded[[#This Row],[social_interaction_level]] = "low", 1,rounded[[#This Row],[social_interaction_level]] = "medium", 2,rounded[[#This Row],[social_interaction_level]] = "high", 3)</f>
        <v>2</v>
      </c>
      <c r="O831">
        <f t="shared" si="12"/>
        <v>13</v>
      </c>
      <c r="P831" t="str" cm="1">
        <f t="array" ref="P831">_xlfn.SWITCH(rounded[[#This Row],[depression_label]], 0, "Not Depressed", 1, "Depressed")</f>
        <v>Not Depressed</v>
      </c>
      <c r="Q831" s="45" t="str" cm="1">
        <f t="array" ref="Q831">_xlfn.SWITCH(rounded[[#This Row],[gender]], "male", "Male", "female", "Female")</f>
        <v>Male</v>
      </c>
    </row>
    <row r="832" spans="1:17" x14ac:dyDescent="0.35">
      <c r="A832">
        <v>13</v>
      </c>
      <c r="B832" t="s">
        <v>13</v>
      </c>
      <c r="C832" s="4">
        <v>5.9</v>
      </c>
      <c r="D832" t="s">
        <v>17</v>
      </c>
      <c r="E832" s="4">
        <v>6.6</v>
      </c>
      <c r="F832" s="4">
        <v>2.6</v>
      </c>
      <c r="G832">
        <v>3.58</v>
      </c>
      <c r="H832">
        <v>1.6</v>
      </c>
      <c r="I832" t="s">
        <v>19</v>
      </c>
      <c r="J832">
        <v>7</v>
      </c>
      <c r="K832">
        <v>7</v>
      </c>
      <c r="L832">
        <v>10</v>
      </c>
      <c r="M832">
        <v>0</v>
      </c>
      <c r="N832">
        <f>_xlfn.IFS(rounded[[#This Row],[social_interaction_level]] = "low", 1,rounded[[#This Row],[social_interaction_level]] = "medium", 2,rounded[[#This Row],[social_interaction_level]] = "high", 3)</f>
        <v>2</v>
      </c>
      <c r="O832">
        <f t="shared" si="12"/>
        <v>24</v>
      </c>
      <c r="P832" t="str" cm="1">
        <f t="array" ref="P832">_xlfn.SWITCH(rounded[[#This Row],[depression_label]], 0, "Not Depressed", 1, "Depressed")</f>
        <v>Not Depressed</v>
      </c>
      <c r="Q832" s="45" t="str" cm="1">
        <f t="array" ref="Q832">_xlfn.SWITCH(rounded[[#This Row],[gender]], "male", "Male", "female", "Female")</f>
        <v>Male</v>
      </c>
    </row>
    <row r="833" spans="1:17" x14ac:dyDescent="0.35">
      <c r="A833">
        <v>16</v>
      </c>
      <c r="B833" t="s">
        <v>16</v>
      </c>
      <c r="C833" s="4">
        <v>7.8</v>
      </c>
      <c r="D833" t="s">
        <v>17</v>
      </c>
      <c r="E833" s="4">
        <v>4.7</v>
      </c>
      <c r="F833" s="4">
        <v>1.1000000000000001</v>
      </c>
      <c r="G833">
        <v>3.53</v>
      </c>
      <c r="H833">
        <v>2</v>
      </c>
      <c r="I833" t="s">
        <v>19</v>
      </c>
      <c r="J833">
        <v>9</v>
      </c>
      <c r="K833">
        <v>3</v>
      </c>
      <c r="L833">
        <v>8</v>
      </c>
      <c r="M833">
        <v>0</v>
      </c>
      <c r="N833">
        <f>_xlfn.IFS(rounded[[#This Row],[social_interaction_level]] = "low", 1,rounded[[#This Row],[social_interaction_level]] = "medium", 2,rounded[[#This Row],[social_interaction_level]] = "high", 3)</f>
        <v>2</v>
      </c>
      <c r="O833">
        <f t="shared" si="12"/>
        <v>20</v>
      </c>
      <c r="P833" t="str" cm="1">
        <f t="array" ref="P833">_xlfn.SWITCH(rounded[[#This Row],[depression_label]], 0, "Not Depressed", 1, "Depressed")</f>
        <v>Not Depressed</v>
      </c>
      <c r="Q833" s="45" t="str" cm="1">
        <f t="array" ref="Q833">_xlfn.SWITCH(rounded[[#This Row],[gender]], "male", "Male", "female", "Female")</f>
        <v>Female</v>
      </c>
    </row>
    <row r="834" spans="1:17" x14ac:dyDescent="0.35">
      <c r="A834">
        <v>15</v>
      </c>
      <c r="B834" t="s">
        <v>16</v>
      </c>
      <c r="C834" s="4">
        <v>4.8</v>
      </c>
      <c r="D834" t="s">
        <v>17</v>
      </c>
      <c r="E834" s="4">
        <v>7.3</v>
      </c>
      <c r="F834" s="4">
        <v>1.9</v>
      </c>
      <c r="G834">
        <v>2.76</v>
      </c>
      <c r="H834">
        <v>0.9</v>
      </c>
      <c r="I834" t="s">
        <v>18</v>
      </c>
      <c r="J834">
        <v>2</v>
      </c>
      <c r="K834">
        <v>10</v>
      </c>
      <c r="L834">
        <v>1</v>
      </c>
      <c r="M834">
        <v>0</v>
      </c>
      <c r="N834">
        <f>_xlfn.IFS(rounded[[#This Row],[social_interaction_level]] = "low", 1,rounded[[#This Row],[social_interaction_level]] = "medium", 2,rounded[[#This Row],[social_interaction_level]] = "high", 3)</f>
        <v>3</v>
      </c>
      <c r="O834">
        <f t="shared" ref="O834:O897" si="13">SUM(J834+K834+L834)</f>
        <v>13</v>
      </c>
      <c r="P834" t="str" cm="1">
        <f t="array" ref="P834">_xlfn.SWITCH(rounded[[#This Row],[depression_label]], 0, "Not Depressed", 1, "Depressed")</f>
        <v>Not Depressed</v>
      </c>
      <c r="Q834" s="45" t="str" cm="1">
        <f t="array" ref="Q834">_xlfn.SWITCH(rounded[[#This Row],[gender]], "male", "Male", "female", "Female")</f>
        <v>Female</v>
      </c>
    </row>
    <row r="835" spans="1:17" x14ac:dyDescent="0.35">
      <c r="A835">
        <v>16</v>
      </c>
      <c r="B835" t="s">
        <v>16</v>
      </c>
      <c r="C835" s="4">
        <v>7.4</v>
      </c>
      <c r="D835" t="s">
        <v>17</v>
      </c>
      <c r="E835" s="4">
        <v>4.5999999999999996</v>
      </c>
      <c r="F835" s="4">
        <v>1</v>
      </c>
      <c r="G835">
        <v>2.23</v>
      </c>
      <c r="H835">
        <v>1.1000000000000001</v>
      </c>
      <c r="I835" t="s">
        <v>15</v>
      </c>
      <c r="J835">
        <v>2</v>
      </c>
      <c r="K835">
        <v>4</v>
      </c>
      <c r="L835">
        <v>5</v>
      </c>
      <c r="M835">
        <v>0</v>
      </c>
      <c r="N835">
        <f>_xlfn.IFS(rounded[[#This Row],[social_interaction_level]] = "low", 1,rounded[[#This Row],[social_interaction_level]] = "medium", 2,rounded[[#This Row],[social_interaction_level]] = "high", 3)</f>
        <v>1</v>
      </c>
      <c r="O835">
        <f t="shared" si="13"/>
        <v>11</v>
      </c>
      <c r="P835" t="str" cm="1">
        <f t="array" ref="P835">_xlfn.SWITCH(rounded[[#This Row],[depression_label]], 0, "Not Depressed", 1, "Depressed")</f>
        <v>Not Depressed</v>
      </c>
      <c r="Q835" s="45" t="str" cm="1">
        <f t="array" ref="Q835">_xlfn.SWITCH(rounded[[#This Row],[gender]], "male", "Male", "female", "Female")</f>
        <v>Female</v>
      </c>
    </row>
    <row r="836" spans="1:17" x14ac:dyDescent="0.35">
      <c r="A836">
        <v>18</v>
      </c>
      <c r="B836" t="s">
        <v>13</v>
      </c>
      <c r="C836" s="4">
        <v>2.7</v>
      </c>
      <c r="D836" t="s">
        <v>14</v>
      </c>
      <c r="E836" s="4">
        <v>7.9</v>
      </c>
      <c r="F836" s="4">
        <v>1.2</v>
      </c>
      <c r="G836">
        <v>2.75</v>
      </c>
      <c r="H836">
        <v>1.9</v>
      </c>
      <c r="I836" t="s">
        <v>19</v>
      </c>
      <c r="J836">
        <v>5</v>
      </c>
      <c r="K836">
        <v>8</v>
      </c>
      <c r="L836">
        <v>3</v>
      </c>
      <c r="M836">
        <v>0</v>
      </c>
      <c r="N836">
        <f>_xlfn.IFS(rounded[[#This Row],[social_interaction_level]] = "low", 1,rounded[[#This Row],[social_interaction_level]] = "medium", 2,rounded[[#This Row],[social_interaction_level]] = "high", 3)</f>
        <v>2</v>
      </c>
      <c r="O836">
        <f t="shared" si="13"/>
        <v>16</v>
      </c>
      <c r="P836" t="str" cm="1">
        <f t="array" ref="P836">_xlfn.SWITCH(rounded[[#This Row],[depression_label]], 0, "Not Depressed", 1, "Depressed")</f>
        <v>Not Depressed</v>
      </c>
      <c r="Q836" s="45" t="str" cm="1">
        <f t="array" ref="Q836">_xlfn.SWITCH(rounded[[#This Row],[gender]], "male", "Male", "female", "Female")</f>
        <v>Male</v>
      </c>
    </row>
    <row r="837" spans="1:17" x14ac:dyDescent="0.35">
      <c r="A837">
        <v>13</v>
      </c>
      <c r="B837" t="s">
        <v>16</v>
      </c>
      <c r="C837" s="4">
        <v>5.3</v>
      </c>
      <c r="D837" t="s">
        <v>17</v>
      </c>
      <c r="E837" s="4">
        <v>6.4</v>
      </c>
      <c r="F837" s="4">
        <v>1.1000000000000001</v>
      </c>
      <c r="G837">
        <v>3.32</v>
      </c>
      <c r="H837">
        <v>1.9</v>
      </c>
      <c r="I837" t="s">
        <v>19</v>
      </c>
      <c r="J837">
        <v>8</v>
      </c>
      <c r="K837">
        <v>5</v>
      </c>
      <c r="L837">
        <v>10</v>
      </c>
      <c r="M837">
        <v>0</v>
      </c>
      <c r="N837">
        <f>_xlfn.IFS(rounded[[#This Row],[social_interaction_level]] = "low", 1,rounded[[#This Row],[social_interaction_level]] = "medium", 2,rounded[[#This Row],[social_interaction_level]] = "high", 3)</f>
        <v>2</v>
      </c>
      <c r="O837">
        <f t="shared" si="13"/>
        <v>23</v>
      </c>
      <c r="P837" t="str" cm="1">
        <f t="array" ref="P837">_xlfn.SWITCH(rounded[[#This Row],[depression_label]], 0, "Not Depressed", 1, "Depressed")</f>
        <v>Not Depressed</v>
      </c>
      <c r="Q837" s="45" t="str" cm="1">
        <f t="array" ref="Q837">_xlfn.SWITCH(rounded[[#This Row],[gender]], "male", "Male", "female", "Female")</f>
        <v>Female</v>
      </c>
    </row>
    <row r="838" spans="1:17" x14ac:dyDescent="0.35">
      <c r="A838">
        <v>16</v>
      </c>
      <c r="B838" t="s">
        <v>16</v>
      </c>
      <c r="C838" s="4">
        <v>3.6</v>
      </c>
      <c r="D838" t="s">
        <v>20</v>
      </c>
      <c r="E838" s="4">
        <v>4.4000000000000004</v>
      </c>
      <c r="F838" s="4">
        <v>2.4</v>
      </c>
      <c r="G838">
        <v>2.5299999999999998</v>
      </c>
      <c r="H838">
        <v>0.7</v>
      </c>
      <c r="I838" t="s">
        <v>19</v>
      </c>
      <c r="J838">
        <v>1</v>
      </c>
      <c r="K838">
        <v>7</v>
      </c>
      <c r="L838">
        <v>5</v>
      </c>
      <c r="M838">
        <v>0</v>
      </c>
      <c r="N838">
        <f>_xlfn.IFS(rounded[[#This Row],[social_interaction_level]] = "low", 1,rounded[[#This Row],[social_interaction_level]] = "medium", 2,rounded[[#This Row],[social_interaction_level]] = "high", 3)</f>
        <v>2</v>
      </c>
      <c r="O838">
        <f t="shared" si="13"/>
        <v>13</v>
      </c>
      <c r="P838" t="str" cm="1">
        <f t="array" ref="P838">_xlfn.SWITCH(rounded[[#This Row],[depression_label]], 0, "Not Depressed", 1, "Depressed")</f>
        <v>Not Depressed</v>
      </c>
      <c r="Q838" s="45" t="str" cm="1">
        <f t="array" ref="Q838">_xlfn.SWITCH(rounded[[#This Row],[gender]], "male", "Male", "female", "Female")</f>
        <v>Female</v>
      </c>
    </row>
    <row r="839" spans="1:17" x14ac:dyDescent="0.35">
      <c r="A839">
        <v>18</v>
      </c>
      <c r="B839" t="s">
        <v>13</v>
      </c>
      <c r="C839" s="4">
        <v>2.5</v>
      </c>
      <c r="D839" t="s">
        <v>20</v>
      </c>
      <c r="E839" s="4">
        <v>5.7</v>
      </c>
      <c r="F839" s="4">
        <v>2.1</v>
      </c>
      <c r="G839">
        <v>3.33</v>
      </c>
      <c r="H839">
        <v>0.6</v>
      </c>
      <c r="I839" t="s">
        <v>15</v>
      </c>
      <c r="J839">
        <v>8</v>
      </c>
      <c r="K839">
        <v>4</v>
      </c>
      <c r="L839">
        <v>6</v>
      </c>
      <c r="M839">
        <v>0</v>
      </c>
      <c r="N839">
        <f>_xlfn.IFS(rounded[[#This Row],[social_interaction_level]] = "low", 1,rounded[[#This Row],[social_interaction_level]] = "medium", 2,rounded[[#This Row],[social_interaction_level]] = "high", 3)</f>
        <v>1</v>
      </c>
      <c r="O839">
        <f t="shared" si="13"/>
        <v>18</v>
      </c>
      <c r="P839" t="str" cm="1">
        <f t="array" ref="P839">_xlfn.SWITCH(rounded[[#This Row],[depression_label]], 0, "Not Depressed", 1, "Depressed")</f>
        <v>Not Depressed</v>
      </c>
      <c r="Q839" s="45" t="str" cm="1">
        <f t="array" ref="Q839">_xlfn.SWITCH(rounded[[#This Row],[gender]], "male", "Male", "female", "Female")</f>
        <v>Male</v>
      </c>
    </row>
    <row r="840" spans="1:17" x14ac:dyDescent="0.35">
      <c r="A840">
        <v>15</v>
      </c>
      <c r="B840" t="s">
        <v>13</v>
      </c>
      <c r="C840" s="4">
        <v>4.5</v>
      </c>
      <c r="D840" t="s">
        <v>20</v>
      </c>
      <c r="E840" s="4">
        <v>7</v>
      </c>
      <c r="F840" s="4">
        <v>1.5</v>
      </c>
      <c r="G840">
        <v>3.16</v>
      </c>
      <c r="H840">
        <v>1.7</v>
      </c>
      <c r="I840" t="s">
        <v>19</v>
      </c>
      <c r="J840">
        <v>4</v>
      </c>
      <c r="K840">
        <v>7</v>
      </c>
      <c r="L840">
        <v>10</v>
      </c>
      <c r="M840">
        <v>0</v>
      </c>
      <c r="N840">
        <f>_xlfn.IFS(rounded[[#This Row],[social_interaction_level]] = "low", 1,rounded[[#This Row],[social_interaction_level]] = "medium", 2,rounded[[#This Row],[social_interaction_level]] = "high", 3)</f>
        <v>2</v>
      </c>
      <c r="O840">
        <f t="shared" si="13"/>
        <v>21</v>
      </c>
      <c r="P840" t="str" cm="1">
        <f t="array" ref="P840">_xlfn.SWITCH(rounded[[#This Row],[depression_label]], 0, "Not Depressed", 1, "Depressed")</f>
        <v>Not Depressed</v>
      </c>
      <c r="Q840" s="45" t="str" cm="1">
        <f t="array" ref="Q840">_xlfn.SWITCH(rounded[[#This Row],[gender]], "male", "Male", "female", "Female")</f>
        <v>Male</v>
      </c>
    </row>
    <row r="841" spans="1:17" x14ac:dyDescent="0.35">
      <c r="A841">
        <v>18</v>
      </c>
      <c r="B841" t="s">
        <v>16</v>
      </c>
      <c r="C841" s="4">
        <v>1.9</v>
      </c>
      <c r="D841" t="s">
        <v>20</v>
      </c>
      <c r="E841" s="4">
        <v>5.0999999999999996</v>
      </c>
      <c r="F841" s="4">
        <v>2.9</v>
      </c>
      <c r="G841">
        <v>2.62</v>
      </c>
      <c r="H841">
        <v>1</v>
      </c>
      <c r="I841" t="s">
        <v>15</v>
      </c>
      <c r="J841">
        <v>4</v>
      </c>
      <c r="K841">
        <v>3</v>
      </c>
      <c r="L841">
        <v>2</v>
      </c>
      <c r="M841">
        <v>0</v>
      </c>
      <c r="N841">
        <f>_xlfn.IFS(rounded[[#This Row],[social_interaction_level]] = "low", 1,rounded[[#This Row],[social_interaction_level]] = "medium", 2,rounded[[#This Row],[social_interaction_level]] = "high", 3)</f>
        <v>1</v>
      </c>
      <c r="O841">
        <f t="shared" si="13"/>
        <v>9</v>
      </c>
      <c r="P841" t="str" cm="1">
        <f t="array" ref="P841">_xlfn.SWITCH(rounded[[#This Row],[depression_label]], 0, "Not Depressed", 1, "Depressed")</f>
        <v>Not Depressed</v>
      </c>
      <c r="Q841" s="45" t="str" cm="1">
        <f t="array" ref="Q841">_xlfn.SWITCH(rounded[[#This Row],[gender]], "male", "Male", "female", "Female")</f>
        <v>Female</v>
      </c>
    </row>
    <row r="842" spans="1:17" x14ac:dyDescent="0.35">
      <c r="A842">
        <v>17</v>
      </c>
      <c r="B842" t="s">
        <v>13</v>
      </c>
      <c r="C842" s="4">
        <v>3.8</v>
      </c>
      <c r="D842" t="s">
        <v>14</v>
      </c>
      <c r="E842" s="4">
        <v>7.7</v>
      </c>
      <c r="F842" s="4">
        <v>0.7</v>
      </c>
      <c r="G842">
        <v>3.45</v>
      </c>
      <c r="H842">
        <v>1</v>
      </c>
      <c r="I842" t="s">
        <v>15</v>
      </c>
      <c r="J842">
        <v>2</v>
      </c>
      <c r="K842">
        <v>8</v>
      </c>
      <c r="L842">
        <v>9</v>
      </c>
      <c r="M842">
        <v>0</v>
      </c>
      <c r="N842">
        <f>_xlfn.IFS(rounded[[#This Row],[social_interaction_level]] = "low", 1,rounded[[#This Row],[social_interaction_level]] = "medium", 2,rounded[[#This Row],[social_interaction_level]] = "high", 3)</f>
        <v>1</v>
      </c>
      <c r="O842">
        <f t="shared" si="13"/>
        <v>19</v>
      </c>
      <c r="P842" t="str" cm="1">
        <f t="array" ref="P842">_xlfn.SWITCH(rounded[[#This Row],[depression_label]], 0, "Not Depressed", 1, "Depressed")</f>
        <v>Not Depressed</v>
      </c>
      <c r="Q842" s="45" t="str" cm="1">
        <f t="array" ref="Q842">_xlfn.SWITCH(rounded[[#This Row],[gender]], "male", "Male", "female", "Female")</f>
        <v>Male</v>
      </c>
    </row>
    <row r="843" spans="1:17" x14ac:dyDescent="0.35">
      <c r="A843">
        <v>18</v>
      </c>
      <c r="B843" t="s">
        <v>16</v>
      </c>
      <c r="C843" s="4">
        <v>3.9</v>
      </c>
      <c r="D843" t="s">
        <v>20</v>
      </c>
      <c r="E843" s="4">
        <v>4</v>
      </c>
      <c r="F843" s="4">
        <v>1.8</v>
      </c>
      <c r="G843">
        <v>2.19</v>
      </c>
      <c r="H843">
        <v>1.4</v>
      </c>
      <c r="I843" t="s">
        <v>18</v>
      </c>
      <c r="J843">
        <v>1</v>
      </c>
      <c r="K843">
        <v>2</v>
      </c>
      <c r="L843">
        <v>5</v>
      </c>
      <c r="M843">
        <v>0</v>
      </c>
      <c r="N843">
        <f>_xlfn.IFS(rounded[[#This Row],[social_interaction_level]] = "low", 1,rounded[[#This Row],[social_interaction_level]] = "medium", 2,rounded[[#This Row],[social_interaction_level]] = "high", 3)</f>
        <v>3</v>
      </c>
      <c r="O843">
        <f t="shared" si="13"/>
        <v>8</v>
      </c>
      <c r="P843" t="str" cm="1">
        <f t="array" ref="P843">_xlfn.SWITCH(rounded[[#This Row],[depression_label]], 0, "Not Depressed", 1, "Depressed")</f>
        <v>Not Depressed</v>
      </c>
      <c r="Q843" s="45" t="str" cm="1">
        <f t="array" ref="Q843">_xlfn.SWITCH(rounded[[#This Row],[gender]], "male", "Male", "female", "Female")</f>
        <v>Female</v>
      </c>
    </row>
    <row r="844" spans="1:17" x14ac:dyDescent="0.35">
      <c r="A844">
        <v>17</v>
      </c>
      <c r="B844" t="s">
        <v>16</v>
      </c>
      <c r="C844" s="4">
        <v>1.1000000000000001</v>
      </c>
      <c r="D844" t="s">
        <v>20</v>
      </c>
      <c r="E844" s="4">
        <v>8.6999999999999993</v>
      </c>
      <c r="F844" s="4">
        <v>2.1</v>
      </c>
      <c r="G844">
        <v>3.01</v>
      </c>
      <c r="H844">
        <v>0.7</v>
      </c>
      <c r="I844" t="s">
        <v>19</v>
      </c>
      <c r="J844">
        <v>1</v>
      </c>
      <c r="K844">
        <v>1</v>
      </c>
      <c r="L844">
        <v>3</v>
      </c>
      <c r="M844">
        <v>0</v>
      </c>
      <c r="N844">
        <f>_xlfn.IFS(rounded[[#This Row],[social_interaction_level]] = "low", 1,rounded[[#This Row],[social_interaction_level]] = "medium", 2,rounded[[#This Row],[social_interaction_level]] = "high", 3)</f>
        <v>2</v>
      </c>
      <c r="O844">
        <f t="shared" si="13"/>
        <v>5</v>
      </c>
      <c r="P844" t="str" cm="1">
        <f t="array" ref="P844">_xlfn.SWITCH(rounded[[#This Row],[depression_label]], 0, "Not Depressed", 1, "Depressed")</f>
        <v>Not Depressed</v>
      </c>
      <c r="Q844" s="45" t="str" cm="1">
        <f t="array" ref="Q844">_xlfn.SWITCH(rounded[[#This Row],[gender]], "male", "Male", "female", "Female")</f>
        <v>Female</v>
      </c>
    </row>
    <row r="845" spans="1:17" x14ac:dyDescent="0.35">
      <c r="A845">
        <v>15</v>
      </c>
      <c r="B845" t="s">
        <v>16</v>
      </c>
      <c r="C845" s="4">
        <v>3.9</v>
      </c>
      <c r="D845" t="s">
        <v>20</v>
      </c>
      <c r="E845" s="4">
        <v>8.6999999999999993</v>
      </c>
      <c r="F845" s="4">
        <v>1.1000000000000001</v>
      </c>
      <c r="G845">
        <v>2.82</v>
      </c>
      <c r="H845">
        <v>0.3</v>
      </c>
      <c r="I845" t="s">
        <v>18</v>
      </c>
      <c r="J845">
        <v>5</v>
      </c>
      <c r="K845">
        <v>10</v>
      </c>
      <c r="L845">
        <v>6</v>
      </c>
      <c r="M845">
        <v>0</v>
      </c>
      <c r="N845">
        <f>_xlfn.IFS(rounded[[#This Row],[social_interaction_level]] = "low", 1,rounded[[#This Row],[social_interaction_level]] = "medium", 2,rounded[[#This Row],[social_interaction_level]] = "high", 3)</f>
        <v>3</v>
      </c>
      <c r="O845">
        <f t="shared" si="13"/>
        <v>21</v>
      </c>
      <c r="P845" t="str" cm="1">
        <f t="array" ref="P845">_xlfn.SWITCH(rounded[[#This Row],[depression_label]], 0, "Not Depressed", 1, "Depressed")</f>
        <v>Not Depressed</v>
      </c>
      <c r="Q845" s="45" t="str" cm="1">
        <f t="array" ref="Q845">_xlfn.SWITCH(rounded[[#This Row],[gender]], "male", "Male", "female", "Female")</f>
        <v>Female</v>
      </c>
    </row>
    <row r="846" spans="1:17" x14ac:dyDescent="0.35">
      <c r="A846">
        <v>16</v>
      </c>
      <c r="B846" t="s">
        <v>13</v>
      </c>
      <c r="C846" s="4">
        <v>8</v>
      </c>
      <c r="D846" t="s">
        <v>14</v>
      </c>
      <c r="E846" s="4">
        <v>8.1</v>
      </c>
      <c r="F846" s="4">
        <v>2.5</v>
      </c>
      <c r="G846">
        <v>2.7</v>
      </c>
      <c r="H846">
        <v>1.7</v>
      </c>
      <c r="I846" t="s">
        <v>19</v>
      </c>
      <c r="J846">
        <v>4</v>
      </c>
      <c r="K846">
        <v>5</v>
      </c>
      <c r="L846">
        <v>7</v>
      </c>
      <c r="M846">
        <v>0</v>
      </c>
      <c r="N846">
        <f>_xlfn.IFS(rounded[[#This Row],[social_interaction_level]] = "low", 1,rounded[[#This Row],[social_interaction_level]] = "medium", 2,rounded[[#This Row],[social_interaction_level]] = "high", 3)</f>
        <v>2</v>
      </c>
      <c r="O846">
        <f t="shared" si="13"/>
        <v>16</v>
      </c>
      <c r="P846" t="str" cm="1">
        <f t="array" ref="P846">_xlfn.SWITCH(rounded[[#This Row],[depression_label]], 0, "Not Depressed", 1, "Depressed")</f>
        <v>Not Depressed</v>
      </c>
      <c r="Q846" s="45" t="str" cm="1">
        <f t="array" ref="Q846">_xlfn.SWITCH(rounded[[#This Row],[gender]], "male", "Male", "female", "Female")</f>
        <v>Male</v>
      </c>
    </row>
    <row r="847" spans="1:17" x14ac:dyDescent="0.35">
      <c r="A847">
        <v>14</v>
      </c>
      <c r="B847" t="s">
        <v>16</v>
      </c>
      <c r="C847" s="4">
        <v>1.2</v>
      </c>
      <c r="D847" t="s">
        <v>17</v>
      </c>
      <c r="E847" s="4">
        <v>8.5</v>
      </c>
      <c r="F847" s="4">
        <v>2.2999999999999998</v>
      </c>
      <c r="G847">
        <v>3.91</v>
      </c>
      <c r="H847">
        <v>1.8</v>
      </c>
      <c r="I847" t="s">
        <v>18</v>
      </c>
      <c r="J847">
        <v>1</v>
      </c>
      <c r="K847">
        <v>8</v>
      </c>
      <c r="L847">
        <v>1</v>
      </c>
      <c r="M847">
        <v>0</v>
      </c>
      <c r="N847">
        <f>_xlfn.IFS(rounded[[#This Row],[social_interaction_level]] = "low", 1,rounded[[#This Row],[social_interaction_level]] = "medium", 2,rounded[[#This Row],[social_interaction_level]] = "high", 3)</f>
        <v>3</v>
      </c>
      <c r="O847">
        <f t="shared" si="13"/>
        <v>10</v>
      </c>
      <c r="P847" t="str" cm="1">
        <f t="array" ref="P847">_xlfn.SWITCH(rounded[[#This Row],[depression_label]], 0, "Not Depressed", 1, "Depressed")</f>
        <v>Not Depressed</v>
      </c>
      <c r="Q847" s="45" t="str" cm="1">
        <f t="array" ref="Q847">_xlfn.SWITCH(rounded[[#This Row],[gender]], "male", "Male", "female", "Female")</f>
        <v>Female</v>
      </c>
    </row>
    <row r="848" spans="1:17" x14ac:dyDescent="0.35">
      <c r="A848">
        <v>15</v>
      </c>
      <c r="B848" t="s">
        <v>13</v>
      </c>
      <c r="C848" s="4">
        <v>2.2000000000000002</v>
      </c>
      <c r="D848" t="s">
        <v>14</v>
      </c>
      <c r="E848" s="4">
        <v>6.1</v>
      </c>
      <c r="F848" s="4">
        <v>0.9</v>
      </c>
      <c r="G848">
        <v>3.81</v>
      </c>
      <c r="H848">
        <v>0.1</v>
      </c>
      <c r="I848" t="s">
        <v>18</v>
      </c>
      <c r="J848">
        <v>2</v>
      </c>
      <c r="K848">
        <v>7</v>
      </c>
      <c r="L848">
        <v>3</v>
      </c>
      <c r="M848">
        <v>0</v>
      </c>
      <c r="N848">
        <f>_xlfn.IFS(rounded[[#This Row],[social_interaction_level]] = "low", 1,rounded[[#This Row],[social_interaction_level]] = "medium", 2,rounded[[#This Row],[social_interaction_level]] = "high", 3)</f>
        <v>3</v>
      </c>
      <c r="O848">
        <f t="shared" si="13"/>
        <v>12</v>
      </c>
      <c r="P848" t="str" cm="1">
        <f t="array" ref="P848">_xlfn.SWITCH(rounded[[#This Row],[depression_label]], 0, "Not Depressed", 1, "Depressed")</f>
        <v>Not Depressed</v>
      </c>
      <c r="Q848" s="45" t="str" cm="1">
        <f t="array" ref="Q848">_xlfn.SWITCH(rounded[[#This Row],[gender]], "male", "Male", "female", "Female")</f>
        <v>Male</v>
      </c>
    </row>
    <row r="849" spans="1:17" x14ac:dyDescent="0.35">
      <c r="A849">
        <v>15</v>
      </c>
      <c r="B849" t="s">
        <v>16</v>
      </c>
      <c r="C849" s="4">
        <v>4.2</v>
      </c>
      <c r="D849" t="s">
        <v>17</v>
      </c>
      <c r="E849" s="4">
        <v>6.8</v>
      </c>
      <c r="F849" s="4">
        <v>1.4</v>
      </c>
      <c r="G849">
        <v>2.0099999999999998</v>
      </c>
      <c r="H849">
        <v>1</v>
      </c>
      <c r="I849" t="s">
        <v>15</v>
      </c>
      <c r="J849">
        <v>6</v>
      </c>
      <c r="K849">
        <v>6</v>
      </c>
      <c r="L849">
        <v>4</v>
      </c>
      <c r="M849">
        <v>0</v>
      </c>
      <c r="N849">
        <f>_xlfn.IFS(rounded[[#This Row],[social_interaction_level]] = "low", 1,rounded[[#This Row],[social_interaction_level]] = "medium", 2,rounded[[#This Row],[social_interaction_level]] = "high", 3)</f>
        <v>1</v>
      </c>
      <c r="O849">
        <f t="shared" si="13"/>
        <v>16</v>
      </c>
      <c r="P849" t="str" cm="1">
        <f t="array" ref="P849">_xlfn.SWITCH(rounded[[#This Row],[depression_label]], 0, "Not Depressed", 1, "Depressed")</f>
        <v>Not Depressed</v>
      </c>
      <c r="Q849" s="45" t="str" cm="1">
        <f t="array" ref="Q849">_xlfn.SWITCH(rounded[[#This Row],[gender]], "male", "Male", "female", "Female")</f>
        <v>Female</v>
      </c>
    </row>
    <row r="850" spans="1:17" x14ac:dyDescent="0.35">
      <c r="A850">
        <v>19</v>
      </c>
      <c r="B850" t="s">
        <v>13</v>
      </c>
      <c r="C850" s="4">
        <v>6</v>
      </c>
      <c r="D850" t="s">
        <v>20</v>
      </c>
      <c r="E850" s="4">
        <v>5.6</v>
      </c>
      <c r="F850" s="4">
        <v>1.1000000000000001</v>
      </c>
      <c r="G850">
        <v>2.4300000000000002</v>
      </c>
      <c r="H850">
        <v>1.7</v>
      </c>
      <c r="I850" t="s">
        <v>19</v>
      </c>
      <c r="J850">
        <v>1</v>
      </c>
      <c r="K850">
        <v>3</v>
      </c>
      <c r="L850">
        <v>3</v>
      </c>
      <c r="M850">
        <v>0</v>
      </c>
      <c r="N850">
        <f>_xlfn.IFS(rounded[[#This Row],[social_interaction_level]] = "low", 1,rounded[[#This Row],[social_interaction_level]] = "medium", 2,rounded[[#This Row],[social_interaction_level]] = "high", 3)</f>
        <v>2</v>
      </c>
      <c r="O850">
        <f t="shared" si="13"/>
        <v>7</v>
      </c>
      <c r="P850" t="str" cm="1">
        <f t="array" ref="P850">_xlfn.SWITCH(rounded[[#This Row],[depression_label]], 0, "Not Depressed", 1, "Depressed")</f>
        <v>Not Depressed</v>
      </c>
      <c r="Q850" s="45" t="str" cm="1">
        <f t="array" ref="Q850">_xlfn.SWITCH(rounded[[#This Row],[gender]], "male", "Male", "female", "Female")</f>
        <v>Male</v>
      </c>
    </row>
    <row r="851" spans="1:17" x14ac:dyDescent="0.35">
      <c r="A851">
        <v>19</v>
      </c>
      <c r="B851" t="s">
        <v>13</v>
      </c>
      <c r="C851" s="4">
        <v>5.4</v>
      </c>
      <c r="D851" t="s">
        <v>14</v>
      </c>
      <c r="E851" s="4">
        <v>4.9000000000000004</v>
      </c>
      <c r="F851" s="4">
        <v>0.6</v>
      </c>
      <c r="G851">
        <v>3.17</v>
      </c>
      <c r="H851">
        <v>0</v>
      </c>
      <c r="I851" t="s">
        <v>15</v>
      </c>
      <c r="J851">
        <v>5</v>
      </c>
      <c r="K851">
        <v>6</v>
      </c>
      <c r="L851">
        <v>10</v>
      </c>
      <c r="M851">
        <v>0</v>
      </c>
      <c r="N851">
        <f>_xlfn.IFS(rounded[[#This Row],[social_interaction_level]] = "low", 1,rounded[[#This Row],[social_interaction_level]] = "medium", 2,rounded[[#This Row],[social_interaction_level]] = "high", 3)</f>
        <v>1</v>
      </c>
      <c r="O851">
        <f t="shared" si="13"/>
        <v>21</v>
      </c>
      <c r="P851" t="str" cm="1">
        <f t="array" ref="P851">_xlfn.SWITCH(rounded[[#This Row],[depression_label]], 0, "Not Depressed", 1, "Depressed")</f>
        <v>Not Depressed</v>
      </c>
      <c r="Q851" s="45" t="str" cm="1">
        <f t="array" ref="Q851">_xlfn.SWITCH(rounded[[#This Row],[gender]], "male", "Male", "female", "Female")</f>
        <v>Male</v>
      </c>
    </row>
    <row r="852" spans="1:17" x14ac:dyDescent="0.35">
      <c r="A852">
        <v>15</v>
      </c>
      <c r="B852" t="s">
        <v>16</v>
      </c>
      <c r="C852" s="4">
        <v>2.7</v>
      </c>
      <c r="D852" t="s">
        <v>17</v>
      </c>
      <c r="E852" s="4">
        <v>7.6</v>
      </c>
      <c r="F852" s="4">
        <v>2.5</v>
      </c>
      <c r="G852">
        <v>2.37</v>
      </c>
      <c r="H852">
        <v>1.9</v>
      </c>
      <c r="I852" t="s">
        <v>18</v>
      </c>
      <c r="J852">
        <v>1</v>
      </c>
      <c r="K852">
        <v>8</v>
      </c>
      <c r="L852">
        <v>7</v>
      </c>
      <c r="M852">
        <v>0</v>
      </c>
      <c r="N852">
        <f>_xlfn.IFS(rounded[[#This Row],[social_interaction_level]] = "low", 1,rounded[[#This Row],[social_interaction_level]] = "medium", 2,rounded[[#This Row],[social_interaction_level]] = "high", 3)</f>
        <v>3</v>
      </c>
      <c r="O852">
        <f t="shared" si="13"/>
        <v>16</v>
      </c>
      <c r="P852" t="str" cm="1">
        <f t="array" ref="P852">_xlfn.SWITCH(rounded[[#This Row],[depression_label]], 0, "Not Depressed", 1, "Depressed")</f>
        <v>Not Depressed</v>
      </c>
      <c r="Q852" s="45" t="str" cm="1">
        <f t="array" ref="Q852">_xlfn.SWITCH(rounded[[#This Row],[gender]], "male", "Male", "female", "Female")</f>
        <v>Female</v>
      </c>
    </row>
    <row r="853" spans="1:17" x14ac:dyDescent="0.35">
      <c r="A853">
        <v>19</v>
      </c>
      <c r="B853" t="s">
        <v>16</v>
      </c>
      <c r="C853" s="4">
        <v>1.9</v>
      </c>
      <c r="D853" t="s">
        <v>20</v>
      </c>
      <c r="E853" s="4">
        <v>6.2</v>
      </c>
      <c r="F853" s="4">
        <v>0.9</v>
      </c>
      <c r="G853">
        <v>2.4700000000000002</v>
      </c>
      <c r="H853">
        <v>1.4</v>
      </c>
      <c r="I853" t="s">
        <v>15</v>
      </c>
      <c r="J853">
        <v>5</v>
      </c>
      <c r="K853">
        <v>6</v>
      </c>
      <c r="L853">
        <v>7</v>
      </c>
      <c r="M853">
        <v>0</v>
      </c>
      <c r="N853">
        <f>_xlfn.IFS(rounded[[#This Row],[social_interaction_level]] = "low", 1,rounded[[#This Row],[social_interaction_level]] = "medium", 2,rounded[[#This Row],[social_interaction_level]] = "high", 3)</f>
        <v>1</v>
      </c>
      <c r="O853">
        <f t="shared" si="13"/>
        <v>18</v>
      </c>
      <c r="P853" t="str" cm="1">
        <f t="array" ref="P853">_xlfn.SWITCH(rounded[[#This Row],[depression_label]], 0, "Not Depressed", 1, "Depressed")</f>
        <v>Not Depressed</v>
      </c>
      <c r="Q853" s="45" t="str" cm="1">
        <f t="array" ref="Q853">_xlfn.SWITCH(rounded[[#This Row],[gender]], "male", "Male", "female", "Female")</f>
        <v>Female</v>
      </c>
    </row>
    <row r="854" spans="1:17" x14ac:dyDescent="0.35">
      <c r="A854">
        <v>14</v>
      </c>
      <c r="B854" t="s">
        <v>13</v>
      </c>
      <c r="C854" s="4">
        <v>1.5</v>
      </c>
      <c r="D854" t="s">
        <v>20</v>
      </c>
      <c r="E854" s="4">
        <v>6.8</v>
      </c>
      <c r="F854" s="4">
        <v>0.8</v>
      </c>
      <c r="G854">
        <v>3.14</v>
      </c>
      <c r="H854">
        <v>0</v>
      </c>
      <c r="I854" t="s">
        <v>19</v>
      </c>
      <c r="J854">
        <v>4</v>
      </c>
      <c r="K854">
        <v>5</v>
      </c>
      <c r="L854">
        <v>8</v>
      </c>
      <c r="M854">
        <v>0</v>
      </c>
      <c r="N854">
        <f>_xlfn.IFS(rounded[[#This Row],[social_interaction_level]] = "low", 1,rounded[[#This Row],[social_interaction_level]] = "medium", 2,rounded[[#This Row],[social_interaction_level]] = "high", 3)</f>
        <v>2</v>
      </c>
      <c r="O854">
        <f t="shared" si="13"/>
        <v>17</v>
      </c>
      <c r="P854" t="str" cm="1">
        <f t="array" ref="P854">_xlfn.SWITCH(rounded[[#This Row],[depression_label]], 0, "Not Depressed", 1, "Depressed")</f>
        <v>Not Depressed</v>
      </c>
      <c r="Q854" s="45" t="str" cm="1">
        <f t="array" ref="Q854">_xlfn.SWITCH(rounded[[#This Row],[gender]], "male", "Male", "female", "Female")</f>
        <v>Male</v>
      </c>
    </row>
    <row r="855" spans="1:17" x14ac:dyDescent="0.35">
      <c r="A855">
        <v>17</v>
      </c>
      <c r="B855" t="s">
        <v>16</v>
      </c>
      <c r="C855" s="4">
        <v>2.6</v>
      </c>
      <c r="D855" t="s">
        <v>17</v>
      </c>
      <c r="E855" s="4">
        <v>4.8</v>
      </c>
      <c r="F855" s="4">
        <v>0.7</v>
      </c>
      <c r="G855">
        <v>2.52</v>
      </c>
      <c r="H855">
        <v>1.8</v>
      </c>
      <c r="I855" t="s">
        <v>19</v>
      </c>
      <c r="J855">
        <v>9</v>
      </c>
      <c r="K855">
        <v>6</v>
      </c>
      <c r="L855">
        <v>6</v>
      </c>
      <c r="M855">
        <v>0</v>
      </c>
      <c r="N855">
        <f>_xlfn.IFS(rounded[[#This Row],[social_interaction_level]] = "low", 1,rounded[[#This Row],[social_interaction_level]] = "medium", 2,rounded[[#This Row],[social_interaction_level]] = "high", 3)</f>
        <v>2</v>
      </c>
      <c r="O855">
        <f t="shared" si="13"/>
        <v>21</v>
      </c>
      <c r="P855" t="str" cm="1">
        <f t="array" ref="P855">_xlfn.SWITCH(rounded[[#This Row],[depression_label]], 0, "Not Depressed", 1, "Depressed")</f>
        <v>Not Depressed</v>
      </c>
      <c r="Q855" s="45" t="str" cm="1">
        <f t="array" ref="Q855">_xlfn.SWITCH(rounded[[#This Row],[gender]], "male", "Male", "female", "Female")</f>
        <v>Female</v>
      </c>
    </row>
    <row r="856" spans="1:17" x14ac:dyDescent="0.35">
      <c r="A856">
        <v>16</v>
      </c>
      <c r="B856" t="s">
        <v>13</v>
      </c>
      <c r="C856" s="4">
        <v>1.2</v>
      </c>
      <c r="D856" t="s">
        <v>14</v>
      </c>
      <c r="E856" s="4">
        <v>7.3</v>
      </c>
      <c r="F856" s="4">
        <v>1</v>
      </c>
      <c r="G856">
        <v>2.36</v>
      </c>
      <c r="H856">
        <v>1.1000000000000001</v>
      </c>
      <c r="I856" t="s">
        <v>19</v>
      </c>
      <c r="J856">
        <v>5</v>
      </c>
      <c r="K856">
        <v>3</v>
      </c>
      <c r="L856">
        <v>6</v>
      </c>
      <c r="M856">
        <v>0</v>
      </c>
      <c r="N856">
        <f>_xlfn.IFS(rounded[[#This Row],[social_interaction_level]] = "low", 1,rounded[[#This Row],[social_interaction_level]] = "medium", 2,rounded[[#This Row],[social_interaction_level]] = "high", 3)</f>
        <v>2</v>
      </c>
      <c r="O856">
        <f t="shared" si="13"/>
        <v>14</v>
      </c>
      <c r="P856" t="str" cm="1">
        <f t="array" ref="P856">_xlfn.SWITCH(rounded[[#This Row],[depression_label]], 0, "Not Depressed", 1, "Depressed")</f>
        <v>Not Depressed</v>
      </c>
      <c r="Q856" s="45" t="str" cm="1">
        <f t="array" ref="Q856">_xlfn.SWITCH(rounded[[#This Row],[gender]], "male", "Male", "female", "Female")</f>
        <v>Male</v>
      </c>
    </row>
    <row r="857" spans="1:17" x14ac:dyDescent="0.35">
      <c r="A857">
        <v>18</v>
      </c>
      <c r="B857" t="s">
        <v>16</v>
      </c>
      <c r="C857" s="4">
        <v>1.8</v>
      </c>
      <c r="D857" t="s">
        <v>20</v>
      </c>
      <c r="E857" s="4">
        <v>7.8</v>
      </c>
      <c r="F857" s="4">
        <v>2</v>
      </c>
      <c r="G857">
        <v>2.67</v>
      </c>
      <c r="H857">
        <v>0.8</v>
      </c>
      <c r="I857" t="s">
        <v>15</v>
      </c>
      <c r="J857">
        <v>4</v>
      </c>
      <c r="K857">
        <v>6</v>
      </c>
      <c r="L857">
        <v>3</v>
      </c>
      <c r="M857">
        <v>0</v>
      </c>
      <c r="N857">
        <f>_xlfn.IFS(rounded[[#This Row],[social_interaction_level]] = "low", 1,rounded[[#This Row],[social_interaction_level]] = "medium", 2,rounded[[#This Row],[social_interaction_level]] = "high", 3)</f>
        <v>1</v>
      </c>
      <c r="O857">
        <f t="shared" si="13"/>
        <v>13</v>
      </c>
      <c r="P857" t="str" cm="1">
        <f t="array" ref="P857">_xlfn.SWITCH(rounded[[#This Row],[depression_label]], 0, "Not Depressed", 1, "Depressed")</f>
        <v>Not Depressed</v>
      </c>
      <c r="Q857" s="45" t="str" cm="1">
        <f t="array" ref="Q857">_xlfn.SWITCH(rounded[[#This Row],[gender]], "male", "Male", "female", "Female")</f>
        <v>Female</v>
      </c>
    </row>
    <row r="858" spans="1:17" x14ac:dyDescent="0.35">
      <c r="A858">
        <v>19</v>
      </c>
      <c r="B858" t="s">
        <v>13</v>
      </c>
      <c r="C858" s="4">
        <v>4.8</v>
      </c>
      <c r="D858" t="s">
        <v>20</v>
      </c>
      <c r="E858" s="4">
        <v>7.5</v>
      </c>
      <c r="F858" s="4">
        <v>1</v>
      </c>
      <c r="G858">
        <v>2.68</v>
      </c>
      <c r="H858">
        <v>1.5</v>
      </c>
      <c r="I858" t="s">
        <v>15</v>
      </c>
      <c r="J858">
        <v>9</v>
      </c>
      <c r="K858">
        <v>4</v>
      </c>
      <c r="L858">
        <v>6</v>
      </c>
      <c r="M858">
        <v>0</v>
      </c>
      <c r="N858">
        <f>_xlfn.IFS(rounded[[#This Row],[social_interaction_level]] = "low", 1,rounded[[#This Row],[social_interaction_level]] = "medium", 2,rounded[[#This Row],[social_interaction_level]] = "high", 3)</f>
        <v>1</v>
      </c>
      <c r="O858">
        <f t="shared" si="13"/>
        <v>19</v>
      </c>
      <c r="P858" t="str" cm="1">
        <f t="array" ref="P858">_xlfn.SWITCH(rounded[[#This Row],[depression_label]], 0, "Not Depressed", 1, "Depressed")</f>
        <v>Not Depressed</v>
      </c>
      <c r="Q858" s="45" t="str" cm="1">
        <f t="array" ref="Q858">_xlfn.SWITCH(rounded[[#This Row],[gender]], "male", "Male", "female", "Female")</f>
        <v>Male</v>
      </c>
    </row>
    <row r="859" spans="1:17" x14ac:dyDescent="0.35">
      <c r="A859">
        <v>19</v>
      </c>
      <c r="B859" t="s">
        <v>13</v>
      </c>
      <c r="C859" s="4">
        <v>2.1</v>
      </c>
      <c r="D859" t="s">
        <v>20</v>
      </c>
      <c r="E859" s="4">
        <v>5.6</v>
      </c>
      <c r="F859" s="4">
        <v>2.4</v>
      </c>
      <c r="G859">
        <v>3.56</v>
      </c>
      <c r="H859">
        <v>1</v>
      </c>
      <c r="I859" t="s">
        <v>18</v>
      </c>
      <c r="J859">
        <v>9</v>
      </c>
      <c r="K859">
        <v>3</v>
      </c>
      <c r="L859">
        <v>4</v>
      </c>
      <c r="M859">
        <v>0</v>
      </c>
      <c r="N859">
        <f>_xlfn.IFS(rounded[[#This Row],[social_interaction_level]] = "low", 1,rounded[[#This Row],[social_interaction_level]] = "medium", 2,rounded[[#This Row],[social_interaction_level]] = "high", 3)</f>
        <v>3</v>
      </c>
      <c r="O859">
        <f t="shared" si="13"/>
        <v>16</v>
      </c>
      <c r="P859" t="str" cm="1">
        <f t="array" ref="P859">_xlfn.SWITCH(rounded[[#This Row],[depression_label]], 0, "Not Depressed", 1, "Depressed")</f>
        <v>Not Depressed</v>
      </c>
      <c r="Q859" s="45" t="str" cm="1">
        <f t="array" ref="Q859">_xlfn.SWITCH(rounded[[#This Row],[gender]], "male", "Male", "female", "Female")</f>
        <v>Male</v>
      </c>
    </row>
    <row r="860" spans="1:17" x14ac:dyDescent="0.35">
      <c r="A860">
        <v>15</v>
      </c>
      <c r="B860" t="s">
        <v>13</v>
      </c>
      <c r="C860" s="4">
        <v>4.4000000000000004</v>
      </c>
      <c r="D860" t="s">
        <v>14</v>
      </c>
      <c r="E860" s="4">
        <v>6</v>
      </c>
      <c r="F860" s="4">
        <v>0.5</v>
      </c>
      <c r="G860">
        <v>3.33</v>
      </c>
      <c r="H860">
        <v>0.7</v>
      </c>
      <c r="I860" t="s">
        <v>19</v>
      </c>
      <c r="J860">
        <v>1</v>
      </c>
      <c r="K860">
        <v>6</v>
      </c>
      <c r="L860">
        <v>10</v>
      </c>
      <c r="M860">
        <v>0</v>
      </c>
      <c r="N860">
        <f>_xlfn.IFS(rounded[[#This Row],[social_interaction_level]] = "low", 1,rounded[[#This Row],[social_interaction_level]] = "medium", 2,rounded[[#This Row],[social_interaction_level]] = "high", 3)</f>
        <v>2</v>
      </c>
      <c r="O860">
        <f t="shared" si="13"/>
        <v>17</v>
      </c>
      <c r="P860" t="str" cm="1">
        <f t="array" ref="P860">_xlfn.SWITCH(rounded[[#This Row],[depression_label]], 0, "Not Depressed", 1, "Depressed")</f>
        <v>Not Depressed</v>
      </c>
      <c r="Q860" s="45" t="str" cm="1">
        <f t="array" ref="Q860">_xlfn.SWITCH(rounded[[#This Row],[gender]], "male", "Male", "female", "Female")</f>
        <v>Male</v>
      </c>
    </row>
    <row r="861" spans="1:17" x14ac:dyDescent="0.35">
      <c r="A861">
        <v>14</v>
      </c>
      <c r="B861" t="s">
        <v>13</v>
      </c>
      <c r="C861" s="4">
        <v>2.8</v>
      </c>
      <c r="D861" t="s">
        <v>20</v>
      </c>
      <c r="E861" s="4">
        <v>4.3</v>
      </c>
      <c r="F861" s="4">
        <v>3</v>
      </c>
      <c r="G861">
        <v>2.14</v>
      </c>
      <c r="H861">
        <v>1.9</v>
      </c>
      <c r="I861" t="s">
        <v>19</v>
      </c>
      <c r="J861">
        <v>9</v>
      </c>
      <c r="K861">
        <v>3</v>
      </c>
      <c r="L861">
        <v>7</v>
      </c>
      <c r="M861">
        <v>0</v>
      </c>
      <c r="N861">
        <f>_xlfn.IFS(rounded[[#This Row],[social_interaction_level]] = "low", 1,rounded[[#This Row],[social_interaction_level]] = "medium", 2,rounded[[#This Row],[social_interaction_level]] = "high", 3)</f>
        <v>2</v>
      </c>
      <c r="O861">
        <f t="shared" si="13"/>
        <v>19</v>
      </c>
      <c r="P861" t="str" cm="1">
        <f t="array" ref="P861">_xlfn.SWITCH(rounded[[#This Row],[depression_label]], 0, "Not Depressed", 1, "Depressed")</f>
        <v>Not Depressed</v>
      </c>
      <c r="Q861" s="45" t="str" cm="1">
        <f t="array" ref="Q861">_xlfn.SWITCH(rounded[[#This Row],[gender]], "male", "Male", "female", "Female")</f>
        <v>Male</v>
      </c>
    </row>
    <row r="862" spans="1:17" x14ac:dyDescent="0.35">
      <c r="A862">
        <v>15</v>
      </c>
      <c r="B862" t="s">
        <v>13</v>
      </c>
      <c r="C862" s="4">
        <v>3.5</v>
      </c>
      <c r="D862" t="s">
        <v>17</v>
      </c>
      <c r="E862" s="4">
        <v>4.5</v>
      </c>
      <c r="F862" s="4">
        <v>2.7</v>
      </c>
      <c r="G862">
        <v>2.4700000000000002</v>
      </c>
      <c r="H862">
        <v>1.4</v>
      </c>
      <c r="I862" t="s">
        <v>15</v>
      </c>
      <c r="J862">
        <v>1</v>
      </c>
      <c r="K862">
        <v>5</v>
      </c>
      <c r="L862">
        <v>10</v>
      </c>
      <c r="M862">
        <v>0</v>
      </c>
      <c r="N862">
        <f>_xlfn.IFS(rounded[[#This Row],[social_interaction_level]] = "low", 1,rounded[[#This Row],[social_interaction_level]] = "medium", 2,rounded[[#This Row],[social_interaction_level]] = "high", 3)</f>
        <v>1</v>
      </c>
      <c r="O862">
        <f t="shared" si="13"/>
        <v>16</v>
      </c>
      <c r="P862" t="str" cm="1">
        <f t="array" ref="P862">_xlfn.SWITCH(rounded[[#This Row],[depression_label]], 0, "Not Depressed", 1, "Depressed")</f>
        <v>Not Depressed</v>
      </c>
      <c r="Q862" s="45" t="str" cm="1">
        <f t="array" ref="Q862">_xlfn.SWITCH(rounded[[#This Row],[gender]], "male", "Male", "female", "Female")</f>
        <v>Male</v>
      </c>
    </row>
    <row r="863" spans="1:17" x14ac:dyDescent="0.35">
      <c r="A863">
        <v>15</v>
      </c>
      <c r="B863" t="s">
        <v>13</v>
      </c>
      <c r="C863" s="4">
        <v>6.8</v>
      </c>
      <c r="D863" t="s">
        <v>20</v>
      </c>
      <c r="E863" s="4">
        <v>6.6</v>
      </c>
      <c r="F863" s="4">
        <v>2.1</v>
      </c>
      <c r="G863">
        <v>3.43</v>
      </c>
      <c r="H863">
        <v>1.7</v>
      </c>
      <c r="I863" t="s">
        <v>15</v>
      </c>
      <c r="J863">
        <v>10</v>
      </c>
      <c r="K863">
        <v>10</v>
      </c>
      <c r="L863">
        <v>8</v>
      </c>
      <c r="M863">
        <v>0</v>
      </c>
      <c r="N863">
        <f>_xlfn.IFS(rounded[[#This Row],[social_interaction_level]] = "low", 1,rounded[[#This Row],[social_interaction_level]] = "medium", 2,rounded[[#This Row],[social_interaction_level]] = "high", 3)</f>
        <v>1</v>
      </c>
      <c r="O863">
        <f t="shared" si="13"/>
        <v>28</v>
      </c>
      <c r="P863" t="str" cm="1">
        <f t="array" ref="P863">_xlfn.SWITCH(rounded[[#This Row],[depression_label]], 0, "Not Depressed", 1, "Depressed")</f>
        <v>Not Depressed</v>
      </c>
      <c r="Q863" s="45" t="str" cm="1">
        <f t="array" ref="Q863">_xlfn.SWITCH(rounded[[#This Row],[gender]], "male", "Male", "female", "Female")</f>
        <v>Male</v>
      </c>
    </row>
    <row r="864" spans="1:17" x14ac:dyDescent="0.35">
      <c r="A864">
        <v>14</v>
      </c>
      <c r="B864" t="s">
        <v>13</v>
      </c>
      <c r="C864" s="4">
        <v>7</v>
      </c>
      <c r="D864" t="s">
        <v>14</v>
      </c>
      <c r="E864" s="4">
        <v>5.2</v>
      </c>
      <c r="F864" s="4">
        <v>1.4</v>
      </c>
      <c r="G864">
        <v>3.27</v>
      </c>
      <c r="H864">
        <v>1.7</v>
      </c>
      <c r="I864" t="s">
        <v>19</v>
      </c>
      <c r="J864">
        <v>5</v>
      </c>
      <c r="K864">
        <v>7</v>
      </c>
      <c r="L864">
        <v>8</v>
      </c>
      <c r="M864">
        <v>0</v>
      </c>
      <c r="N864">
        <f>_xlfn.IFS(rounded[[#This Row],[social_interaction_level]] = "low", 1,rounded[[#This Row],[social_interaction_level]] = "medium", 2,rounded[[#This Row],[social_interaction_level]] = "high", 3)</f>
        <v>2</v>
      </c>
      <c r="O864">
        <f t="shared" si="13"/>
        <v>20</v>
      </c>
      <c r="P864" t="str" cm="1">
        <f t="array" ref="P864">_xlfn.SWITCH(rounded[[#This Row],[depression_label]], 0, "Not Depressed", 1, "Depressed")</f>
        <v>Not Depressed</v>
      </c>
      <c r="Q864" s="45" t="str" cm="1">
        <f t="array" ref="Q864">_xlfn.SWITCH(rounded[[#This Row],[gender]], "male", "Male", "female", "Female")</f>
        <v>Male</v>
      </c>
    </row>
    <row r="865" spans="1:17" x14ac:dyDescent="0.35">
      <c r="A865">
        <v>17</v>
      </c>
      <c r="B865" t="s">
        <v>16</v>
      </c>
      <c r="C865" s="4">
        <v>7.5</v>
      </c>
      <c r="D865" t="s">
        <v>20</v>
      </c>
      <c r="E865" s="4">
        <v>8.1</v>
      </c>
      <c r="F865" s="4">
        <v>2.8</v>
      </c>
      <c r="G865">
        <v>2.58</v>
      </c>
      <c r="H865">
        <v>0.5</v>
      </c>
      <c r="I865" t="s">
        <v>19</v>
      </c>
      <c r="J865">
        <v>2</v>
      </c>
      <c r="K865">
        <v>2</v>
      </c>
      <c r="L865">
        <v>3</v>
      </c>
      <c r="M865">
        <v>0</v>
      </c>
      <c r="N865">
        <f>_xlfn.IFS(rounded[[#This Row],[social_interaction_level]] = "low", 1,rounded[[#This Row],[social_interaction_level]] = "medium", 2,rounded[[#This Row],[social_interaction_level]] = "high", 3)</f>
        <v>2</v>
      </c>
      <c r="O865">
        <f t="shared" si="13"/>
        <v>7</v>
      </c>
      <c r="P865" t="str" cm="1">
        <f t="array" ref="P865">_xlfn.SWITCH(rounded[[#This Row],[depression_label]], 0, "Not Depressed", 1, "Depressed")</f>
        <v>Not Depressed</v>
      </c>
      <c r="Q865" s="45" t="str" cm="1">
        <f t="array" ref="Q865">_xlfn.SWITCH(rounded[[#This Row],[gender]], "male", "Male", "female", "Female")</f>
        <v>Female</v>
      </c>
    </row>
    <row r="866" spans="1:17" x14ac:dyDescent="0.35">
      <c r="A866">
        <v>17</v>
      </c>
      <c r="B866" t="s">
        <v>16</v>
      </c>
      <c r="C866" s="4">
        <v>2.5</v>
      </c>
      <c r="D866" t="s">
        <v>14</v>
      </c>
      <c r="E866" s="4">
        <v>4.4000000000000004</v>
      </c>
      <c r="F866" s="4">
        <v>2</v>
      </c>
      <c r="G866">
        <v>3.29</v>
      </c>
      <c r="H866">
        <v>0.7</v>
      </c>
      <c r="I866" t="s">
        <v>15</v>
      </c>
      <c r="J866">
        <v>4</v>
      </c>
      <c r="K866">
        <v>6</v>
      </c>
      <c r="L866">
        <v>5</v>
      </c>
      <c r="M866">
        <v>0</v>
      </c>
      <c r="N866">
        <f>_xlfn.IFS(rounded[[#This Row],[social_interaction_level]] = "low", 1,rounded[[#This Row],[social_interaction_level]] = "medium", 2,rounded[[#This Row],[social_interaction_level]] = "high", 3)</f>
        <v>1</v>
      </c>
      <c r="O866">
        <f t="shared" si="13"/>
        <v>15</v>
      </c>
      <c r="P866" t="str" cm="1">
        <f t="array" ref="P866">_xlfn.SWITCH(rounded[[#This Row],[depression_label]], 0, "Not Depressed", 1, "Depressed")</f>
        <v>Not Depressed</v>
      </c>
      <c r="Q866" s="45" t="str" cm="1">
        <f t="array" ref="Q866">_xlfn.SWITCH(rounded[[#This Row],[gender]], "male", "Male", "female", "Female")</f>
        <v>Female</v>
      </c>
    </row>
    <row r="867" spans="1:17" x14ac:dyDescent="0.35">
      <c r="A867">
        <v>15</v>
      </c>
      <c r="B867" t="s">
        <v>13</v>
      </c>
      <c r="C867" s="4">
        <v>6.5</v>
      </c>
      <c r="D867" t="s">
        <v>17</v>
      </c>
      <c r="E867" s="4">
        <v>5.4</v>
      </c>
      <c r="F867" s="4">
        <v>2.1</v>
      </c>
      <c r="G867">
        <v>3.44</v>
      </c>
      <c r="H867">
        <v>1.8</v>
      </c>
      <c r="I867" t="s">
        <v>15</v>
      </c>
      <c r="J867">
        <v>7</v>
      </c>
      <c r="K867">
        <v>3</v>
      </c>
      <c r="L867">
        <v>6</v>
      </c>
      <c r="M867">
        <v>0</v>
      </c>
      <c r="N867">
        <f>_xlfn.IFS(rounded[[#This Row],[social_interaction_level]] = "low", 1,rounded[[#This Row],[social_interaction_level]] = "medium", 2,rounded[[#This Row],[social_interaction_level]] = "high", 3)</f>
        <v>1</v>
      </c>
      <c r="O867">
        <f t="shared" si="13"/>
        <v>16</v>
      </c>
      <c r="P867" t="str" cm="1">
        <f t="array" ref="P867">_xlfn.SWITCH(rounded[[#This Row],[depression_label]], 0, "Not Depressed", 1, "Depressed")</f>
        <v>Not Depressed</v>
      </c>
      <c r="Q867" s="45" t="str" cm="1">
        <f t="array" ref="Q867">_xlfn.SWITCH(rounded[[#This Row],[gender]], "male", "Male", "female", "Female")</f>
        <v>Male</v>
      </c>
    </row>
    <row r="868" spans="1:17" x14ac:dyDescent="0.35">
      <c r="A868">
        <v>13</v>
      </c>
      <c r="B868" t="s">
        <v>13</v>
      </c>
      <c r="C868" s="4">
        <v>7.7</v>
      </c>
      <c r="D868" t="s">
        <v>14</v>
      </c>
      <c r="E868" s="4">
        <v>4.4000000000000004</v>
      </c>
      <c r="F868" s="4">
        <v>2</v>
      </c>
      <c r="G868">
        <v>3.09</v>
      </c>
      <c r="H868">
        <v>1</v>
      </c>
      <c r="I868" t="s">
        <v>18</v>
      </c>
      <c r="J868">
        <v>8</v>
      </c>
      <c r="K868">
        <v>7</v>
      </c>
      <c r="L868">
        <v>8</v>
      </c>
      <c r="M868">
        <v>1</v>
      </c>
      <c r="N868">
        <f>_xlfn.IFS(rounded[[#This Row],[social_interaction_level]] = "low", 1,rounded[[#This Row],[social_interaction_level]] = "medium", 2,rounded[[#This Row],[social_interaction_level]] = "high", 3)</f>
        <v>3</v>
      </c>
      <c r="O868">
        <f t="shared" si="13"/>
        <v>23</v>
      </c>
      <c r="P868" t="str" cm="1">
        <f t="array" ref="P868">_xlfn.SWITCH(rounded[[#This Row],[depression_label]], 0, "Not Depressed", 1, "Depressed")</f>
        <v>Depressed</v>
      </c>
      <c r="Q868" s="45" t="str" cm="1">
        <f t="array" ref="Q868">_xlfn.SWITCH(rounded[[#This Row],[gender]], "male", "Male", "female", "Female")</f>
        <v>Male</v>
      </c>
    </row>
    <row r="869" spans="1:17" x14ac:dyDescent="0.35">
      <c r="A869">
        <v>18</v>
      </c>
      <c r="B869" t="s">
        <v>16</v>
      </c>
      <c r="C869" s="4">
        <v>3.2</v>
      </c>
      <c r="D869" t="s">
        <v>20</v>
      </c>
      <c r="E869" s="4">
        <v>7.8</v>
      </c>
      <c r="F869" s="4">
        <v>0.7</v>
      </c>
      <c r="G869">
        <v>3.46</v>
      </c>
      <c r="H869">
        <v>1.3</v>
      </c>
      <c r="I869" t="s">
        <v>15</v>
      </c>
      <c r="J869">
        <v>5</v>
      </c>
      <c r="K869">
        <v>10</v>
      </c>
      <c r="L869">
        <v>6</v>
      </c>
      <c r="M869">
        <v>0</v>
      </c>
      <c r="N869">
        <f>_xlfn.IFS(rounded[[#This Row],[social_interaction_level]] = "low", 1,rounded[[#This Row],[social_interaction_level]] = "medium", 2,rounded[[#This Row],[social_interaction_level]] = "high", 3)</f>
        <v>1</v>
      </c>
      <c r="O869">
        <f t="shared" si="13"/>
        <v>21</v>
      </c>
      <c r="P869" t="str" cm="1">
        <f t="array" ref="P869">_xlfn.SWITCH(rounded[[#This Row],[depression_label]], 0, "Not Depressed", 1, "Depressed")</f>
        <v>Not Depressed</v>
      </c>
      <c r="Q869" s="45" t="str" cm="1">
        <f t="array" ref="Q869">_xlfn.SWITCH(rounded[[#This Row],[gender]], "male", "Male", "female", "Female")</f>
        <v>Female</v>
      </c>
    </row>
    <row r="870" spans="1:17" x14ac:dyDescent="0.35">
      <c r="A870">
        <v>16</v>
      </c>
      <c r="B870" t="s">
        <v>16</v>
      </c>
      <c r="C870" s="4">
        <v>5.3</v>
      </c>
      <c r="D870" t="s">
        <v>17</v>
      </c>
      <c r="E870" s="4">
        <v>4.3</v>
      </c>
      <c r="F870" s="4">
        <v>1.5</v>
      </c>
      <c r="G870">
        <v>2.54</v>
      </c>
      <c r="H870">
        <v>0.3</v>
      </c>
      <c r="I870" t="s">
        <v>18</v>
      </c>
      <c r="J870">
        <v>7</v>
      </c>
      <c r="K870">
        <v>7</v>
      </c>
      <c r="L870">
        <v>10</v>
      </c>
      <c r="M870">
        <v>1</v>
      </c>
      <c r="N870">
        <f>_xlfn.IFS(rounded[[#This Row],[social_interaction_level]] = "low", 1,rounded[[#This Row],[social_interaction_level]] = "medium", 2,rounded[[#This Row],[social_interaction_level]] = "high", 3)</f>
        <v>3</v>
      </c>
      <c r="O870">
        <f t="shared" si="13"/>
        <v>24</v>
      </c>
      <c r="P870" t="str" cm="1">
        <f t="array" ref="P870">_xlfn.SWITCH(rounded[[#This Row],[depression_label]], 0, "Not Depressed", 1, "Depressed")</f>
        <v>Depressed</v>
      </c>
      <c r="Q870" s="45" t="str" cm="1">
        <f t="array" ref="Q870">_xlfn.SWITCH(rounded[[#This Row],[gender]], "male", "Male", "female", "Female")</f>
        <v>Female</v>
      </c>
    </row>
    <row r="871" spans="1:17" x14ac:dyDescent="0.35">
      <c r="A871">
        <v>14</v>
      </c>
      <c r="B871" t="s">
        <v>13</v>
      </c>
      <c r="C871" s="4">
        <v>5</v>
      </c>
      <c r="D871" t="s">
        <v>17</v>
      </c>
      <c r="E871" s="4">
        <v>5.2</v>
      </c>
      <c r="F871" s="4">
        <v>0.5</v>
      </c>
      <c r="G871">
        <v>3.55</v>
      </c>
      <c r="H871">
        <v>0.4</v>
      </c>
      <c r="I871" t="s">
        <v>15</v>
      </c>
      <c r="J871">
        <v>10</v>
      </c>
      <c r="K871">
        <v>6</v>
      </c>
      <c r="L871">
        <v>8</v>
      </c>
      <c r="M871">
        <v>0</v>
      </c>
      <c r="N871">
        <f>_xlfn.IFS(rounded[[#This Row],[social_interaction_level]] = "low", 1,rounded[[#This Row],[social_interaction_level]] = "medium", 2,rounded[[#This Row],[social_interaction_level]] = "high", 3)</f>
        <v>1</v>
      </c>
      <c r="O871">
        <f t="shared" si="13"/>
        <v>24</v>
      </c>
      <c r="P871" t="str" cm="1">
        <f t="array" ref="P871">_xlfn.SWITCH(rounded[[#This Row],[depression_label]], 0, "Not Depressed", 1, "Depressed")</f>
        <v>Not Depressed</v>
      </c>
      <c r="Q871" s="45" t="str" cm="1">
        <f t="array" ref="Q871">_xlfn.SWITCH(rounded[[#This Row],[gender]], "male", "Male", "female", "Female")</f>
        <v>Male</v>
      </c>
    </row>
    <row r="872" spans="1:17" x14ac:dyDescent="0.35">
      <c r="A872">
        <v>19</v>
      </c>
      <c r="B872" t="s">
        <v>13</v>
      </c>
      <c r="C872" s="4">
        <v>6.1</v>
      </c>
      <c r="D872" t="s">
        <v>14</v>
      </c>
      <c r="E872" s="4">
        <v>7.1</v>
      </c>
      <c r="F872" s="4">
        <v>2.2999999999999998</v>
      </c>
      <c r="G872">
        <v>3.22</v>
      </c>
      <c r="H872">
        <v>0.5</v>
      </c>
      <c r="I872" t="s">
        <v>15</v>
      </c>
      <c r="J872">
        <v>4</v>
      </c>
      <c r="K872">
        <v>3</v>
      </c>
      <c r="L872">
        <v>7</v>
      </c>
      <c r="M872">
        <v>0</v>
      </c>
      <c r="N872">
        <f>_xlfn.IFS(rounded[[#This Row],[social_interaction_level]] = "low", 1,rounded[[#This Row],[social_interaction_level]] = "medium", 2,rounded[[#This Row],[social_interaction_level]] = "high", 3)</f>
        <v>1</v>
      </c>
      <c r="O872">
        <f t="shared" si="13"/>
        <v>14</v>
      </c>
      <c r="P872" t="str" cm="1">
        <f t="array" ref="P872">_xlfn.SWITCH(rounded[[#This Row],[depression_label]], 0, "Not Depressed", 1, "Depressed")</f>
        <v>Not Depressed</v>
      </c>
      <c r="Q872" s="45" t="str" cm="1">
        <f t="array" ref="Q872">_xlfn.SWITCH(rounded[[#This Row],[gender]], "male", "Male", "female", "Female")</f>
        <v>Male</v>
      </c>
    </row>
    <row r="873" spans="1:17" x14ac:dyDescent="0.35">
      <c r="A873">
        <v>17</v>
      </c>
      <c r="B873" t="s">
        <v>13</v>
      </c>
      <c r="C873" s="4">
        <v>4.2</v>
      </c>
      <c r="D873" t="s">
        <v>17</v>
      </c>
      <c r="E873" s="4">
        <v>7.3</v>
      </c>
      <c r="F873" s="4">
        <v>2.6</v>
      </c>
      <c r="G873">
        <v>3.2</v>
      </c>
      <c r="H873">
        <v>0.2</v>
      </c>
      <c r="I873" t="s">
        <v>18</v>
      </c>
      <c r="J873">
        <v>7</v>
      </c>
      <c r="K873">
        <v>1</v>
      </c>
      <c r="L873">
        <v>3</v>
      </c>
      <c r="M873">
        <v>0</v>
      </c>
      <c r="N873">
        <f>_xlfn.IFS(rounded[[#This Row],[social_interaction_level]] = "low", 1,rounded[[#This Row],[social_interaction_level]] = "medium", 2,rounded[[#This Row],[social_interaction_level]] = "high", 3)</f>
        <v>3</v>
      </c>
      <c r="O873">
        <f t="shared" si="13"/>
        <v>11</v>
      </c>
      <c r="P873" t="str" cm="1">
        <f t="array" ref="P873">_xlfn.SWITCH(rounded[[#This Row],[depression_label]], 0, "Not Depressed", 1, "Depressed")</f>
        <v>Not Depressed</v>
      </c>
      <c r="Q873" s="45" t="str" cm="1">
        <f t="array" ref="Q873">_xlfn.SWITCH(rounded[[#This Row],[gender]], "male", "Male", "female", "Female")</f>
        <v>Male</v>
      </c>
    </row>
    <row r="874" spans="1:17" x14ac:dyDescent="0.35">
      <c r="A874">
        <v>15</v>
      </c>
      <c r="B874" t="s">
        <v>13</v>
      </c>
      <c r="C874" s="4">
        <v>4.7</v>
      </c>
      <c r="D874" t="s">
        <v>14</v>
      </c>
      <c r="E874" s="4">
        <v>8.1999999999999993</v>
      </c>
      <c r="F874" s="4">
        <v>2.2999999999999998</v>
      </c>
      <c r="G874">
        <v>3.35</v>
      </c>
      <c r="H874">
        <v>0.6</v>
      </c>
      <c r="I874" t="s">
        <v>15</v>
      </c>
      <c r="J874">
        <v>6</v>
      </c>
      <c r="K874">
        <v>2</v>
      </c>
      <c r="L874">
        <v>5</v>
      </c>
      <c r="M874">
        <v>0</v>
      </c>
      <c r="N874">
        <f>_xlfn.IFS(rounded[[#This Row],[social_interaction_level]] = "low", 1,rounded[[#This Row],[social_interaction_level]] = "medium", 2,rounded[[#This Row],[social_interaction_level]] = "high", 3)</f>
        <v>1</v>
      </c>
      <c r="O874">
        <f t="shared" si="13"/>
        <v>13</v>
      </c>
      <c r="P874" t="str" cm="1">
        <f t="array" ref="P874">_xlfn.SWITCH(rounded[[#This Row],[depression_label]], 0, "Not Depressed", 1, "Depressed")</f>
        <v>Not Depressed</v>
      </c>
      <c r="Q874" s="45" t="str" cm="1">
        <f t="array" ref="Q874">_xlfn.SWITCH(rounded[[#This Row],[gender]], "male", "Male", "female", "Female")</f>
        <v>Male</v>
      </c>
    </row>
    <row r="875" spans="1:17" x14ac:dyDescent="0.35">
      <c r="A875">
        <v>18</v>
      </c>
      <c r="B875" t="s">
        <v>13</v>
      </c>
      <c r="C875" s="4">
        <v>1.6</v>
      </c>
      <c r="D875" t="s">
        <v>17</v>
      </c>
      <c r="E875" s="4">
        <v>5.8</v>
      </c>
      <c r="F875" s="4">
        <v>0.6</v>
      </c>
      <c r="G875">
        <v>3.63</v>
      </c>
      <c r="H875">
        <v>1.1000000000000001</v>
      </c>
      <c r="I875" t="s">
        <v>18</v>
      </c>
      <c r="J875">
        <v>6</v>
      </c>
      <c r="K875">
        <v>9</v>
      </c>
      <c r="L875">
        <v>7</v>
      </c>
      <c r="M875">
        <v>0</v>
      </c>
      <c r="N875">
        <f>_xlfn.IFS(rounded[[#This Row],[social_interaction_level]] = "low", 1,rounded[[#This Row],[social_interaction_level]] = "medium", 2,rounded[[#This Row],[social_interaction_level]] = "high", 3)</f>
        <v>3</v>
      </c>
      <c r="O875">
        <f t="shared" si="13"/>
        <v>22</v>
      </c>
      <c r="P875" t="str" cm="1">
        <f t="array" ref="P875">_xlfn.SWITCH(rounded[[#This Row],[depression_label]], 0, "Not Depressed", 1, "Depressed")</f>
        <v>Not Depressed</v>
      </c>
      <c r="Q875" s="45" t="str" cm="1">
        <f t="array" ref="Q875">_xlfn.SWITCH(rounded[[#This Row],[gender]], "male", "Male", "female", "Female")</f>
        <v>Male</v>
      </c>
    </row>
    <row r="876" spans="1:17" x14ac:dyDescent="0.35">
      <c r="A876">
        <v>14</v>
      </c>
      <c r="B876" t="s">
        <v>16</v>
      </c>
      <c r="C876" s="4">
        <v>1.7</v>
      </c>
      <c r="D876" t="s">
        <v>17</v>
      </c>
      <c r="E876" s="4">
        <v>6.5</v>
      </c>
      <c r="F876" s="4">
        <v>2.7</v>
      </c>
      <c r="G876">
        <v>2.06</v>
      </c>
      <c r="H876">
        <v>0.1</v>
      </c>
      <c r="I876" t="s">
        <v>19</v>
      </c>
      <c r="J876">
        <v>9</v>
      </c>
      <c r="K876">
        <v>5</v>
      </c>
      <c r="L876">
        <v>9</v>
      </c>
      <c r="M876">
        <v>0</v>
      </c>
      <c r="N876">
        <f>_xlfn.IFS(rounded[[#This Row],[social_interaction_level]] = "low", 1,rounded[[#This Row],[social_interaction_level]] = "medium", 2,rounded[[#This Row],[social_interaction_level]] = "high", 3)</f>
        <v>2</v>
      </c>
      <c r="O876">
        <f t="shared" si="13"/>
        <v>23</v>
      </c>
      <c r="P876" t="str" cm="1">
        <f t="array" ref="P876">_xlfn.SWITCH(rounded[[#This Row],[depression_label]], 0, "Not Depressed", 1, "Depressed")</f>
        <v>Not Depressed</v>
      </c>
      <c r="Q876" s="45" t="str" cm="1">
        <f t="array" ref="Q876">_xlfn.SWITCH(rounded[[#This Row],[gender]], "male", "Male", "female", "Female")</f>
        <v>Female</v>
      </c>
    </row>
    <row r="877" spans="1:17" x14ac:dyDescent="0.35">
      <c r="A877">
        <v>18</v>
      </c>
      <c r="B877" t="s">
        <v>13</v>
      </c>
      <c r="C877" s="4">
        <v>4.5999999999999996</v>
      </c>
      <c r="D877" t="s">
        <v>14</v>
      </c>
      <c r="E877" s="4">
        <v>4.0999999999999996</v>
      </c>
      <c r="F877" s="4">
        <v>1.4</v>
      </c>
      <c r="G877">
        <v>2.2799999999999998</v>
      </c>
      <c r="H877">
        <v>0.4</v>
      </c>
      <c r="I877" t="s">
        <v>19</v>
      </c>
      <c r="J877">
        <v>4</v>
      </c>
      <c r="K877">
        <v>10</v>
      </c>
      <c r="L877">
        <v>10</v>
      </c>
      <c r="M877">
        <v>0</v>
      </c>
      <c r="N877">
        <f>_xlfn.IFS(rounded[[#This Row],[social_interaction_level]] = "low", 1,rounded[[#This Row],[social_interaction_level]] = "medium", 2,rounded[[#This Row],[social_interaction_level]] = "high", 3)</f>
        <v>2</v>
      </c>
      <c r="O877">
        <f t="shared" si="13"/>
        <v>24</v>
      </c>
      <c r="P877" t="str" cm="1">
        <f t="array" ref="P877">_xlfn.SWITCH(rounded[[#This Row],[depression_label]], 0, "Not Depressed", 1, "Depressed")</f>
        <v>Not Depressed</v>
      </c>
      <c r="Q877" s="45" t="str" cm="1">
        <f t="array" ref="Q877">_xlfn.SWITCH(rounded[[#This Row],[gender]], "male", "Male", "female", "Female")</f>
        <v>Male</v>
      </c>
    </row>
    <row r="878" spans="1:17" x14ac:dyDescent="0.35">
      <c r="A878">
        <v>13</v>
      </c>
      <c r="B878" t="s">
        <v>16</v>
      </c>
      <c r="C878" s="4">
        <v>2.5</v>
      </c>
      <c r="D878" t="s">
        <v>17</v>
      </c>
      <c r="E878" s="4">
        <v>6.8</v>
      </c>
      <c r="F878" s="4">
        <v>2.8</v>
      </c>
      <c r="G878">
        <v>2.77</v>
      </c>
      <c r="H878">
        <v>0.5</v>
      </c>
      <c r="I878" t="s">
        <v>15</v>
      </c>
      <c r="J878">
        <v>2</v>
      </c>
      <c r="K878">
        <v>6</v>
      </c>
      <c r="L878">
        <v>10</v>
      </c>
      <c r="M878">
        <v>0</v>
      </c>
      <c r="N878">
        <f>_xlfn.IFS(rounded[[#This Row],[social_interaction_level]] = "low", 1,rounded[[#This Row],[social_interaction_level]] = "medium", 2,rounded[[#This Row],[social_interaction_level]] = "high", 3)</f>
        <v>1</v>
      </c>
      <c r="O878">
        <f t="shared" si="13"/>
        <v>18</v>
      </c>
      <c r="P878" t="str" cm="1">
        <f t="array" ref="P878">_xlfn.SWITCH(rounded[[#This Row],[depression_label]], 0, "Not Depressed", 1, "Depressed")</f>
        <v>Not Depressed</v>
      </c>
      <c r="Q878" s="45" t="str" cm="1">
        <f t="array" ref="Q878">_xlfn.SWITCH(rounded[[#This Row],[gender]], "male", "Male", "female", "Female")</f>
        <v>Female</v>
      </c>
    </row>
    <row r="879" spans="1:17" x14ac:dyDescent="0.35">
      <c r="A879">
        <v>16</v>
      </c>
      <c r="B879" t="s">
        <v>16</v>
      </c>
      <c r="C879" s="4">
        <v>4.2</v>
      </c>
      <c r="D879" t="s">
        <v>17</v>
      </c>
      <c r="E879" s="4">
        <v>6.3</v>
      </c>
      <c r="F879" s="4">
        <v>1.2</v>
      </c>
      <c r="G879">
        <v>3.72</v>
      </c>
      <c r="H879">
        <v>1.9</v>
      </c>
      <c r="I879" t="s">
        <v>15</v>
      </c>
      <c r="J879">
        <v>5</v>
      </c>
      <c r="K879">
        <v>3</v>
      </c>
      <c r="L879">
        <v>7</v>
      </c>
      <c r="M879">
        <v>0</v>
      </c>
      <c r="N879">
        <f>_xlfn.IFS(rounded[[#This Row],[social_interaction_level]] = "low", 1,rounded[[#This Row],[social_interaction_level]] = "medium", 2,rounded[[#This Row],[social_interaction_level]] = "high", 3)</f>
        <v>1</v>
      </c>
      <c r="O879">
        <f t="shared" si="13"/>
        <v>15</v>
      </c>
      <c r="P879" t="str" cm="1">
        <f t="array" ref="P879">_xlfn.SWITCH(rounded[[#This Row],[depression_label]], 0, "Not Depressed", 1, "Depressed")</f>
        <v>Not Depressed</v>
      </c>
      <c r="Q879" s="45" t="str" cm="1">
        <f t="array" ref="Q879">_xlfn.SWITCH(rounded[[#This Row],[gender]], "male", "Male", "female", "Female")</f>
        <v>Female</v>
      </c>
    </row>
    <row r="880" spans="1:17" x14ac:dyDescent="0.35">
      <c r="A880">
        <v>19</v>
      </c>
      <c r="B880" t="s">
        <v>16</v>
      </c>
      <c r="C880" s="4">
        <v>1.2</v>
      </c>
      <c r="D880" t="s">
        <v>17</v>
      </c>
      <c r="E880" s="4">
        <v>4.8</v>
      </c>
      <c r="F880" s="4">
        <v>1.7</v>
      </c>
      <c r="G880">
        <v>2.16</v>
      </c>
      <c r="H880">
        <v>0.6</v>
      </c>
      <c r="I880" t="s">
        <v>19</v>
      </c>
      <c r="J880">
        <v>10</v>
      </c>
      <c r="K880">
        <v>10</v>
      </c>
      <c r="L880">
        <v>10</v>
      </c>
      <c r="M880">
        <v>0</v>
      </c>
      <c r="N880">
        <f>_xlfn.IFS(rounded[[#This Row],[social_interaction_level]] = "low", 1,rounded[[#This Row],[social_interaction_level]] = "medium", 2,rounded[[#This Row],[social_interaction_level]] = "high", 3)</f>
        <v>2</v>
      </c>
      <c r="O880">
        <f t="shared" si="13"/>
        <v>30</v>
      </c>
      <c r="P880" t="str" cm="1">
        <f t="array" ref="P880">_xlfn.SWITCH(rounded[[#This Row],[depression_label]], 0, "Not Depressed", 1, "Depressed")</f>
        <v>Not Depressed</v>
      </c>
      <c r="Q880" s="45" t="str" cm="1">
        <f t="array" ref="Q880">_xlfn.SWITCH(rounded[[#This Row],[gender]], "male", "Male", "female", "Female")</f>
        <v>Female</v>
      </c>
    </row>
    <row r="881" spans="1:17" x14ac:dyDescent="0.35">
      <c r="A881">
        <v>15</v>
      </c>
      <c r="B881" t="s">
        <v>13</v>
      </c>
      <c r="C881" s="4">
        <v>2.7</v>
      </c>
      <c r="D881" t="s">
        <v>14</v>
      </c>
      <c r="E881" s="4">
        <v>7.2</v>
      </c>
      <c r="F881" s="4">
        <v>2.9</v>
      </c>
      <c r="G881">
        <v>3.27</v>
      </c>
      <c r="H881">
        <v>0.8</v>
      </c>
      <c r="I881" t="s">
        <v>19</v>
      </c>
      <c r="J881">
        <v>5</v>
      </c>
      <c r="K881">
        <v>2</v>
      </c>
      <c r="L881">
        <v>9</v>
      </c>
      <c r="M881">
        <v>0</v>
      </c>
      <c r="N881">
        <f>_xlfn.IFS(rounded[[#This Row],[social_interaction_level]] = "low", 1,rounded[[#This Row],[social_interaction_level]] = "medium", 2,rounded[[#This Row],[social_interaction_level]] = "high", 3)</f>
        <v>2</v>
      </c>
      <c r="O881">
        <f t="shared" si="13"/>
        <v>16</v>
      </c>
      <c r="P881" t="str" cm="1">
        <f t="array" ref="P881">_xlfn.SWITCH(rounded[[#This Row],[depression_label]], 0, "Not Depressed", 1, "Depressed")</f>
        <v>Not Depressed</v>
      </c>
      <c r="Q881" s="45" t="str" cm="1">
        <f t="array" ref="Q881">_xlfn.SWITCH(rounded[[#This Row],[gender]], "male", "Male", "female", "Female")</f>
        <v>Male</v>
      </c>
    </row>
    <row r="882" spans="1:17" x14ac:dyDescent="0.35">
      <c r="A882">
        <v>13</v>
      </c>
      <c r="B882" t="s">
        <v>13</v>
      </c>
      <c r="C882" s="4">
        <v>1.5</v>
      </c>
      <c r="D882" t="s">
        <v>20</v>
      </c>
      <c r="E882" s="4">
        <v>5.2</v>
      </c>
      <c r="F882" s="4">
        <v>0.8</v>
      </c>
      <c r="G882">
        <v>2.16</v>
      </c>
      <c r="H882">
        <v>0.9</v>
      </c>
      <c r="I882" t="s">
        <v>19</v>
      </c>
      <c r="J882">
        <v>10</v>
      </c>
      <c r="K882">
        <v>6</v>
      </c>
      <c r="L882">
        <v>8</v>
      </c>
      <c r="M882">
        <v>0</v>
      </c>
      <c r="N882">
        <f>_xlfn.IFS(rounded[[#This Row],[social_interaction_level]] = "low", 1,rounded[[#This Row],[social_interaction_level]] = "medium", 2,rounded[[#This Row],[social_interaction_level]] = "high", 3)</f>
        <v>2</v>
      </c>
      <c r="O882">
        <f t="shared" si="13"/>
        <v>24</v>
      </c>
      <c r="P882" t="str" cm="1">
        <f t="array" ref="P882">_xlfn.SWITCH(rounded[[#This Row],[depression_label]], 0, "Not Depressed", 1, "Depressed")</f>
        <v>Not Depressed</v>
      </c>
      <c r="Q882" s="45" t="str" cm="1">
        <f t="array" ref="Q882">_xlfn.SWITCH(rounded[[#This Row],[gender]], "male", "Male", "female", "Female")</f>
        <v>Male</v>
      </c>
    </row>
    <row r="883" spans="1:17" x14ac:dyDescent="0.35">
      <c r="A883">
        <v>15</v>
      </c>
      <c r="B883" t="s">
        <v>13</v>
      </c>
      <c r="C883" s="4">
        <v>3.2</v>
      </c>
      <c r="D883" t="s">
        <v>14</v>
      </c>
      <c r="E883" s="4">
        <v>5.6</v>
      </c>
      <c r="F883" s="4">
        <v>0.7</v>
      </c>
      <c r="G883">
        <v>3.1</v>
      </c>
      <c r="H883">
        <v>1.5</v>
      </c>
      <c r="I883" t="s">
        <v>18</v>
      </c>
      <c r="J883">
        <v>6</v>
      </c>
      <c r="K883">
        <v>3</v>
      </c>
      <c r="L883">
        <v>1</v>
      </c>
      <c r="M883">
        <v>0</v>
      </c>
      <c r="N883">
        <f>_xlfn.IFS(rounded[[#This Row],[social_interaction_level]] = "low", 1,rounded[[#This Row],[social_interaction_level]] = "medium", 2,rounded[[#This Row],[social_interaction_level]] = "high", 3)</f>
        <v>3</v>
      </c>
      <c r="O883">
        <f t="shared" si="13"/>
        <v>10</v>
      </c>
      <c r="P883" t="str" cm="1">
        <f t="array" ref="P883">_xlfn.SWITCH(rounded[[#This Row],[depression_label]], 0, "Not Depressed", 1, "Depressed")</f>
        <v>Not Depressed</v>
      </c>
      <c r="Q883" s="45" t="str" cm="1">
        <f t="array" ref="Q883">_xlfn.SWITCH(rounded[[#This Row],[gender]], "male", "Male", "female", "Female")</f>
        <v>Male</v>
      </c>
    </row>
    <row r="884" spans="1:17" x14ac:dyDescent="0.35">
      <c r="A884">
        <v>19</v>
      </c>
      <c r="B884" t="s">
        <v>16</v>
      </c>
      <c r="C884" s="4">
        <v>7.3</v>
      </c>
      <c r="D884" t="s">
        <v>20</v>
      </c>
      <c r="E884" s="4">
        <v>7.4</v>
      </c>
      <c r="F884" s="4">
        <v>1.5</v>
      </c>
      <c r="G884">
        <v>2.84</v>
      </c>
      <c r="H884">
        <v>1</v>
      </c>
      <c r="I884" t="s">
        <v>19</v>
      </c>
      <c r="J884">
        <v>9</v>
      </c>
      <c r="K884">
        <v>8</v>
      </c>
      <c r="L884">
        <v>5</v>
      </c>
      <c r="M884">
        <v>0</v>
      </c>
      <c r="N884">
        <f>_xlfn.IFS(rounded[[#This Row],[social_interaction_level]] = "low", 1,rounded[[#This Row],[social_interaction_level]] = "medium", 2,rounded[[#This Row],[social_interaction_level]] = "high", 3)</f>
        <v>2</v>
      </c>
      <c r="O884">
        <f t="shared" si="13"/>
        <v>22</v>
      </c>
      <c r="P884" t="str" cm="1">
        <f t="array" ref="P884">_xlfn.SWITCH(rounded[[#This Row],[depression_label]], 0, "Not Depressed", 1, "Depressed")</f>
        <v>Not Depressed</v>
      </c>
      <c r="Q884" s="45" t="str" cm="1">
        <f t="array" ref="Q884">_xlfn.SWITCH(rounded[[#This Row],[gender]], "male", "Male", "female", "Female")</f>
        <v>Female</v>
      </c>
    </row>
    <row r="885" spans="1:17" x14ac:dyDescent="0.35">
      <c r="A885">
        <v>16</v>
      </c>
      <c r="B885" t="s">
        <v>13</v>
      </c>
      <c r="C885" s="4">
        <v>2</v>
      </c>
      <c r="D885" t="s">
        <v>14</v>
      </c>
      <c r="E885" s="4">
        <v>8.1999999999999993</v>
      </c>
      <c r="F885" s="4">
        <v>1</v>
      </c>
      <c r="G885">
        <v>3.15</v>
      </c>
      <c r="H885">
        <v>0.9</v>
      </c>
      <c r="I885" t="s">
        <v>19</v>
      </c>
      <c r="J885">
        <v>9</v>
      </c>
      <c r="K885">
        <v>7</v>
      </c>
      <c r="L885">
        <v>10</v>
      </c>
      <c r="M885">
        <v>0</v>
      </c>
      <c r="N885">
        <f>_xlfn.IFS(rounded[[#This Row],[social_interaction_level]] = "low", 1,rounded[[#This Row],[social_interaction_level]] = "medium", 2,rounded[[#This Row],[social_interaction_level]] = "high", 3)</f>
        <v>2</v>
      </c>
      <c r="O885">
        <f t="shared" si="13"/>
        <v>26</v>
      </c>
      <c r="P885" t="str" cm="1">
        <f t="array" ref="P885">_xlfn.SWITCH(rounded[[#This Row],[depression_label]], 0, "Not Depressed", 1, "Depressed")</f>
        <v>Not Depressed</v>
      </c>
      <c r="Q885" s="45" t="str" cm="1">
        <f t="array" ref="Q885">_xlfn.SWITCH(rounded[[#This Row],[gender]], "male", "Male", "female", "Female")</f>
        <v>Male</v>
      </c>
    </row>
    <row r="886" spans="1:17" x14ac:dyDescent="0.35">
      <c r="A886">
        <v>19</v>
      </c>
      <c r="B886" t="s">
        <v>13</v>
      </c>
      <c r="C886" s="4">
        <v>2.5</v>
      </c>
      <c r="D886" t="s">
        <v>17</v>
      </c>
      <c r="E886" s="4">
        <v>7.1</v>
      </c>
      <c r="F886" s="4">
        <v>1.9</v>
      </c>
      <c r="G886">
        <v>2.35</v>
      </c>
      <c r="H886">
        <v>1.1000000000000001</v>
      </c>
      <c r="I886" t="s">
        <v>15</v>
      </c>
      <c r="J886">
        <v>4</v>
      </c>
      <c r="K886">
        <v>4</v>
      </c>
      <c r="L886">
        <v>8</v>
      </c>
      <c r="M886">
        <v>0</v>
      </c>
      <c r="N886">
        <f>_xlfn.IFS(rounded[[#This Row],[social_interaction_level]] = "low", 1,rounded[[#This Row],[social_interaction_level]] = "medium", 2,rounded[[#This Row],[social_interaction_level]] = "high", 3)</f>
        <v>1</v>
      </c>
      <c r="O886">
        <f t="shared" si="13"/>
        <v>16</v>
      </c>
      <c r="P886" t="str" cm="1">
        <f t="array" ref="P886">_xlfn.SWITCH(rounded[[#This Row],[depression_label]], 0, "Not Depressed", 1, "Depressed")</f>
        <v>Not Depressed</v>
      </c>
      <c r="Q886" s="45" t="str" cm="1">
        <f t="array" ref="Q886">_xlfn.SWITCH(rounded[[#This Row],[gender]], "male", "Male", "female", "Female")</f>
        <v>Male</v>
      </c>
    </row>
    <row r="887" spans="1:17" x14ac:dyDescent="0.35">
      <c r="A887">
        <v>16</v>
      </c>
      <c r="B887" t="s">
        <v>16</v>
      </c>
      <c r="C887" s="4">
        <v>7.7</v>
      </c>
      <c r="D887" t="s">
        <v>14</v>
      </c>
      <c r="E887" s="4">
        <v>4.7</v>
      </c>
      <c r="F887" s="4">
        <v>2.9</v>
      </c>
      <c r="G887">
        <v>2.17</v>
      </c>
      <c r="H887">
        <v>1.2</v>
      </c>
      <c r="I887" t="s">
        <v>19</v>
      </c>
      <c r="J887">
        <v>5</v>
      </c>
      <c r="K887">
        <v>7</v>
      </c>
      <c r="L887">
        <v>6</v>
      </c>
      <c r="M887">
        <v>0</v>
      </c>
      <c r="N887">
        <f>_xlfn.IFS(rounded[[#This Row],[social_interaction_level]] = "low", 1,rounded[[#This Row],[social_interaction_level]] = "medium", 2,rounded[[#This Row],[social_interaction_level]] = "high", 3)</f>
        <v>2</v>
      </c>
      <c r="O887">
        <f t="shared" si="13"/>
        <v>18</v>
      </c>
      <c r="P887" t="str" cm="1">
        <f t="array" ref="P887">_xlfn.SWITCH(rounded[[#This Row],[depression_label]], 0, "Not Depressed", 1, "Depressed")</f>
        <v>Not Depressed</v>
      </c>
      <c r="Q887" s="45" t="str" cm="1">
        <f t="array" ref="Q887">_xlfn.SWITCH(rounded[[#This Row],[gender]], "male", "Male", "female", "Female")</f>
        <v>Female</v>
      </c>
    </row>
    <row r="888" spans="1:17" x14ac:dyDescent="0.35">
      <c r="A888">
        <v>19</v>
      </c>
      <c r="B888" t="s">
        <v>16</v>
      </c>
      <c r="C888" s="4">
        <v>3.9</v>
      </c>
      <c r="D888" t="s">
        <v>20</v>
      </c>
      <c r="E888" s="4">
        <v>7.9</v>
      </c>
      <c r="F888" s="4">
        <v>2.1</v>
      </c>
      <c r="G888">
        <v>3.52</v>
      </c>
      <c r="H888">
        <v>0.6</v>
      </c>
      <c r="I888" t="s">
        <v>18</v>
      </c>
      <c r="J888">
        <v>3</v>
      </c>
      <c r="K888">
        <v>2</v>
      </c>
      <c r="L888">
        <v>4</v>
      </c>
      <c r="M888">
        <v>0</v>
      </c>
      <c r="N888">
        <f>_xlfn.IFS(rounded[[#This Row],[social_interaction_level]] = "low", 1,rounded[[#This Row],[social_interaction_level]] = "medium", 2,rounded[[#This Row],[social_interaction_level]] = "high", 3)</f>
        <v>3</v>
      </c>
      <c r="O888">
        <f t="shared" si="13"/>
        <v>9</v>
      </c>
      <c r="P888" t="str" cm="1">
        <f t="array" ref="P888">_xlfn.SWITCH(rounded[[#This Row],[depression_label]], 0, "Not Depressed", 1, "Depressed")</f>
        <v>Not Depressed</v>
      </c>
      <c r="Q888" s="45" t="str" cm="1">
        <f t="array" ref="Q888">_xlfn.SWITCH(rounded[[#This Row],[gender]], "male", "Male", "female", "Female")</f>
        <v>Female</v>
      </c>
    </row>
    <row r="889" spans="1:17" x14ac:dyDescent="0.35">
      <c r="A889">
        <v>16</v>
      </c>
      <c r="B889" t="s">
        <v>16</v>
      </c>
      <c r="C889" s="4">
        <v>3.5</v>
      </c>
      <c r="D889" t="s">
        <v>17</v>
      </c>
      <c r="E889" s="4">
        <v>6.1</v>
      </c>
      <c r="F889" s="4">
        <v>2.7</v>
      </c>
      <c r="G889">
        <v>3.83</v>
      </c>
      <c r="H889">
        <v>0.1</v>
      </c>
      <c r="I889" t="s">
        <v>19</v>
      </c>
      <c r="J889">
        <v>4</v>
      </c>
      <c r="K889">
        <v>5</v>
      </c>
      <c r="L889">
        <v>10</v>
      </c>
      <c r="M889">
        <v>0</v>
      </c>
      <c r="N889">
        <f>_xlfn.IFS(rounded[[#This Row],[social_interaction_level]] = "low", 1,rounded[[#This Row],[social_interaction_level]] = "medium", 2,rounded[[#This Row],[social_interaction_level]] = "high", 3)</f>
        <v>2</v>
      </c>
      <c r="O889">
        <f t="shared" si="13"/>
        <v>19</v>
      </c>
      <c r="P889" t="str" cm="1">
        <f t="array" ref="P889">_xlfn.SWITCH(rounded[[#This Row],[depression_label]], 0, "Not Depressed", 1, "Depressed")</f>
        <v>Not Depressed</v>
      </c>
      <c r="Q889" s="45" t="str" cm="1">
        <f t="array" ref="Q889">_xlfn.SWITCH(rounded[[#This Row],[gender]], "male", "Male", "female", "Female")</f>
        <v>Female</v>
      </c>
    </row>
    <row r="890" spans="1:17" x14ac:dyDescent="0.35">
      <c r="A890">
        <v>17</v>
      </c>
      <c r="B890" t="s">
        <v>13</v>
      </c>
      <c r="C890" s="4">
        <v>4.9000000000000004</v>
      </c>
      <c r="D890" t="s">
        <v>14</v>
      </c>
      <c r="E890" s="4">
        <v>6.4</v>
      </c>
      <c r="F890" s="4">
        <v>2.5</v>
      </c>
      <c r="G890">
        <v>2.64</v>
      </c>
      <c r="H890">
        <v>1.9</v>
      </c>
      <c r="I890" t="s">
        <v>19</v>
      </c>
      <c r="J890">
        <v>6</v>
      </c>
      <c r="K890">
        <v>2</v>
      </c>
      <c r="L890">
        <v>10</v>
      </c>
      <c r="M890">
        <v>0</v>
      </c>
      <c r="N890">
        <f>_xlfn.IFS(rounded[[#This Row],[social_interaction_level]] = "low", 1,rounded[[#This Row],[social_interaction_level]] = "medium", 2,rounded[[#This Row],[social_interaction_level]] = "high", 3)</f>
        <v>2</v>
      </c>
      <c r="O890">
        <f t="shared" si="13"/>
        <v>18</v>
      </c>
      <c r="P890" t="str" cm="1">
        <f t="array" ref="P890">_xlfn.SWITCH(rounded[[#This Row],[depression_label]], 0, "Not Depressed", 1, "Depressed")</f>
        <v>Not Depressed</v>
      </c>
      <c r="Q890" s="45" t="str" cm="1">
        <f t="array" ref="Q890">_xlfn.SWITCH(rounded[[#This Row],[gender]], "male", "Male", "female", "Female")</f>
        <v>Male</v>
      </c>
    </row>
    <row r="891" spans="1:17" x14ac:dyDescent="0.35">
      <c r="A891">
        <v>14</v>
      </c>
      <c r="B891" t="s">
        <v>13</v>
      </c>
      <c r="C891" s="4">
        <v>3.4</v>
      </c>
      <c r="D891" t="s">
        <v>20</v>
      </c>
      <c r="E891" s="4">
        <v>5.8</v>
      </c>
      <c r="F891" s="4">
        <v>3</v>
      </c>
      <c r="G891">
        <v>3.32</v>
      </c>
      <c r="H891">
        <v>0.6</v>
      </c>
      <c r="I891" t="s">
        <v>19</v>
      </c>
      <c r="J891">
        <v>1</v>
      </c>
      <c r="K891">
        <v>4</v>
      </c>
      <c r="L891">
        <v>4</v>
      </c>
      <c r="M891">
        <v>0</v>
      </c>
      <c r="N891">
        <f>_xlfn.IFS(rounded[[#This Row],[social_interaction_level]] = "low", 1,rounded[[#This Row],[social_interaction_level]] = "medium", 2,rounded[[#This Row],[social_interaction_level]] = "high", 3)</f>
        <v>2</v>
      </c>
      <c r="O891">
        <f t="shared" si="13"/>
        <v>9</v>
      </c>
      <c r="P891" t="str" cm="1">
        <f t="array" ref="P891">_xlfn.SWITCH(rounded[[#This Row],[depression_label]], 0, "Not Depressed", 1, "Depressed")</f>
        <v>Not Depressed</v>
      </c>
      <c r="Q891" s="45" t="str" cm="1">
        <f t="array" ref="Q891">_xlfn.SWITCH(rounded[[#This Row],[gender]], "male", "Male", "female", "Female")</f>
        <v>Male</v>
      </c>
    </row>
    <row r="892" spans="1:17" x14ac:dyDescent="0.35">
      <c r="A892">
        <v>18</v>
      </c>
      <c r="B892" t="s">
        <v>13</v>
      </c>
      <c r="C892" s="4">
        <v>2.5</v>
      </c>
      <c r="D892" t="s">
        <v>17</v>
      </c>
      <c r="E892" s="4">
        <v>4.5999999999999996</v>
      </c>
      <c r="F892" s="4">
        <v>2.2000000000000002</v>
      </c>
      <c r="G892">
        <v>2.0499999999999998</v>
      </c>
      <c r="H892">
        <v>0.7</v>
      </c>
      <c r="I892" t="s">
        <v>19</v>
      </c>
      <c r="J892">
        <v>9</v>
      </c>
      <c r="K892">
        <v>5</v>
      </c>
      <c r="L892">
        <v>10</v>
      </c>
      <c r="M892">
        <v>0</v>
      </c>
      <c r="N892">
        <f>_xlfn.IFS(rounded[[#This Row],[social_interaction_level]] = "low", 1,rounded[[#This Row],[social_interaction_level]] = "medium", 2,rounded[[#This Row],[social_interaction_level]] = "high", 3)</f>
        <v>2</v>
      </c>
      <c r="O892">
        <f t="shared" si="13"/>
        <v>24</v>
      </c>
      <c r="P892" t="str" cm="1">
        <f t="array" ref="P892">_xlfn.SWITCH(rounded[[#This Row],[depression_label]], 0, "Not Depressed", 1, "Depressed")</f>
        <v>Not Depressed</v>
      </c>
      <c r="Q892" s="45" t="str" cm="1">
        <f t="array" ref="Q892">_xlfn.SWITCH(rounded[[#This Row],[gender]], "male", "Male", "female", "Female")</f>
        <v>Male</v>
      </c>
    </row>
    <row r="893" spans="1:17" x14ac:dyDescent="0.35">
      <c r="A893">
        <v>16</v>
      </c>
      <c r="B893" t="s">
        <v>13</v>
      </c>
      <c r="C893" s="4">
        <v>4.8</v>
      </c>
      <c r="D893" t="s">
        <v>20</v>
      </c>
      <c r="E893" s="4">
        <v>5.4</v>
      </c>
      <c r="F893" s="4">
        <v>0.9</v>
      </c>
      <c r="G893">
        <v>2.06</v>
      </c>
      <c r="H893">
        <v>1.9</v>
      </c>
      <c r="I893" t="s">
        <v>15</v>
      </c>
      <c r="J893">
        <v>8</v>
      </c>
      <c r="K893">
        <v>3</v>
      </c>
      <c r="L893">
        <v>2</v>
      </c>
      <c r="M893">
        <v>0</v>
      </c>
      <c r="N893">
        <f>_xlfn.IFS(rounded[[#This Row],[social_interaction_level]] = "low", 1,rounded[[#This Row],[social_interaction_level]] = "medium", 2,rounded[[#This Row],[social_interaction_level]] = "high", 3)</f>
        <v>1</v>
      </c>
      <c r="O893">
        <f t="shared" si="13"/>
        <v>13</v>
      </c>
      <c r="P893" t="str" cm="1">
        <f t="array" ref="P893">_xlfn.SWITCH(rounded[[#This Row],[depression_label]], 0, "Not Depressed", 1, "Depressed")</f>
        <v>Not Depressed</v>
      </c>
      <c r="Q893" s="45" t="str" cm="1">
        <f t="array" ref="Q893">_xlfn.SWITCH(rounded[[#This Row],[gender]], "male", "Male", "female", "Female")</f>
        <v>Male</v>
      </c>
    </row>
    <row r="894" spans="1:17" x14ac:dyDescent="0.35">
      <c r="A894">
        <v>19</v>
      </c>
      <c r="B894" t="s">
        <v>13</v>
      </c>
      <c r="C894" s="4">
        <v>7.4</v>
      </c>
      <c r="D894" t="s">
        <v>17</v>
      </c>
      <c r="E894" s="4">
        <v>6.1</v>
      </c>
      <c r="F894" s="4">
        <v>1.1000000000000001</v>
      </c>
      <c r="G894">
        <v>2.15</v>
      </c>
      <c r="H894">
        <v>1.6</v>
      </c>
      <c r="I894" t="s">
        <v>18</v>
      </c>
      <c r="J894">
        <v>4</v>
      </c>
      <c r="K894">
        <v>4</v>
      </c>
      <c r="L894">
        <v>1</v>
      </c>
      <c r="M894">
        <v>0</v>
      </c>
      <c r="N894">
        <f>_xlfn.IFS(rounded[[#This Row],[social_interaction_level]] = "low", 1,rounded[[#This Row],[social_interaction_level]] = "medium", 2,rounded[[#This Row],[social_interaction_level]] = "high", 3)</f>
        <v>3</v>
      </c>
      <c r="O894">
        <f t="shared" si="13"/>
        <v>9</v>
      </c>
      <c r="P894" t="str" cm="1">
        <f t="array" ref="P894">_xlfn.SWITCH(rounded[[#This Row],[depression_label]], 0, "Not Depressed", 1, "Depressed")</f>
        <v>Not Depressed</v>
      </c>
      <c r="Q894" s="45" t="str" cm="1">
        <f t="array" ref="Q894">_xlfn.SWITCH(rounded[[#This Row],[gender]], "male", "Male", "female", "Female")</f>
        <v>Male</v>
      </c>
    </row>
    <row r="895" spans="1:17" x14ac:dyDescent="0.35">
      <c r="A895">
        <v>16</v>
      </c>
      <c r="B895" t="s">
        <v>16</v>
      </c>
      <c r="C895" s="4">
        <v>2.1</v>
      </c>
      <c r="D895" t="s">
        <v>14</v>
      </c>
      <c r="E895" s="4">
        <v>4.8</v>
      </c>
      <c r="F895" s="4">
        <v>1.3</v>
      </c>
      <c r="G895">
        <v>2.29</v>
      </c>
      <c r="H895">
        <v>1.8</v>
      </c>
      <c r="I895" t="s">
        <v>18</v>
      </c>
      <c r="J895">
        <v>6</v>
      </c>
      <c r="K895">
        <v>9</v>
      </c>
      <c r="L895">
        <v>2</v>
      </c>
      <c r="M895">
        <v>0</v>
      </c>
      <c r="N895">
        <f>_xlfn.IFS(rounded[[#This Row],[social_interaction_level]] = "low", 1,rounded[[#This Row],[social_interaction_level]] = "medium", 2,rounded[[#This Row],[social_interaction_level]] = "high", 3)</f>
        <v>3</v>
      </c>
      <c r="O895">
        <f t="shared" si="13"/>
        <v>17</v>
      </c>
      <c r="P895" t="str" cm="1">
        <f t="array" ref="P895">_xlfn.SWITCH(rounded[[#This Row],[depression_label]], 0, "Not Depressed", 1, "Depressed")</f>
        <v>Not Depressed</v>
      </c>
      <c r="Q895" s="45" t="str" cm="1">
        <f t="array" ref="Q895">_xlfn.SWITCH(rounded[[#This Row],[gender]], "male", "Male", "female", "Female")</f>
        <v>Female</v>
      </c>
    </row>
    <row r="896" spans="1:17" x14ac:dyDescent="0.35">
      <c r="A896">
        <v>19</v>
      </c>
      <c r="B896" t="s">
        <v>13</v>
      </c>
      <c r="C896" s="4">
        <v>2.1</v>
      </c>
      <c r="D896" t="s">
        <v>17</v>
      </c>
      <c r="E896" s="4">
        <v>6.8</v>
      </c>
      <c r="F896" s="4">
        <v>2.2000000000000002</v>
      </c>
      <c r="G896">
        <v>2.33</v>
      </c>
      <c r="H896">
        <v>1</v>
      </c>
      <c r="I896" t="s">
        <v>19</v>
      </c>
      <c r="J896">
        <v>7</v>
      </c>
      <c r="K896">
        <v>6</v>
      </c>
      <c r="L896">
        <v>7</v>
      </c>
      <c r="M896">
        <v>0</v>
      </c>
      <c r="N896">
        <f>_xlfn.IFS(rounded[[#This Row],[social_interaction_level]] = "low", 1,rounded[[#This Row],[social_interaction_level]] = "medium", 2,rounded[[#This Row],[social_interaction_level]] = "high", 3)</f>
        <v>2</v>
      </c>
      <c r="O896">
        <f t="shared" si="13"/>
        <v>20</v>
      </c>
      <c r="P896" t="str" cm="1">
        <f t="array" ref="P896">_xlfn.SWITCH(rounded[[#This Row],[depression_label]], 0, "Not Depressed", 1, "Depressed")</f>
        <v>Not Depressed</v>
      </c>
      <c r="Q896" s="45" t="str" cm="1">
        <f t="array" ref="Q896">_xlfn.SWITCH(rounded[[#This Row],[gender]], "male", "Male", "female", "Female")</f>
        <v>Male</v>
      </c>
    </row>
    <row r="897" spans="1:17" x14ac:dyDescent="0.35">
      <c r="A897">
        <v>16</v>
      </c>
      <c r="B897" t="s">
        <v>13</v>
      </c>
      <c r="C897" s="4">
        <v>1.8</v>
      </c>
      <c r="D897" t="s">
        <v>14</v>
      </c>
      <c r="E897" s="4">
        <v>4.9000000000000004</v>
      </c>
      <c r="F897" s="4">
        <v>2.2999999999999998</v>
      </c>
      <c r="G897">
        <v>2.67</v>
      </c>
      <c r="H897">
        <v>1.4</v>
      </c>
      <c r="I897" t="s">
        <v>19</v>
      </c>
      <c r="J897">
        <v>3</v>
      </c>
      <c r="K897">
        <v>8</v>
      </c>
      <c r="L897">
        <v>6</v>
      </c>
      <c r="M897">
        <v>0</v>
      </c>
      <c r="N897">
        <f>_xlfn.IFS(rounded[[#This Row],[social_interaction_level]] = "low", 1,rounded[[#This Row],[social_interaction_level]] = "medium", 2,rounded[[#This Row],[social_interaction_level]] = "high", 3)</f>
        <v>2</v>
      </c>
      <c r="O897">
        <f t="shared" si="13"/>
        <v>17</v>
      </c>
      <c r="P897" t="str" cm="1">
        <f t="array" ref="P897">_xlfn.SWITCH(rounded[[#This Row],[depression_label]], 0, "Not Depressed", 1, "Depressed")</f>
        <v>Not Depressed</v>
      </c>
      <c r="Q897" s="45" t="str" cm="1">
        <f t="array" ref="Q897">_xlfn.SWITCH(rounded[[#This Row],[gender]], "male", "Male", "female", "Female")</f>
        <v>Male</v>
      </c>
    </row>
    <row r="898" spans="1:17" x14ac:dyDescent="0.35">
      <c r="A898">
        <v>18</v>
      </c>
      <c r="B898" t="s">
        <v>13</v>
      </c>
      <c r="C898" s="4">
        <v>6.8</v>
      </c>
      <c r="D898" t="s">
        <v>20</v>
      </c>
      <c r="E898" s="4">
        <v>5.4</v>
      </c>
      <c r="F898" s="4">
        <v>0.9</v>
      </c>
      <c r="G898">
        <v>2.64</v>
      </c>
      <c r="H898">
        <v>0.3</v>
      </c>
      <c r="I898" t="s">
        <v>18</v>
      </c>
      <c r="J898">
        <v>9</v>
      </c>
      <c r="K898">
        <v>1</v>
      </c>
      <c r="L898">
        <v>8</v>
      </c>
      <c r="M898">
        <v>0</v>
      </c>
      <c r="N898">
        <f>_xlfn.IFS(rounded[[#This Row],[social_interaction_level]] = "low", 1,rounded[[#This Row],[social_interaction_level]] = "medium", 2,rounded[[#This Row],[social_interaction_level]] = "high", 3)</f>
        <v>3</v>
      </c>
      <c r="O898">
        <f t="shared" ref="O898:O961" si="14">SUM(J898+K898+L898)</f>
        <v>18</v>
      </c>
      <c r="P898" t="str" cm="1">
        <f t="array" ref="P898">_xlfn.SWITCH(rounded[[#This Row],[depression_label]], 0, "Not Depressed", 1, "Depressed")</f>
        <v>Not Depressed</v>
      </c>
      <c r="Q898" s="45" t="str" cm="1">
        <f t="array" ref="Q898">_xlfn.SWITCH(rounded[[#This Row],[gender]], "male", "Male", "female", "Female")</f>
        <v>Male</v>
      </c>
    </row>
    <row r="899" spans="1:17" x14ac:dyDescent="0.35">
      <c r="A899">
        <v>18</v>
      </c>
      <c r="B899" t="s">
        <v>13</v>
      </c>
      <c r="C899" s="4">
        <v>7.9</v>
      </c>
      <c r="D899" t="s">
        <v>14</v>
      </c>
      <c r="E899" s="4">
        <v>4.0999999999999996</v>
      </c>
      <c r="F899" s="4">
        <v>2.8</v>
      </c>
      <c r="G899">
        <v>3.25</v>
      </c>
      <c r="H899">
        <v>1.4</v>
      </c>
      <c r="I899" t="s">
        <v>18</v>
      </c>
      <c r="J899">
        <v>4</v>
      </c>
      <c r="K899">
        <v>2</v>
      </c>
      <c r="L899">
        <v>4</v>
      </c>
      <c r="M899">
        <v>0</v>
      </c>
      <c r="N899">
        <f>_xlfn.IFS(rounded[[#This Row],[social_interaction_level]] = "low", 1,rounded[[#This Row],[social_interaction_level]] = "medium", 2,rounded[[#This Row],[social_interaction_level]] = "high", 3)</f>
        <v>3</v>
      </c>
      <c r="O899">
        <f t="shared" si="14"/>
        <v>10</v>
      </c>
      <c r="P899" t="str" cm="1">
        <f t="array" ref="P899">_xlfn.SWITCH(rounded[[#This Row],[depression_label]], 0, "Not Depressed", 1, "Depressed")</f>
        <v>Not Depressed</v>
      </c>
      <c r="Q899" s="45" t="str" cm="1">
        <f t="array" ref="Q899">_xlfn.SWITCH(rounded[[#This Row],[gender]], "male", "Male", "female", "Female")</f>
        <v>Male</v>
      </c>
    </row>
    <row r="900" spans="1:17" x14ac:dyDescent="0.35">
      <c r="A900">
        <v>15</v>
      </c>
      <c r="B900" t="s">
        <v>13</v>
      </c>
      <c r="C900" s="4">
        <v>7.6</v>
      </c>
      <c r="D900" t="s">
        <v>20</v>
      </c>
      <c r="E900" s="4">
        <v>6</v>
      </c>
      <c r="F900" s="4">
        <v>2.9</v>
      </c>
      <c r="G900">
        <v>2.72</v>
      </c>
      <c r="H900">
        <v>1.8</v>
      </c>
      <c r="I900" t="s">
        <v>18</v>
      </c>
      <c r="J900">
        <v>1</v>
      </c>
      <c r="K900">
        <v>9</v>
      </c>
      <c r="L900">
        <v>6</v>
      </c>
      <c r="M900">
        <v>0</v>
      </c>
      <c r="N900">
        <f>_xlfn.IFS(rounded[[#This Row],[social_interaction_level]] = "low", 1,rounded[[#This Row],[social_interaction_level]] = "medium", 2,rounded[[#This Row],[social_interaction_level]] = "high", 3)</f>
        <v>3</v>
      </c>
      <c r="O900">
        <f t="shared" si="14"/>
        <v>16</v>
      </c>
      <c r="P900" t="str" cm="1">
        <f t="array" ref="P900">_xlfn.SWITCH(rounded[[#This Row],[depression_label]], 0, "Not Depressed", 1, "Depressed")</f>
        <v>Not Depressed</v>
      </c>
      <c r="Q900" s="45" t="str" cm="1">
        <f t="array" ref="Q900">_xlfn.SWITCH(rounded[[#This Row],[gender]], "male", "Male", "female", "Female")</f>
        <v>Male</v>
      </c>
    </row>
    <row r="901" spans="1:17" x14ac:dyDescent="0.35">
      <c r="A901">
        <v>18</v>
      </c>
      <c r="B901" t="s">
        <v>13</v>
      </c>
      <c r="C901" s="4">
        <v>6.1</v>
      </c>
      <c r="D901" t="s">
        <v>17</v>
      </c>
      <c r="E901" s="4">
        <v>5.8</v>
      </c>
      <c r="F901" s="4">
        <v>1.8</v>
      </c>
      <c r="G901">
        <v>3.59</v>
      </c>
      <c r="H901">
        <v>0.2</v>
      </c>
      <c r="I901" t="s">
        <v>15</v>
      </c>
      <c r="J901">
        <v>2</v>
      </c>
      <c r="K901">
        <v>5</v>
      </c>
      <c r="L901">
        <v>4</v>
      </c>
      <c r="M901">
        <v>0</v>
      </c>
      <c r="N901">
        <f>_xlfn.IFS(rounded[[#This Row],[social_interaction_level]] = "low", 1,rounded[[#This Row],[social_interaction_level]] = "medium", 2,rounded[[#This Row],[social_interaction_level]] = "high", 3)</f>
        <v>1</v>
      </c>
      <c r="O901">
        <f t="shared" si="14"/>
        <v>11</v>
      </c>
      <c r="P901" t="str" cm="1">
        <f t="array" ref="P901">_xlfn.SWITCH(rounded[[#This Row],[depression_label]], 0, "Not Depressed", 1, "Depressed")</f>
        <v>Not Depressed</v>
      </c>
      <c r="Q901" s="45" t="str" cm="1">
        <f t="array" ref="Q901">_xlfn.SWITCH(rounded[[#This Row],[gender]], "male", "Male", "female", "Female")</f>
        <v>Male</v>
      </c>
    </row>
    <row r="902" spans="1:17" x14ac:dyDescent="0.35">
      <c r="A902">
        <v>16</v>
      </c>
      <c r="B902" t="s">
        <v>16</v>
      </c>
      <c r="C902" s="4">
        <v>1.4</v>
      </c>
      <c r="D902" t="s">
        <v>20</v>
      </c>
      <c r="E902" s="4">
        <v>5.7</v>
      </c>
      <c r="F902" s="4">
        <v>1.8</v>
      </c>
      <c r="G902">
        <v>2</v>
      </c>
      <c r="H902">
        <v>1.4</v>
      </c>
      <c r="I902" t="s">
        <v>15</v>
      </c>
      <c r="J902">
        <v>4</v>
      </c>
      <c r="K902">
        <v>8</v>
      </c>
      <c r="L902">
        <v>7</v>
      </c>
      <c r="M902">
        <v>0</v>
      </c>
      <c r="N902">
        <f>_xlfn.IFS(rounded[[#This Row],[social_interaction_level]] = "low", 1,rounded[[#This Row],[social_interaction_level]] = "medium", 2,rounded[[#This Row],[social_interaction_level]] = "high", 3)</f>
        <v>1</v>
      </c>
      <c r="O902">
        <f t="shared" si="14"/>
        <v>19</v>
      </c>
      <c r="P902" t="str" cm="1">
        <f t="array" ref="P902">_xlfn.SWITCH(rounded[[#This Row],[depression_label]], 0, "Not Depressed", 1, "Depressed")</f>
        <v>Not Depressed</v>
      </c>
      <c r="Q902" s="45" t="str" cm="1">
        <f t="array" ref="Q902">_xlfn.SWITCH(rounded[[#This Row],[gender]], "male", "Male", "female", "Female")</f>
        <v>Female</v>
      </c>
    </row>
    <row r="903" spans="1:17" x14ac:dyDescent="0.35">
      <c r="A903">
        <v>19</v>
      </c>
      <c r="B903" t="s">
        <v>13</v>
      </c>
      <c r="C903" s="4">
        <v>6.3</v>
      </c>
      <c r="D903" t="s">
        <v>17</v>
      </c>
      <c r="E903" s="4">
        <v>5.7</v>
      </c>
      <c r="F903" s="4">
        <v>1.4</v>
      </c>
      <c r="G903">
        <v>2.0299999999999998</v>
      </c>
      <c r="H903">
        <v>1.1000000000000001</v>
      </c>
      <c r="I903" t="s">
        <v>15</v>
      </c>
      <c r="J903">
        <v>4</v>
      </c>
      <c r="K903">
        <v>6</v>
      </c>
      <c r="L903">
        <v>1</v>
      </c>
      <c r="M903">
        <v>0</v>
      </c>
      <c r="N903">
        <f>_xlfn.IFS(rounded[[#This Row],[social_interaction_level]] = "low", 1,rounded[[#This Row],[social_interaction_level]] = "medium", 2,rounded[[#This Row],[social_interaction_level]] = "high", 3)</f>
        <v>1</v>
      </c>
      <c r="O903">
        <f t="shared" si="14"/>
        <v>11</v>
      </c>
      <c r="P903" t="str" cm="1">
        <f t="array" ref="P903">_xlfn.SWITCH(rounded[[#This Row],[depression_label]], 0, "Not Depressed", 1, "Depressed")</f>
        <v>Not Depressed</v>
      </c>
      <c r="Q903" s="45" t="str" cm="1">
        <f t="array" ref="Q903">_xlfn.SWITCH(rounded[[#This Row],[gender]], "male", "Male", "female", "Female")</f>
        <v>Male</v>
      </c>
    </row>
    <row r="904" spans="1:17" x14ac:dyDescent="0.35">
      <c r="A904">
        <v>13</v>
      </c>
      <c r="B904" t="s">
        <v>13</v>
      </c>
      <c r="C904" s="4">
        <v>1.3</v>
      </c>
      <c r="D904" t="s">
        <v>14</v>
      </c>
      <c r="E904" s="4">
        <v>5.7</v>
      </c>
      <c r="F904" s="4">
        <v>1.1000000000000001</v>
      </c>
      <c r="G904">
        <v>3.74</v>
      </c>
      <c r="H904">
        <v>1.3</v>
      </c>
      <c r="I904" t="s">
        <v>15</v>
      </c>
      <c r="J904">
        <v>9</v>
      </c>
      <c r="K904">
        <v>5</v>
      </c>
      <c r="L904">
        <v>10</v>
      </c>
      <c r="M904">
        <v>0</v>
      </c>
      <c r="N904">
        <f>_xlfn.IFS(rounded[[#This Row],[social_interaction_level]] = "low", 1,rounded[[#This Row],[social_interaction_level]] = "medium", 2,rounded[[#This Row],[social_interaction_level]] = "high", 3)</f>
        <v>1</v>
      </c>
      <c r="O904">
        <f t="shared" si="14"/>
        <v>24</v>
      </c>
      <c r="P904" t="str" cm="1">
        <f t="array" ref="P904">_xlfn.SWITCH(rounded[[#This Row],[depression_label]], 0, "Not Depressed", 1, "Depressed")</f>
        <v>Not Depressed</v>
      </c>
      <c r="Q904" s="45" t="str" cm="1">
        <f t="array" ref="Q904">_xlfn.SWITCH(rounded[[#This Row],[gender]], "male", "Male", "female", "Female")</f>
        <v>Male</v>
      </c>
    </row>
    <row r="905" spans="1:17" x14ac:dyDescent="0.35">
      <c r="A905">
        <v>17</v>
      </c>
      <c r="B905" t="s">
        <v>13</v>
      </c>
      <c r="C905" s="4">
        <v>5.0999999999999996</v>
      </c>
      <c r="D905" t="s">
        <v>17</v>
      </c>
      <c r="E905" s="4">
        <v>5.0999999999999996</v>
      </c>
      <c r="F905" s="4">
        <v>2.9</v>
      </c>
      <c r="G905">
        <v>3.99</v>
      </c>
      <c r="H905">
        <v>0.6</v>
      </c>
      <c r="I905" t="s">
        <v>19</v>
      </c>
      <c r="J905">
        <v>4</v>
      </c>
      <c r="K905">
        <v>2</v>
      </c>
      <c r="L905">
        <v>9</v>
      </c>
      <c r="M905">
        <v>0</v>
      </c>
      <c r="N905">
        <f>_xlfn.IFS(rounded[[#This Row],[social_interaction_level]] = "low", 1,rounded[[#This Row],[social_interaction_level]] = "medium", 2,rounded[[#This Row],[social_interaction_level]] = "high", 3)</f>
        <v>2</v>
      </c>
      <c r="O905">
        <f t="shared" si="14"/>
        <v>15</v>
      </c>
      <c r="P905" t="str" cm="1">
        <f t="array" ref="P905">_xlfn.SWITCH(rounded[[#This Row],[depression_label]], 0, "Not Depressed", 1, "Depressed")</f>
        <v>Not Depressed</v>
      </c>
      <c r="Q905" s="45" t="str" cm="1">
        <f t="array" ref="Q905">_xlfn.SWITCH(rounded[[#This Row],[gender]], "male", "Male", "female", "Female")</f>
        <v>Male</v>
      </c>
    </row>
    <row r="906" spans="1:17" x14ac:dyDescent="0.35">
      <c r="A906">
        <v>19</v>
      </c>
      <c r="B906" t="s">
        <v>16</v>
      </c>
      <c r="C906" s="4">
        <v>4</v>
      </c>
      <c r="D906" t="s">
        <v>14</v>
      </c>
      <c r="E906" s="4">
        <v>8.1999999999999993</v>
      </c>
      <c r="F906" s="4">
        <v>1.4</v>
      </c>
      <c r="G906">
        <v>3.63</v>
      </c>
      <c r="H906">
        <v>1.3</v>
      </c>
      <c r="I906" t="s">
        <v>15</v>
      </c>
      <c r="J906">
        <v>5</v>
      </c>
      <c r="K906">
        <v>3</v>
      </c>
      <c r="L906">
        <v>10</v>
      </c>
      <c r="M906">
        <v>0</v>
      </c>
      <c r="N906">
        <f>_xlfn.IFS(rounded[[#This Row],[social_interaction_level]] = "low", 1,rounded[[#This Row],[social_interaction_level]] = "medium", 2,rounded[[#This Row],[social_interaction_level]] = "high", 3)</f>
        <v>1</v>
      </c>
      <c r="O906">
        <f t="shared" si="14"/>
        <v>18</v>
      </c>
      <c r="P906" t="str" cm="1">
        <f t="array" ref="P906">_xlfn.SWITCH(rounded[[#This Row],[depression_label]], 0, "Not Depressed", 1, "Depressed")</f>
        <v>Not Depressed</v>
      </c>
      <c r="Q906" s="45" t="str" cm="1">
        <f t="array" ref="Q906">_xlfn.SWITCH(rounded[[#This Row],[gender]], "male", "Male", "female", "Female")</f>
        <v>Female</v>
      </c>
    </row>
    <row r="907" spans="1:17" x14ac:dyDescent="0.35">
      <c r="A907">
        <v>17</v>
      </c>
      <c r="B907" t="s">
        <v>16</v>
      </c>
      <c r="C907" s="4">
        <v>7.6</v>
      </c>
      <c r="D907" t="s">
        <v>14</v>
      </c>
      <c r="E907" s="4">
        <v>7.3</v>
      </c>
      <c r="F907" s="4">
        <v>1.9</v>
      </c>
      <c r="G907">
        <v>3.05</v>
      </c>
      <c r="H907">
        <v>1.1000000000000001</v>
      </c>
      <c r="I907" t="s">
        <v>19</v>
      </c>
      <c r="J907">
        <v>10</v>
      </c>
      <c r="K907">
        <v>8</v>
      </c>
      <c r="L907">
        <v>1</v>
      </c>
      <c r="M907">
        <v>0</v>
      </c>
      <c r="N907">
        <f>_xlfn.IFS(rounded[[#This Row],[social_interaction_level]] = "low", 1,rounded[[#This Row],[social_interaction_level]] = "medium", 2,rounded[[#This Row],[social_interaction_level]] = "high", 3)</f>
        <v>2</v>
      </c>
      <c r="O907">
        <f t="shared" si="14"/>
        <v>19</v>
      </c>
      <c r="P907" t="str" cm="1">
        <f t="array" ref="P907">_xlfn.SWITCH(rounded[[#This Row],[depression_label]], 0, "Not Depressed", 1, "Depressed")</f>
        <v>Not Depressed</v>
      </c>
      <c r="Q907" s="45" t="str" cm="1">
        <f t="array" ref="Q907">_xlfn.SWITCH(rounded[[#This Row],[gender]], "male", "Male", "female", "Female")</f>
        <v>Female</v>
      </c>
    </row>
    <row r="908" spans="1:17" x14ac:dyDescent="0.35">
      <c r="A908">
        <v>19</v>
      </c>
      <c r="B908" t="s">
        <v>13</v>
      </c>
      <c r="C908" s="4">
        <v>3.8</v>
      </c>
      <c r="D908" t="s">
        <v>17</v>
      </c>
      <c r="E908" s="4">
        <v>7.4</v>
      </c>
      <c r="F908" s="4">
        <v>2.6</v>
      </c>
      <c r="G908">
        <v>2.25</v>
      </c>
      <c r="H908">
        <v>0.5</v>
      </c>
      <c r="I908" t="s">
        <v>15</v>
      </c>
      <c r="J908">
        <v>7</v>
      </c>
      <c r="K908">
        <v>4</v>
      </c>
      <c r="L908">
        <v>8</v>
      </c>
      <c r="M908">
        <v>0</v>
      </c>
      <c r="N908">
        <f>_xlfn.IFS(rounded[[#This Row],[social_interaction_level]] = "low", 1,rounded[[#This Row],[social_interaction_level]] = "medium", 2,rounded[[#This Row],[social_interaction_level]] = "high", 3)</f>
        <v>1</v>
      </c>
      <c r="O908">
        <f t="shared" si="14"/>
        <v>19</v>
      </c>
      <c r="P908" t="str" cm="1">
        <f t="array" ref="P908">_xlfn.SWITCH(rounded[[#This Row],[depression_label]], 0, "Not Depressed", 1, "Depressed")</f>
        <v>Not Depressed</v>
      </c>
      <c r="Q908" s="45" t="str" cm="1">
        <f t="array" ref="Q908">_xlfn.SWITCH(rounded[[#This Row],[gender]], "male", "Male", "female", "Female")</f>
        <v>Male</v>
      </c>
    </row>
    <row r="909" spans="1:17" x14ac:dyDescent="0.35">
      <c r="A909">
        <v>17</v>
      </c>
      <c r="B909" t="s">
        <v>13</v>
      </c>
      <c r="C909" s="4">
        <v>5.2</v>
      </c>
      <c r="D909" t="s">
        <v>14</v>
      </c>
      <c r="E909" s="4">
        <v>4.7</v>
      </c>
      <c r="F909" s="4">
        <v>2.4</v>
      </c>
      <c r="G909">
        <v>2.77</v>
      </c>
      <c r="H909">
        <v>1.3</v>
      </c>
      <c r="I909" t="s">
        <v>18</v>
      </c>
      <c r="J909">
        <v>9</v>
      </c>
      <c r="K909">
        <v>6</v>
      </c>
      <c r="L909">
        <v>9</v>
      </c>
      <c r="M909">
        <v>0</v>
      </c>
      <c r="N909">
        <f>_xlfn.IFS(rounded[[#This Row],[social_interaction_level]] = "low", 1,rounded[[#This Row],[social_interaction_level]] = "medium", 2,rounded[[#This Row],[social_interaction_level]] = "high", 3)</f>
        <v>3</v>
      </c>
      <c r="O909">
        <f t="shared" si="14"/>
        <v>24</v>
      </c>
      <c r="P909" t="str" cm="1">
        <f t="array" ref="P909">_xlfn.SWITCH(rounded[[#This Row],[depression_label]], 0, "Not Depressed", 1, "Depressed")</f>
        <v>Not Depressed</v>
      </c>
      <c r="Q909" s="45" t="str" cm="1">
        <f t="array" ref="Q909">_xlfn.SWITCH(rounded[[#This Row],[gender]], "male", "Male", "female", "Female")</f>
        <v>Male</v>
      </c>
    </row>
    <row r="910" spans="1:17" x14ac:dyDescent="0.35">
      <c r="A910">
        <v>13</v>
      </c>
      <c r="B910" t="s">
        <v>13</v>
      </c>
      <c r="C910" s="4">
        <v>5</v>
      </c>
      <c r="D910" t="s">
        <v>20</v>
      </c>
      <c r="E910" s="4">
        <v>8.6</v>
      </c>
      <c r="F910" s="4">
        <v>0.7</v>
      </c>
      <c r="G910">
        <v>2.99</v>
      </c>
      <c r="H910">
        <v>1.5</v>
      </c>
      <c r="I910" t="s">
        <v>15</v>
      </c>
      <c r="J910">
        <v>3</v>
      </c>
      <c r="K910">
        <v>8</v>
      </c>
      <c r="L910">
        <v>3</v>
      </c>
      <c r="M910">
        <v>0</v>
      </c>
      <c r="N910">
        <f>_xlfn.IFS(rounded[[#This Row],[social_interaction_level]] = "low", 1,rounded[[#This Row],[social_interaction_level]] = "medium", 2,rounded[[#This Row],[social_interaction_level]] = "high", 3)</f>
        <v>1</v>
      </c>
      <c r="O910">
        <f t="shared" si="14"/>
        <v>14</v>
      </c>
      <c r="P910" t="str" cm="1">
        <f t="array" ref="P910">_xlfn.SWITCH(rounded[[#This Row],[depression_label]], 0, "Not Depressed", 1, "Depressed")</f>
        <v>Not Depressed</v>
      </c>
      <c r="Q910" s="45" t="str" cm="1">
        <f t="array" ref="Q910">_xlfn.SWITCH(rounded[[#This Row],[gender]], "male", "Male", "female", "Female")</f>
        <v>Male</v>
      </c>
    </row>
    <row r="911" spans="1:17" x14ac:dyDescent="0.35">
      <c r="A911">
        <v>19</v>
      </c>
      <c r="B911" t="s">
        <v>16</v>
      </c>
      <c r="C911" s="4">
        <v>7.4</v>
      </c>
      <c r="D911" t="s">
        <v>20</v>
      </c>
      <c r="E911" s="4">
        <v>8.3000000000000007</v>
      </c>
      <c r="F911" s="4">
        <v>1.4</v>
      </c>
      <c r="G911">
        <v>3.64</v>
      </c>
      <c r="H911">
        <v>0.4</v>
      </c>
      <c r="I911" t="s">
        <v>15</v>
      </c>
      <c r="J911">
        <v>6</v>
      </c>
      <c r="K911">
        <v>9</v>
      </c>
      <c r="L911">
        <v>6</v>
      </c>
      <c r="M911">
        <v>0</v>
      </c>
      <c r="N911">
        <f>_xlfn.IFS(rounded[[#This Row],[social_interaction_level]] = "low", 1,rounded[[#This Row],[social_interaction_level]] = "medium", 2,rounded[[#This Row],[social_interaction_level]] = "high", 3)</f>
        <v>1</v>
      </c>
      <c r="O911">
        <f t="shared" si="14"/>
        <v>21</v>
      </c>
      <c r="P911" t="str" cm="1">
        <f t="array" ref="P911">_xlfn.SWITCH(rounded[[#This Row],[depression_label]], 0, "Not Depressed", 1, "Depressed")</f>
        <v>Not Depressed</v>
      </c>
      <c r="Q911" s="45" t="str" cm="1">
        <f t="array" ref="Q911">_xlfn.SWITCH(rounded[[#This Row],[gender]], "male", "Male", "female", "Female")</f>
        <v>Female</v>
      </c>
    </row>
    <row r="912" spans="1:17" x14ac:dyDescent="0.35">
      <c r="A912">
        <v>16</v>
      </c>
      <c r="B912" t="s">
        <v>13</v>
      </c>
      <c r="C912" s="4">
        <v>6.1</v>
      </c>
      <c r="D912" t="s">
        <v>17</v>
      </c>
      <c r="E912" s="4">
        <v>6.8</v>
      </c>
      <c r="F912" s="4">
        <v>0.8</v>
      </c>
      <c r="G912">
        <v>2.61</v>
      </c>
      <c r="H912">
        <v>0.9</v>
      </c>
      <c r="I912" t="s">
        <v>15</v>
      </c>
      <c r="J912">
        <v>10</v>
      </c>
      <c r="K912">
        <v>10</v>
      </c>
      <c r="L912">
        <v>4</v>
      </c>
      <c r="M912">
        <v>0</v>
      </c>
      <c r="N912">
        <f>_xlfn.IFS(rounded[[#This Row],[social_interaction_level]] = "low", 1,rounded[[#This Row],[social_interaction_level]] = "medium", 2,rounded[[#This Row],[social_interaction_level]] = "high", 3)</f>
        <v>1</v>
      </c>
      <c r="O912">
        <f t="shared" si="14"/>
        <v>24</v>
      </c>
      <c r="P912" t="str" cm="1">
        <f t="array" ref="P912">_xlfn.SWITCH(rounded[[#This Row],[depression_label]], 0, "Not Depressed", 1, "Depressed")</f>
        <v>Not Depressed</v>
      </c>
      <c r="Q912" s="45" t="str" cm="1">
        <f t="array" ref="Q912">_xlfn.SWITCH(rounded[[#This Row],[gender]], "male", "Male", "female", "Female")</f>
        <v>Male</v>
      </c>
    </row>
    <row r="913" spans="1:17" x14ac:dyDescent="0.35">
      <c r="A913">
        <v>13</v>
      </c>
      <c r="B913" t="s">
        <v>16</v>
      </c>
      <c r="C913" s="4">
        <v>7.4</v>
      </c>
      <c r="D913" t="s">
        <v>20</v>
      </c>
      <c r="E913" s="4">
        <v>6.7</v>
      </c>
      <c r="F913" s="4">
        <v>2</v>
      </c>
      <c r="G913">
        <v>2.42</v>
      </c>
      <c r="H913">
        <v>1.5</v>
      </c>
      <c r="I913" t="s">
        <v>15</v>
      </c>
      <c r="J913">
        <v>10</v>
      </c>
      <c r="K913">
        <v>1</v>
      </c>
      <c r="L913">
        <v>1</v>
      </c>
      <c r="M913">
        <v>0</v>
      </c>
      <c r="N913">
        <f>_xlfn.IFS(rounded[[#This Row],[social_interaction_level]] = "low", 1,rounded[[#This Row],[social_interaction_level]] = "medium", 2,rounded[[#This Row],[social_interaction_level]] = "high", 3)</f>
        <v>1</v>
      </c>
      <c r="O913">
        <f t="shared" si="14"/>
        <v>12</v>
      </c>
      <c r="P913" t="str" cm="1">
        <f t="array" ref="P913">_xlfn.SWITCH(rounded[[#This Row],[depression_label]], 0, "Not Depressed", 1, "Depressed")</f>
        <v>Not Depressed</v>
      </c>
      <c r="Q913" s="45" t="str" cm="1">
        <f t="array" ref="Q913">_xlfn.SWITCH(rounded[[#This Row],[gender]], "male", "Male", "female", "Female")</f>
        <v>Female</v>
      </c>
    </row>
    <row r="914" spans="1:17" x14ac:dyDescent="0.35">
      <c r="A914">
        <v>16</v>
      </c>
      <c r="B914" t="s">
        <v>13</v>
      </c>
      <c r="C914" s="4">
        <v>3.5</v>
      </c>
      <c r="D914" t="s">
        <v>20</v>
      </c>
      <c r="E914" s="4">
        <v>4.4000000000000004</v>
      </c>
      <c r="F914" s="4">
        <v>1.5</v>
      </c>
      <c r="G914">
        <v>2.7</v>
      </c>
      <c r="H914">
        <v>0.8</v>
      </c>
      <c r="I914" t="s">
        <v>18</v>
      </c>
      <c r="J914">
        <v>2</v>
      </c>
      <c r="K914">
        <v>10</v>
      </c>
      <c r="L914">
        <v>8</v>
      </c>
      <c r="M914">
        <v>0</v>
      </c>
      <c r="N914">
        <f>_xlfn.IFS(rounded[[#This Row],[social_interaction_level]] = "low", 1,rounded[[#This Row],[social_interaction_level]] = "medium", 2,rounded[[#This Row],[social_interaction_level]] = "high", 3)</f>
        <v>3</v>
      </c>
      <c r="O914">
        <f t="shared" si="14"/>
        <v>20</v>
      </c>
      <c r="P914" t="str" cm="1">
        <f t="array" ref="P914">_xlfn.SWITCH(rounded[[#This Row],[depression_label]], 0, "Not Depressed", 1, "Depressed")</f>
        <v>Not Depressed</v>
      </c>
      <c r="Q914" s="45" t="str" cm="1">
        <f t="array" ref="Q914">_xlfn.SWITCH(rounded[[#This Row],[gender]], "male", "Male", "female", "Female")</f>
        <v>Male</v>
      </c>
    </row>
    <row r="915" spans="1:17" x14ac:dyDescent="0.35">
      <c r="A915">
        <v>14</v>
      </c>
      <c r="B915" t="s">
        <v>13</v>
      </c>
      <c r="C915" s="4">
        <v>5.0999999999999996</v>
      </c>
      <c r="D915" t="s">
        <v>14</v>
      </c>
      <c r="E915" s="4">
        <v>6.3</v>
      </c>
      <c r="F915" s="4">
        <v>1.6</v>
      </c>
      <c r="G915">
        <v>2.7</v>
      </c>
      <c r="H915">
        <v>0.1</v>
      </c>
      <c r="I915" t="s">
        <v>19</v>
      </c>
      <c r="J915">
        <v>7</v>
      </c>
      <c r="K915">
        <v>2</v>
      </c>
      <c r="L915">
        <v>7</v>
      </c>
      <c r="M915">
        <v>0</v>
      </c>
      <c r="N915">
        <f>_xlfn.IFS(rounded[[#This Row],[social_interaction_level]] = "low", 1,rounded[[#This Row],[social_interaction_level]] = "medium", 2,rounded[[#This Row],[social_interaction_level]] = "high", 3)</f>
        <v>2</v>
      </c>
      <c r="O915">
        <f t="shared" si="14"/>
        <v>16</v>
      </c>
      <c r="P915" t="str" cm="1">
        <f t="array" ref="P915">_xlfn.SWITCH(rounded[[#This Row],[depression_label]], 0, "Not Depressed", 1, "Depressed")</f>
        <v>Not Depressed</v>
      </c>
      <c r="Q915" s="45" t="str" cm="1">
        <f t="array" ref="Q915">_xlfn.SWITCH(rounded[[#This Row],[gender]], "male", "Male", "female", "Female")</f>
        <v>Male</v>
      </c>
    </row>
    <row r="916" spans="1:17" x14ac:dyDescent="0.35">
      <c r="A916">
        <v>17</v>
      </c>
      <c r="B916" t="s">
        <v>13</v>
      </c>
      <c r="C916" s="4">
        <v>4.8</v>
      </c>
      <c r="D916" t="s">
        <v>17</v>
      </c>
      <c r="E916" s="4">
        <v>6</v>
      </c>
      <c r="F916" s="4">
        <v>2.1</v>
      </c>
      <c r="G916">
        <v>2.39</v>
      </c>
      <c r="H916">
        <v>1.8</v>
      </c>
      <c r="I916" t="s">
        <v>18</v>
      </c>
      <c r="J916">
        <v>5</v>
      </c>
      <c r="K916">
        <v>8</v>
      </c>
      <c r="L916">
        <v>7</v>
      </c>
      <c r="M916">
        <v>0</v>
      </c>
      <c r="N916">
        <f>_xlfn.IFS(rounded[[#This Row],[social_interaction_level]] = "low", 1,rounded[[#This Row],[social_interaction_level]] = "medium", 2,rounded[[#This Row],[social_interaction_level]] = "high", 3)</f>
        <v>3</v>
      </c>
      <c r="O916">
        <f t="shared" si="14"/>
        <v>20</v>
      </c>
      <c r="P916" t="str" cm="1">
        <f t="array" ref="P916">_xlfn.SWITCH(rounded[[#This Row],[depression_label]], 0, "Not Depressed", 1, "Depressed")</f>
        <v>Not Depressed</v>
      </c>
      <c r="Q916" s="45" t="str" cm="1">
        <f t="array" ref="Q916">_xlfn.SWITCH(rounded[[#This Row],[gender]], "male", "Male", "female", "Female")</f>
        <v>Male</v>
      </c>
    </row>
    <row r="917" spans="1:17" x14ac:dyDescent="0.35">
      <c r="A917">
        <v>14</v>
      </c>
      <c r="B917" t="s">
        <v>13</v>
      </c>
      <c r="C917" s="4">
        <v>7.5</v>
      </c>
      <c r="D917" t="s">
        <v>20</v>
      </c>
      <c r="E917" s="4">
        <v>7.6</v>
      </c>
      <c r="F917" s="4">
        <v>2.8</v>
      </c>
      <c r="G917">
        <v>3.1</v>
      </c>
      <c r="H917">
        <v>0.7</v>
      </c>
      <c r="I917" t="s">
        <v>19</v>
      </c>
      <c r="J917">
        <v>3</v>
      </c>
      <c r="K917">
        <v>1</v>
      </c>
      <c r="L917">
        <v>2</v>
      </c>
      <c r="M917">
        <v>0</v>
      </c>
      <c r="N917">
        <f>_xlfn.IFS(rounded[[#This Row],[social_interaction_level]] = "low", 1,rounded[[#This Row],[social_interaction_level]] = "medium", 2,rounded[[#This Row],[social_interaction_level]] = "high", 3)</f>
        <v>2</v>
      </c>
      <c r="O917">
        <f t="shared" si="14"/>
        <v>6</v>
      </c>
      <c r="P917" t="str" cm="1">
        <f t="array" ref="P917">_xlfn.SWITCH(rounded[[#This Row],[depression_label]], 0, "Not Depressed", 1, "Depressed")</f>
        <v>Not Depressed</v>
      </c>
      <c r="Q917" s="45" t="str" cm="1">
        <f t="array" ref="Q917">_xlfn.SWITCH(rounded[[#This Row],[gender]], "male", "Male", "female", "Female")</f>
        <v>Male</v>
      </c>
    </row>
    <row r="918" spans="1:17" x14ac:dyDescent="0.35">
      <c r="A918">
        <v>19</v>
      </c>
      <c r="B918" t="s">
        <v>13</v>
      </c>
      <c r="C918" s="4">
        <v>4.7</v>
      </c>
      <c r="D918" t="s">
        <v>20</v>
      </c>
      <c r="E918" s="4">
        <v>8.6999999999999993</v>
      </c>
      <c r="F918" s="4">
        <v>2</v>
      </c>
      <c r="G918">
        <v>3.23</v>
      </c>
      <c r="H918">
        <v>1.7</v>
      </c>
      <c r="I918" t="s">
        <v>15</v>
      </c>
      <c r="J918">
        <v>4</v>
      </c>
      <c r="K918">
        <v>10</v>
      </c>
      <c r="L918">
        <v>3</v>
      </c>
      <c r="M918">
        <v>0</v>
      </c>
      <c r="N918">
        <f>_xlfn.IFS(rounded[[#This Row],[social_interaction_level]] = "low", 1,rounded[[#This Row],[social_interaction_level]] = "medium", 2,rounded[[#This Row],[social_interaction_level]] = "high", 3)</f>
        <v>1</v>
      </c>
      <c r="O918">
        <f t="shared" si="14"/>
        <v>17</v>
      </c>
      <c r="P918" t="str" cm="1">
        <f t="array" ref="P918">_xlfn.SWITCH(rounded[[#This Row],[depression_label]], 0, "Not Depressed", 1, "Depressed")</f>
        <v>Not Depressed</v>
      </c>
      <c r="Q918" s="45" t="str" cm="1">
        <f t="array" ref="Q918">_xlfn.SWITCH(rounded[[#This Row],[gender]], "male", "Male", "female", "Female")</f>
        <v>Male</v>
      </c>
    </row>
    <row r="919" spans="1:17" x14ac:dyDescent="0.35">
      <c r="A919">
        <v>19</v>
      </c>
      <c r="B919" t="s">
        <v>13</v>
      </c>
      <c r="C919" s="4">
        <v>3.3</v>
      </c>
      <c r="D919" t="s">
        <v>17</v>
      </c>
      <c r="E919" s="4">
        <v>8.5</v>
      </c>
      <c r="F919" s="4">
        <v>1.2</v>
      </c>
      <c r="G919">
        <v>3.29</v>
      </c>
      <c r="H919">
        <v>0.5</v>
      </c>
      <c r="I919" t="s">
        <v>19</v>
      </c>
      <c r="J919">
        <v>6</v>
      </c>
      <c r="K919">
        <v>2</v>
      </c>
      <c r="L919">
        <v>9</v>
      </c>
      <c r="M919">
        <v>0</v>
      </c>
      <c r="N919">
        <f>_xlfn.IFS(rounded[[#This Row],[social_interaction_level]] = "low", 1,rounded[[#This Row],[social_interaction_level]] = "medium", 2,rounded[[#This Row],[social_interaction_level]] = "high", 3)</f>
        <v>2</v>
      </c>
      <c r="O919">
        <f t="shared" si="14"/>
        <v>17</v>
      </c>
      <c r="P919" t="str" cm="1">
        <f t="array" ref="P919">_xlfn.SWITCH(rounded[[#This Row],[depression_label]], 0, "Not Depressed", 1, "Depressed")</f>
        <v>Not Depressed</v>
      </c>
      <c r="Q919" s="45" t="str" cm="1">
        <f t="array" ref="Q919">_xlfn.SWITCH(rounded[[#This Row],[gender]], "male", "Male", "female", "Female")</f>
        <v>Male</v>
      </c>
    </row>
    <row r="920" spans="1:17" x14ac:dyDescent="0.35">
      <c r="A920">
        <v>16</v>
      </c>
      <c r="B920" t="s">
        <v>16</v>
      </c>
      <c r="C920" s="4">
        <v>6.9</v>
      </c>
      <c r="D920" t="s">
        <v>14</v>
      </c>
      <c r="E920" s="4">
        <v>5.8</v>
      </c>
      <c r="F920" s="4">
        <v>0.6</v>
      </c>
      <c r="G920">
        <v>3.65</v>
      </c>
      <c r="H920">
        <v>0.5</v>
      </c>
      <c r="I920" t="s">
        <v>18</v>
      </c>
      <c r="J920">
        <v>10</v>
      </c>
      <c r="K920">
        <v>8</v>
      </c>
      <c r="L920">
        <v>10</v>
      </c>
      <c r="M920">
        <v>1</v>
      </c>
      <c r="N920">
        <f>_xlfn.IFS(rounded[[#This Row],[social_interaction_level]] = "low", 1,rounded[[#This Row],[social_interaction_level]] = "medium", 2,rounded[[#This Row],[social_interaction_level]] = "high", 3)</f>
        <v>3</v>
      </c>
      <c r="O920">
        <f t="shared" si="14"/>
        <v>28</v>
      </c>
      <c r="P920" t="str" cm="1">
        <f t="array" ref="P920">_xlfn.SWITCH(rounded[[#This Row],[depression_label]], 0, "Not Depressed", 1, "Depressed")</f>
        <v>Depressed</v>
      </c>
      <c r="Q920" s="45" t="str" cm="1">
        <f t="array" ref="Q920">_xlfn.SWITCH(rounded[[#This Row],[gender]], "male", "Male", "female", "Female")</f>
        <v>Female</v>
      </c>
    </row>
    <row r="921" spans="1:17" x14ac:dyDescent="0.35">
      <c r="A921">
        <v>15</v>
      </c>
      <c r="B921" t="s">
        <v>13</v>
      </c>
      <c r="C921" s="4">
        <v>5.4</v>
      </c>
      <c r="D921" t="s">
        <v>14</v>
      </c>
      <c r="E921" s="4">
        <v>4.2</v>
      </c>
      <c r="F921" s="4">
        <v>1.5</v>
      </c>
      <c r="G921">
        <v>2.72</v>
      </c>
      <c r="H921">
        <v>0.4</v>
      </c>
      <c r="I921" t="s">
        <v>18</v>
      </c>
      <c r="J921">
        <v>1</v>
      </c>
      <c r="K921">
        <v>6</v>
      </c>
      <c r="L921">
        <v>5</v>
      </c>
      <c r="M921">
        <v>0</v>
      </c>
      <c r="N921">
        <f>_xlfn.IFS(rounded[[#This Row],[social_interaction_level]] = "low", 1,rounded[[#This Row],[social_interaction_level]] = "medium", 2,rounded[[#This Row],[social_interaction_level]] = "high", 3)</f>
        <v>3</v>
      </c>
      <c r="O921">
        <f t="shared" si="14"/>
        <v>12</v>
      </c>
      <c r="P921" t="str" cm="1">
        <f t="array" ref="P921">_xlfn.SWITCH(rounded[[#This Row],[depression_label]], 0, "Not Depressed", 1, "Depressed")</f>
        <v>Not Depressed</v>
      </c>
      <c r="Q921" s="45" t="str" cm="1">
        <f t="array" ref="Q921">_xlfn.SWITCH(rounded[[#This Row],[gender]], "male", "Male", "female", "Female")</f>
        <v>Male</v>
      </c>
    </row>
    <row r="922" spans="1:17" x14ac:dyDescent="0.35">
      <c r="A922">
        <v>13</v>
      </c>
      <c r="B922" t="s">
        <v>16</v>
      </c>
      <c r="C922" s="4">
        <v>5.2</v>
      </c>
      <c r="D922" t="s">
        <v>20</v>
      </c>
      <c r="E922" s="4">
        <v>7.7</v>
      </c>
      <c r="F922" s="4">
        <v>2.7</v>
      </c>
      <c r="G922">
        <v>2.84</v>
      </c>
      <c r="H922">
        <v>0.8</v>
      </c>
      <c r="I922" t="s">
        <v>18</v>
      </c>
      <c r="J922">
        <v>2</v>
      </c>
      <c r="K922">
        <v>5</v>
      </c>
      <c r="L922">
        <v>5</v>
      </c>
      <c r="M922">
        <v>0</v>
      </c>
      <c r="N922">
        <f>_xlfn.IFS(rounded[[#This Row],[social_interaction_level]] = "low", 1,rounded[[#This Row],[social_interaction_level]] = "medium", 2,rounded[[#This Row],[social_interaction_level]] = "high", 3)</f>
        <v>3</v>
      </c>
      <c r="O922">
        <f t="shared" si="14"/>
        <v>12</v>
      </c>
      <c r="P922" t="str" cm="1">
        <f t="array" ref="P922">_xlfn.SWITCH(rounded[[#This Row],[depression_label]], 0, "Not Depressed", 1, "Depressed")</f>
        <v>Not Depressed</v>
      </c>
      <c r="Q922" s="45" t="str" cm="1">
        <f t="array" ref="Q922">_xlfn.SWITCH(rounded[[#This Row],[gender]], "male", "Male", "female", "Female")</f>
        <v>Female</v>
      </c>
    </row>
    <row r="923" spans="1:17" x14ac:dyDescent="0.35">
      <c r="A923">
        <v>15</v>
      </c>
      <c r="B923" t="s">
        <v>16</v>
      </c>
      <c r="C923" s="4">
        <v>3.3</v>
      </c>
      <c r="D923" t="s">
        <v>14</v>
      </c>
      <c r="E923" s="4">
        <v>6.5</v>
      </c>
      <c r="F923" s="4">
        <v>1.3</v>
      </c>
      <c r="G923">
        <v>2.44</v>
      </c>
      <c r="H923">
        <v>0.3</v>
      </c>
      <c r="I923" t="s">
        <v>19</v>
      </c>
      <c r="J923">
        <v>7</v>
      </c>
      <c r="K923">
        <v>6</v>
      </c>
      <c r="L923">
        <v>7</v>
      </c>
      <c r="M923">
        <v>0</v>
      </c>
      <c r="N923">
        <f>_xlfn.IFS(rounded[[#This Row],[social_interaction_level]] = "low", 1,rounded[[#This Row],[social_interaction_level]] = "medium", 2,rounded[[#This Row],[social_interaction_level]] = "high", 3)</f>
        <v>2</v>
      </c>
      <c r="O923">
        <f t="shared" si="14"/>
        <v>20</v>
      </c>
      <c r="P923" t="str" cm="1">
        <f t="array" ref="P923">_xlfn.SWITCH(rounded[[#This Row],[depression_label]], 0, "Not Depressed", 1, "Depressed")</f>
        <v>Not Depressed</v>
      </c>
      <c r="Q923" s="45" t="str" cm="1">
        <f t="array" ref="Q923">_xlfn.SWITCH(rounded[[#This Row],[gender]], "male", "Male", "female", "Female")</f>
        <v>Female</v>
      </c>
    </row>
    <row r="924" spans="1:17" x14ac:dyDescent="0.35">
      <c r="A924">
        <v>15</v>
      </c>
      <c r="B924" t="s">
        <v>16</v>
      </c>
      <c r="C924" s="4">
        <v>7.3</v>
      </c>
      <c r="D924" t="s">
        <v>20</v>
      </c>
      <c r="E924" s="4">
        <v>7.6</v>
      </c>
      <c r="F924" s="4">
        <v>1.9</v>
      </c>
      <c r="G924">
        <v>2.31</v>
      </c>
      <c r="H924">
        <v>0.8</v>
      </c>
      <c r="I924" t="s">
        <v>19</v>
      </c>
      <c r="J924">
        <v>8</v>
      </c>
      <c r="K924">
        <v>7</v>
      </c>
      <c r="L924">
        <v>5</v>
      </c>
      <c r="M924">
        <v>0</v>
      </c>
      <c r="N924">
        <f>_xlfn.IFS(rounded[[#This Row],[social_interaction_level]] = "low", 1,rounded[[#This Row],[social_interaction_level]] = "medium", 2,rounded[[#This Row],[social_interaction_level]] = "high", 3)</f>
        <v>2</v>
      </c>
      <c r="O924">
        <f t="shared" si="14"/>
        <v>20</v>
      </c>
      <c r="P924" t="str" cm="1">
        <f t="array" ref="P924">_xlfn.SWITCH(rounded[[#This Row],[depression_label]], 0, "Not Depressed", 1, "Depressed")</f>
        <v>Not Depressed</v>
      </c>
      <c r="Q924" s="45" t="str" cm="1">
        <f t="array" ref="Q924">_xlfn.SWITCH(rounded[[#This Row],[gender]], "male", "Male", "female", "Female")</f>
        <v>Female</v>
      </c>
    </row>
    <row r="925" spans="1:17" x14ac:dyDescent="0.35">
      <c r="A925">
        <v>17</v>
      </c>
      <c r="B925" t="s">
        <v>13</v>
      </c>
      <c r="C925" s="4">
        <v>7.6</v>
      </c>
      <c r="D925" t="s">
        <v>20</v>
      </c>
      <c r="E925" s="4">
        <v>4.9000000000000004</v>
      </c>
      <c r="F925" s="4">
        <v>0.6</v>
      </c>
      <c r="G925">
        <v>2.56</v>
      </c>
      <c r="H925">
        <v>0.8</v>
      </c>
      <c r="I925" t="s">
        <v>15</v>
      </c>
      <c r="J925">
        <v>4</v>
      </c>
      <c r="K925">
        <v>1</v>
      </c>
      <c r="L925">
        <v>9</v>
      </c>
      <c r="M925">
        <v>0</v>
      </c>
      <c r="N925">
        <f>_xlfn.IFS(rounded[[#This Row],[social_interaction_level]] = "low", 1,rounded[[#This Row],[social_interaction_level]] = "medium", 2,rounded[[#This Row],[social_interaction_level]] = "high", 3)</f>
        <v>1</v>
      </c>
      <c r="O925">
        <f t="shared" si="14"/>
        <v>14</v>
      </c>
      <c r="P925" t="str" cm="1">
        <f t="array" ref="P925">_xlfn.SWITCH(rounded[[#This Row],[depression_label]], 0, "Not Depressed", 1, "Depressed")</f>
        <v>Not Depressed</v>
      </c>
      <c r="Q925" s="45" t="str" cm="1">
        <f t="array" ref="Q925">_xlfn.SWITCH(rounded[[#This Row],[gender]], "male", "Male", "female", "Female")</f>
        <v>Male</v>
      </c>
    </row>
    <row r="926" spans="1:17" x14ac:dyDescent="0.35">
      <c r="A926">
        <v>17</v>
      </c>
      <c r="B926" t="s">
        <v>13</v>
      </c>
      <c r="C926" s="4">
        <v>1.7</v>
      </c>
      <c r="D926" t="s">
        <v>20</v>
      </c>
      <c r="E926" s="4">
        <v>7</v>
      </c>
      <c r="F926" s="4">
        <v>0.8</v>
      </c>
      <c r="G926">
        <v>3.39</v>
      </c>
      <c r="H926">
        <v>0.9</v>
      </c>
      <c r="I926" t="s">
        <v>18</v>
      </c>
      <c r="J926">
        <v>7</v>
      </c>
      <c r="K926">
        <v>7</v>
      </c>
      <c r="L926">
        <v>10</v>
      </c>
      <c r="M926">
        <v>0</v>
      </c>
      <c r="N926">
        <f>_xlfn.IFS(rounded[[#This Row],[social_interaction_level]] = "low", 1,rounded[[#This Row],[social_interaction_level]] = "medium", 2,rounded[[#This Row],[social_interaction_level]] = "high", 3)</f>
        <v>3</v>
      </c>
      <c r="O926">
        <f t="shared" si="14"/>
        <v>24</v>
      </c>
      <c r="P926" t="str" cm="1">
        <f t="array" ref="P926">_xlfn.SWITCH(rounded[[#This Row],[depression_label]], 0, "Not Depressed", 1, "Depressed")</f>
        <v>Not Depressed</v>
      </c>
      <c r="Q926" s="45" t="str" cm="1">
        <f t="array" ref="Q926">_xlfn.SWITCH(rounded[[#This Row],[gender]], "male", "Male", "female", "Female")</f>
        <v>Male</v>
      </c>
    </row>
    <row r="927" spans="1:17" x14ac:dyDescent="0.35">
      <c r="A927">
        <v>18</v>
      </c>
      <c r="B927" t="s">
        <v>13</v>
      </c>
      <c r="C927" s="4">
        <v>1.5</v>
      </c>
      <c r="D927" t="s">
        <v>20</v>
      </c>
      <c r="E927" s="4">
        <v>5.6</v>
      </c>
      <c r="F927" s="4">
        <v>2.9</v>
      </c>
      <c r="G927">
        <v>2.57</v>
      </c>
      <c r="H927">
        <v>0.6</v>
      </c>
      <c r="I927" t="s">
        <v>18</v>
      </c>
      <c r="J927">
        <v>5</v>
      </c>
      <c r="K927">
        <v>8</v>
      </c>
      <c r="L927">
        <v>4</v>
      </c>
      <c r="M927">
        <v>0</v>
      </c>
      <c r="N927">
        <f>_xlfn.IFS(rounded[[#This Row],[social_interaction_level]] = "low", 1,rounded[[#This Row],[social_interaction_level]] = "medium", 2,rounded[[#This Row],[social_interaction_level]] = "high", 3)</f>
        <v>3</v>
      </c>
      <c r="O927">
        <f t="shared" si="14"/>
        <v>17</v>
      </c>
      <c r="P927" t="str" cm="1">
        <f t="array" ref="P927">_xlfn.SWITCH(rounded[[#This Row],[depression_label]], 0, "Not Depressed", 1, "Depressed")</f>
        <v>Not Depressed</v>
      </c>
      <c r="Q927" s="45" t="str" cm="1">
        <f t="array" ref="Q927">_xlfn.SWITCH(rounded[[#This Row],[gender]], "male", "Male", "female", "Female")</f>
        <v>Male</v>
      </c>
    </row>
    <row r="928" spans="1:17" x14ac:dyDescent="0.35">
      <c r="A928">
        <v>17</v>
      </c>
      <c r="B928" t="s">
        <v>13</v>
      </c>
      <c r="C928" s="4">
        <v>7.3</v>
      </c>
      <c r="D928" t="s">
        <v>20</v>
      </c>
      <c r="E928" s="4">
        <v>8.5</v>
      </c>
      <c r="F928" s="4">
        <v>1.5</v>
      </c>
      <c r="G928">
        <v>3.54</v>
      </c>
      <c r="H928">
        <v>1.2</v>
      </c>
      <c r="I928" t="s">
        <v>15</v>
      </c>
      <c r="J928">
        <v>3</v>
      </c>
      <c r="K928">
        <v>3</v>
      </c>
      <c r="L928">
        <v>7</v>
      </c>
      <c r="M928">
        <v>0</v>
      </c>
      <c r="N928">
        <f>_xlfn.IFS(rounded[[#This Row],[social_interaction_level]] = "low", 1,rounded[[#This Row],[social_interaction_level]] = "medium", 2,rounded[[#This Row],[social_interaction_level]] = "high", 3)</f>
        <v>1</v>
      </c>
      <c r="O928">
        <f t="shared" si="14"/>
        <v>13</v>
      </c>
      <c r="P928" t="str" cm="1">
        <f t="array" ref="P928">_xlfn.SWITCH(rounded[[#This Row],[depression_label]], 0, "Not Depressed", 1, "Depressed")</f>
        <v>Not Depressed</v>
      </c>
      <c r="Q928" s="45" t="str" cm="1">
        <f t="array" ref="Q928">_xlfn.SWITCH(rounded[[#This Row],[gender]], "male", "Male", "female", "Female")</f>
        <v>Male</v>
      </c>
    </row>
    <row r="929" spans="1:17" x14ac:dyDescent="0.35">
      <c r="A929">
        <v>14</v>
      </c>
      <c r="B929" t="s">
        <v>13</v>
      </c>
      <c r="C929" s="4">
        <v>2.8</v>
      </c>
      <c r="D929" t="s">
        <v>20</v>
      </c>
      <c r="E929" s="4">
        <v>6.2</v>
      </c>
      <c r="F929" s="4">
        <v>1.2</v>
      </c>
      <c r="G929">
        <v>3.21</v>
      </c>
      <c r="H929">
        <v>1</v>
      </c>
      <c r="I929" t="s">
        <v>15</v>
      </c>
      <c r="J929">
        <v>3</v>
      </c>
      <c r="K929">
        <v>10</v>
      </c>
      <c r="L929">
        <v>6</v>
      </c>
      <c r="M929">
        <v>0</v>
      </c>
      <c r="N929">
        <f>_xlfn.IFS(rounded[[#This Row],[social_interaction_level]] = "low", 1,rounded[[#This Row],[social_interaction_level]] = "medium", 2,rounded[[#This Row],[social_interaction_level]] = "high", 3)</f>
        <v>1</v>
      </c>
      <c r="O929">
        <f t="shared" si="14"/>
        <v>19</v>
      </c>
      <c r="P929" t="str" cm="1">
        <f t="array" ref="P929">_xlfn.SWITCH(rounded[[#This Row],[depression_label]], 0, "Not Depressed", 1, "Depressed")</f>
        <v>Not Depressed</v>
      </c>
      <c r="Q929" s="45" t="str" cm="1">
        <f t="array" ref="Q929">_xlfn.SWITCH(rounded[[#This Row],[gender]], "male", "Male", "female", "Female")</f>
        <v>Male</v>
      </c>
    </row>
    <row r="930" spans="1:17" x14ac:dyDescent="0.35">
      <c r="A930">
        <v>15</v>
      </c>
      <c r="B930" t="s">
        <v>13</v>
      </c>
      <c r="C930" s="4">
        <v>1.2</v>
      </c>
      <c r="D930" t="s">
        <v>20</v>
      </c>
      <c r="E930" s="4">
        <v>7.4</v>
      </c>
      <c r="F930" s="4">
        <v>2.7</v>
      </c>
      <c r="G930">
        <v>2.92</v>
      </c>
      <c r="H930">
        <v>1.4</v>
      </c>
      <c r="I930" t="s">
        <v>15</v>
      </c>
      <c r="J930">
        <v>3</v>
      </c>
      <c r="K930">
        <v>7</v>
      </c>
      <c r="L930">
        <v>4</v>
      </c>
      <c r="M930">
        <v>0</v>
      </c>
      <c r="N930">
        <f>_xlfn.IFS(rounded[[#This Row],[social_interaction_level]] = "low", 1,rounded[[#This Row],[social_interaction_level]] = "medium", 2,rounded[[#This Row],[social_interaction_level]] = "high", 3)</f>
        <v>1</v>
      </c>
      <c r="O930">
        <f t="shared" si="14"/>
        <v>14</v>
      </c>
      <c r="P930" t="str" cm="1">
        <f t="array" ref="P930">_xlfn.SWITCH(rounded[[#This Row],[depression_label]], 0, "Not Depressed", 1, "Depressed")</f>
        <v>Not Depressed</v>
      </c>
      <c r="Q930" s="45" t="str" cm="1">
        <f t="array" ref="Q930">_xlfn.SWITCH(rounded[[#This Row],[gender]], "male", "Male", "female", "Female")</f>
        <v>Male</v>
      </c>
    </row>
    <row r="931" spans="1:17" x14ac:dyDescent="0.35">
      <c r="A931">
        <v>16</v>
      </c>
      <c r="B931" t="s">
        <v>16</v>
      </c>
      <c r="C931" s="4">
        <v>2.5</v>
      </c>
      <c r="D931" t="s">
        <v>17</v>
      </c>
      <c r="E931" s="4">
        <v>8.9</v>
      </c>
      <c r="F931" s="4">
        <v>1.2</v>
      </c>
      <c r="G931">
        <v>3.33</v>
      </c>
      <c r="H931">
        <v>1.5</v>
      </c>
      <c r="I931" t="s">
        <v>18</v>
      </c>
      <c r="J931">
        <v>4</v>
      </c>
      <c r="K931">
        <v>4</v>
      </c>
      <c r="L931">
        <v>10</v>
      </c>
      <c r="M931">
        <v>0</v>
      </c>
      <c r="N931">
        <f>_xlfn.IFS(rounded[[#This Row],[social_interaction_level]] = "low", 1,rounded[[#This Row],[social_interaction_level]] = "medium", 2,rounded[[#This Row],[social_interaction_level]] = "high", 3)</f>
        <v>3</v>
      </c>
      <c r="O931">
        <f t="shared" si="14"/>
        <v>18</v>
      </c>
      <c r="P931" t="str" cm="1">
        <f t="array" ref="P931">_xlfn.SWITCH(rounded[[#This Row],[depression_label]], 0, "Not Depressed", 1, "Depressed")</f>
        <v>Not Depressed</v>
      </c>
      <c r="Q931" s="45" t="str" cm="1">
        <f t="array" ref="Q931">_xlfn.SWITCH(rounded[[#This Row],[gender]], "male", "Male", "female", "Female")</f>
        <v>Female</v>
      </c>
    </row>
    <row r="932" spans="1:17" x14ac:dyDescent="0.35">
      <c r="A932">
        <v>17</v>
      </c>
      <c r="B932" t="s">
        <v>13</v>
      </c>
      <c r="C932" s="4">
        <v>4.8</v>
      </c>
      <c r="D932" t="s">
        <v>17</v>
      </c>
      <c r="E932" s="4">
        <v>5.6</v>
      </c>
      <c r="F932" s="4">
        <v>1.6</v>
      </c>
      <c r="G932">
        <v>2</v>
      </c>
      <c r="H932">
        <v>1.3</v>
      </c>
      <c r="I932" t="s">
        <v>15</v>
      </c>
      <c r="J932">
        <v>3</v>
      </c>
      <c r="K932">
        <v>8</v>
      </c>
      <c r="L932">
        <v>4</v>
      </c>
      <c r="M932">
        <v>0</v>
      </c>
      <c r="N932">
        <f>_xlfn.IFS(rounded[[#This Row],[social_interaction_level]] = "low", 1,rounded[[#This Row],[social_interaction_level]] = "medium", 2,rounded[[#This Row],[social_interaction_level]] = "high", 3)</f>
        <v>1</v>
      </c>
      <c r="O932">
        <f t="shared" si="14"/>
        <v>15</v>
      </c>
      <c r="P932" t="str" cm="1">
        <f t="array" ref="P932">_xlfn.SWITCH(rounded[[#This Row],[depression_label]], 0, "Not Depressed", 1, "Depressed")</f>
        <v>Not Depressed</v>
      </c>
      <c r="Q932" s="45" t="str" cm="1">
        <f t="array" ref="Q932">_xlfn.SWITCH(rounded[[#This Row],[gender]], "male", "Male", "female", "Female")</f>
        <v>Male</v>
      </c>
    </row>
    <row r="933" spans="1:17" x14ac:dyDescent="0.35">
      <c r="A933">
        <v>18</v>
      </c>
      <c r="B933" t="s">
        <v>16</v>
      </c>
      <c r="C933" s="4">
        <v>6.4</v>
      </c>
      <c r="D933" t="s">
        <v>20</v>
      </c>
      <c r="E933" s="4">
        <v>4.2</v>
      </c>
      <c r="F933" s="4">
        <v>1.1000000000000001</v>
      </c>
      <c r="G933">
        <v>2.68</v>
      </c>
      <c r="H933">
        <v>0.3</v>
      </c>
      <c r="I933" t="s">
        <v>18</v>
      </c>
      <c r="J933">
        <v>10</v>
      </c>
      <c r="K933">
        <v>9</v>
      </c>
      <c r="L933">
        <v>4</v>
      </c>
      <c r="M933">
        <v>1</v>
      </c>
      <c r="N933">
        <f>_xlfn.IFS(rounded[[#This Row],[social_interaction_level]] = "low", 1,rounded[[#This Row],[social_interaction_level]] = "medium", 2,rounded[[#This Row],[social_interaction_level]] = "high", 3)</f>
        <v>3</v>
      </c>
      <c r="O933">
        <f t="shared" si="14"/>
        <v>23</v>
      </c>
      <c r="P933" t="str" cm="1">
        <f t="array" ref="P933">_xlfn.SWITCH(rounded[[#This Row],[depression_label]], 0, "Not Depressed", 1, "Depressed")</f>
        <v>Depressed</v>
      </c>
      <c r="Q933" s="45" t="str" cm="1">
        <f t="array" ref="Q933">_xlfn.SWITCH(rounded[[#This Row],[gender]], "male", "Male", "female", "Female")</f>
        <v>Female</v>
      </c>
    </row>
    <row r="934" spans="1:17" x14ac:dyDescent="0.35">
      <c r="A934">
        <v>16</v>
      </c>
      <c r="B934" t="s">
        <v>16</v>
      </c>
      <c r="C934" s="4">
        <v>6.6</v>
      </c>
      <c r="D934" t="s">
        <v>14</v>
      </c>
      <c r="E934" s="4">
        <v>6.1</v>
      </c>
      <c r="F934" s="4">
        <v>1.7</v>
      </c>
      <c r="G934">
        <v>2.67</v>
      </c>
      <c r="H934">
        <v>1.8</v>
      </c>
      <c r="I934" t="s">
        <v>15</v>
      </c>
      <c r="J934">
        <v>10</v>
      </c>
      <c r="K934">
        <v>8</v>
      </c>
      <c r="L934">
        <v>2</v>
      </c>
      <c r="M934">
        <v>0</v>
      </c>
      <c r="N934">
        <f>_xlfn.IFS(rounded[[#This Row],[social_interaction_level]] = "low", 1,rounded[[#This Row],[social_interaction_level]] = "medium", 2,rounded[[#This Row],[social_interaction_level]] = "high", 3)</f>
        <v>1</v>
      </c>
      <c r="O934">
        <f t="shared" si="14"/>
        <v>20</v>
      </c>
      <c r="P934" t="str" cm="1">
        <f t="array" ref="P934">_xlfn.SWITCH(rounded[[#This Row],[depression_label]], 0, "Not Depressed", 1, "Depressed")</f>
        <v>Not Depressed</v>
      </c>
      <c r="Q934" s="45" t="str" cm="1">
        <f t="array" ref="Q934">_xlfn.SWITCH(rounded[[#This Row],[gender]], "male", "Male", "female", "Female")</f>
        <v>Female</v>
      </c>
    </row>
    <row r="935" spans="1:17" x14ac:dyDescent="0.35">
      <c r="A935">
        <v>14</v>
      </c>
      <c r="B935" t="s">
        <v>16</v>
      </c>
      <c r="C935" s="4">
        <v>3.5</v>
      </c>
      <c r="D935" t="s">
        <v>20</v>
      </c>
      <c r="E935" s="4">
        <v>5.7</v>
      </c>
      <c r="F935" s="4">
        <v>2.4</v>
      </c>
      <c r="G935">
        <v>3.46</v>
      </c>
      <c r="H935">
        <v>0.9</v>
      </c>
      <c r="I935" t="s">
        <v>15</v>
      </c>
      <c r="J935">
        <v>8</v>
      </c>
      <c r="K935">
        <v>4</v>
      </c>
      <c r="L935">
        <v>10</v>
      </c>
      <c r="M935">
        <v>0</v>
      </c>
      <c r="N935">
        <f>_xlfn.IFS(rounded[[#This Row],[social_interaction_level]] = "low", 1,rounded[[#This Row],[social_interaction_level]] = "medium", 2,rounded[[#This Row],[social_interaction_level]] = "high", 3)</f>
        <v>1</v>
      </c>
      <c r="O935">
        <f t="shared" si="14"/>
        <v>22</v>
      </c>
      <c r="P935" t="str" cm="1">
        <f t="array" ref="P935">_xlfn.SWITCH(rounded[[#This Row],[depression_label]], 0, "Not Depressed", 1, "Depressed")</f>
        <v>Not Depressed</v>
      </c>
      <c r="Q935" s="45" t="str" cm="1">
        <f t="array" ref="Q935">_xlfn.SWITCH(rounded[[#This Row],[gender]], "male", "Male", "female", "Female")</f>
        <v>Female</v>
      </c>
    </row>
    <row r="936" spans="1:17" x14ac:dyDescent="0.35">
      <c r="A936">
        <v>14</v>
      </c>
      <c r="B936" t="s">
        <v>16</v>
      </c>
      <c r="C936" s="4">
        <v>2.4</v>
      </c>
      <c r="D936" t="s">
        <v>17</v>
      </c>
      <c r="E936" s="4">
        <v>6.3</v>
      </c>
      <c r="F936" s="4">
        <v>2.8</v>
      </c>
      <c r="G936">
        <v>2.41</v>
      </c>
      <c r="H936">
        <v>0.7</v>
      </c>
      <c r="I936" t="s">
        <v>15</v>
      </c>
      <c r="J936">
        <v>9</v>
      </c>
      <c r="K936">
        <v>5</v>
      </c>
      <c r="L936">
        <v>2</v>
      </c>
      <c r="M936">
        <v>0</v>
      </c>
      <c r="N936">
        <f>_xlfn.IFS(rounded[[#This Row],[social_interaction_level]] = "low", 1,rounded[[#This Row],[social_interaction_level]] = "medium", 2,rounded[[#This Row],[social_interaction_level]] = "high", 3)</f>
        <v>1</v>
      </c>
      <c r="O936">
        <f t="shared" si="14"/>
        <v>16</v>
      </c>
      <c r="P936" t="str" cm="1">
        <f t="array" ref="P936">_xlfn.SWITCH(rounded[[#This Row],[depression_label]], 0, "Not Depressed", 1, "Depressed")</f>
        <v>Not Depressed</v>
      </c>
      <c r="Q936" s="45" t="str" cm="1">
        <f t="array" ref="Q936">_xlfn.SWITCH(rounded[[#This Row],[gender]], "male", "Male", "female", "Female")</f>
        <v>Female</v>
      </c>
    </row>
    <row r="937" spans="1:17" x14ac:dyDescent="0.35">
      <c r="A937">
        <v>13</v>
      </c>
      <c r="B937" t="s">
        <v>13</v>
      </c>
      <c r="C937" s="4">
        <v>5.9</v>
      </c>
      <c r="D937" t="s">
        <v>14</v>
      </c>
      <c r="E937" s="4">
        <v>4.3</v>
      </c>
      <c r="F937" s="4">
        <v>0.8</v>
      </c>
      <c r="G937">
        <v>3.41</v>
      </c>
      <c r="H937">
        <v>1.1000000000000001</v>
      </c>
      <c r="I937" t="s">
        <v>19</v>
      </c>
      <c r="J937">
        <v>4</v>
      </c>
      <c r="K937">
        <v>3</v>
      </c>
      <c r="L937">
        <v>2</v>
      </c>
      <c r="M937">
        <v>0</v>
      </c>
      <c r="N937">
        <f>_xlfn.IFS(rounded[[#This Row],[social_interaction_level]] = "low", 1,rounded[[#This Row],[social_interaction_level]] = "medium", 2,rounded[[#This Row],[social_interaction_level]] = "high", 3)</f>
        <v>2</v>
      </c>
      <c r="O937">
        <f t="shared" si="14"/>
        <v>9</v>
      </c>
      <c r="P937" t="str" cm="1">
        <f t="array" ref="P937">_xlfn.SWITCH(rounded[[#This Row],[depression_label]], 0, "Not Depressed", 1, "Depressed")</f>
        <v>Not Depressed</v>
      </c>
      <c r="Q937" s="45" t="str" cm="1">
        <f t="array" ref="Q937">_xlfn.SWITCH(rounded[[#This Row],[gender]], "male", "Male", "female", "Female")</f>
        <v>Male</v>
      </c>
    </row>
    <row r="938" spans="1:17" x14ac:dyDescent="0.35">
      <c r="A938">
        <v>19</v>
      </c>
      <c r="B938" t="s">
        <v>16</v>
      </c>
      <c r="C938" s="4">
        <v>7.4</v>
      </c>
      <c r="D938" t="s">
        <v>14</v>
      </c>
      <c r="E938" s="4">
        <v>5</v>
      </c>
      <c r="F938" s="4">
        <v>2</v>
      </c>
      <c r="G938">
        <v>2.68</v>
      </c>
      <c r="H938">
        <v>1.2</v>
      </c>
      <c r="I938" t="s">
        <v>15</v>
      </c>
      <c r="J938">
        <v>1</v>
      </c>
      <c r="K938">
        <v>6</v>
      </c>
      <c r="L938">
        <v>8</v>
      </c>
      <c r="M938">
        <v>0</v>
      </c>
      <c r="N938">
        <f>_xlfn.IFS(rounded[[#This Row],[social_interaction_level]] = "low", 1,rounded[[#This Row],[social_interaction_level]] = "medium", 2,rounded[[#This Row],[social_interaction_level]] = "high", 3)</f>
        <v>1</v>
      </c>
      <c r="O938">
        <f t="shared" si="14"/>
        <v>15</v>
      </c>
      <c r="P938" t="str" cm="1">
        <f t="array" ref="P938">_xlfn.SWITCH(rounded[[#This Row],[depression_label]], 0, "Not Depressed", 1, "Depressed")</f>
        <v>Not Depressed</v>
      </c>
      <c r="Q938" s="45" t="str" cm="1">
        <f t="array" ref="Q938">_xlfn.SWITCH(rounded[[#This Row],[gender]], "male", "Male", "female", "Female")</f>
        <v>Female</v>
      </c>
    </row>
    <row r="939" spans="1:17" x14ac:dyDescent="0.35">
      <c r="A939">
        <v>15</v>
      </c>
      <c r="B939" t="s">
        <v>16</v>
      </c>
      <c r="C939" s="4">
        <v>4.5999999999999996</v>
      </c>
      <c r="D939" t="s">
        <v>17</v>
      </c>
      <c r="E939" s="4">
        <v>5.3</v>
      </c>
      <c r="F939" s="4">
        <v>3</v>
      </c>
      <c r="G939">
        <v>3.25</v>
      </c>
      <c r="H939">
        <v>0.2</v>
      </c>
      <c r="I939" t="s">
        <v>15</v>
      </c>
      <c r="J939">
        <v>1</v>
      </c>
      <c r="K939">
        <v>8</v>
      </c>
      <c r="L939">
        <v>7</v>
      </c>
      <c r="M939">
        <v>0</v>
      </c>
      <c r="N939">
        <f>_xlfn.IFS(rounded[[#This Row],[social_interaction_level]] = "low", 1,rounded[[#This Row],[social_interaction_level]] = "medium", 2,rounded[[#This Row],[social_interaction_level]] = "high", 3)</f>
        <v>1</v>
      </c>
      <c r="O939">
        <f t="shared" si="14"/>
        <v>16</v>
      </c>
      <c r="P939" t="str" cm="1">
        <f t="array" ref="P939">_xlfn.SWITCH(rounded[[#This Row],[depression_label]], 0, "Not Depressed", 1, "Depressed")</f>
        <v>Not Depressed</v>
      </c>
      <c r="Q939" s="45" t="str" cm="1">
        <f t="array" ref="Q939">_xlfn.SWITCH(rounded[[#This Row],[gender]], "male", "Male", "female", "Female")</f>
        <v>Female</v>
      </c>
    </row>
    <row r="940" spans="1:17" x14ac:dyDescent="0.35">
      <c r="A940">
        <v>17</v>
      </c>
      <c r="B940" t="s">
        <v>13</v>
      </c>
      <c r="C940" s="4">
        <v>7.3</v>
      </c>
      <c r="D940" t="s">
        <v>14</v>
      </c>
      <c r="E940" s="4">
        <v>5.8</v>
      </c>
      <c r="F940" s="4">
        <v>2.9</v>
      </c>
      <c r="G940">
        <v>3.93</v>
      </c>
      <c r="H940">
        <v>0.9</v>
      </c>
      <c r="I940" t="s">
        <v>19</v>
      </c>
      <c r="J940">
        <v>6</v>
      </c>
      <c r="K940">
        <v>2</v>
      </c>
      <c r="L940">
        <v>9</v>
      </c>
      <c r="M940">
        <v>0</v>
      </c>
      <c r="N940">
        <f>_xlfn.IFS(rounded[[#This Row],[social_interaction_level]] = "low", 1,rounded[[#This Row],[social_interaction_level]] = "medium", 2,rounded[[#This Row],[social_interaction_level]] = "high", 3)</f>
        <v>2</v>
      </c>
      <c r="O940">
        <f t="shared" si="14"/>
        <v>17</v>
      </c>
      <c r="P940" t="str" cm="1">
        <f t="array" ref="P940">_xlfn.SWITCH(rounded[[#This Row],[depression_label]], 0, "Not Depressed", 1, "Depressed")</f>
        <v>Not Depressed</v>
      </c>
      <c r="Q940" s="45" t="str" cm="1">
        <f t="array" ref="Q940">_xlfn.SWITCH(rounded[[#This Row],[gender]], "male", "Male", "female", "Female")</f>
        <v>Male</v>
      </c>
    </row>
    <row r="941" spans="1:17" x14ac:dyDescent="0.35">
      <c r="A941">
        <v>17</v>
      </c>
      <c r="B941" t="s">
        <v>16</v>
      </c>
      <c r="C941" s="4">
        <v>2.9</v>
      </c>
      <c r="D941" t="s">
        <v>17</v>
      </c>
      <c r="E941" s="4">
        <v>4.5</v>
      </c>
      <c r="F941" s="4">
        <v>0.9</v>
      </c>
      <c r="G941">
        <v>3.71</v>
      </c>
      <c r="H941">
        <v>0.1</v>
      </c>
      <c r="I941" t="s">
        <v>15</v>
      </c>
      <c r="J941">
        <v>1</v>
      </c>
      <c r="K941">
        <v>6</v>
      </c>
      <c r="L941">
        <v>4</v>
      </c>
      <c r="M941">
        <v>0</v>
      </c>
      <c r="N941">
        <f>_xlfn.IFS(rounded[[#This Row],[social_interaction_level]] = "low", 1,rounded[[#This Row],[social_interaction_level]] = "medium", 2,rounded[[#This Row],[social_interaction_level]] = "high", 3)</f>
        <v>1</v>
      </c>
      <c r="O941">
        <f t="shared" si="14"/>
        <v>11</v>
      </c>
      <c r="P941" t="str" cm="1">
        <f t="array" ref="P941">_xlfn.SWITCH(rounded[[#This Row],[depression_label]], 0, "Not Depressed", 1, "Depressed")</f>
        <v>Not Depressed</v>
      </c>
      <c r="Q941" s="45" t="str" cm="1">
        <f t="array" ref="Q941">_xlfn.SWITCH(rounded[[#This Row],[gender]], "male", "Male", "female", "Female")</f>
        <v>Female</v>
      </c>
    </row>
    <row r="942" spans="1:17" x14ac:dyDescent="0.35">
      <c r="A942">
        <v>19</v>
      </c>
      <c r="B942" t="s">
        <v>13</v>
      </c>
      <c r="C942" s="4">
        <v>5.3</v>
      </c>
      <c r="D942" t="s">
        <v>17</v>
      </c>
      <c r="E942" s="4">
        <v>8.4</v>
      </c>
      <c r="F942" s="4">
        <v>0.6</v>
      </c>
      <c r="G942">
        <v>3.08</v>
      </c>
      <c r="H942">
        <v>0.4</v>
      </c>
      <c r="I942" t="s">
        <v>19</v>
      </c>
      <c r="J942">
        <v>9</v>
      </c>
      <c r="K942">
        <v>4</v>
      </c>
      <c r="L942">
        <v>6</v>
      </c>
      <c r="M942">
        <v>0</v>
      </c>
      <c r="N942">
        <f>_xlfn.IFS(rounded[[#This Row],[social_interaction_level]] = "low", 1,rounded[[#This Row],[social_interaction_level]] = "medium", 2,rounded[[#This Row],[social_interaction_level]] = "high", 3)</f>
        <v>2</v>
      </c>
      <c r="O942">
        <f t="shared" si="14"/>
        <v>19</v>
      </c>
      <c r="P942" t="str" cm="1">
        <f t="array" ref="P942">_xlfn.SWITCH(rounded[[#This Row],[depression_label]], 0, "Not Depressed", 1, "Depressed")</f>
        <v>Not Depressed</v>
      </c>
      <c r="Q942" s="45" t="str" cm="1">
        <f t="array" ref="Q942">_xlfn.SWITCH(rounded[[#This Row],[gender]], "male", "Male", "female", "Female")</f>
        <v>Male</v>
      </c>
    </row>
    <row r="943" spans="1:17" x14ac:dyDescent="0.35">
      <c r="A943">
        <v>17</v>
      </c>
      <c r="B943" t="s">
        <v>16</v>
      </c>
      <c r="C943" s="4">
        <v>7.2</v>
      </c>
      <c r="D943" t="s">
        <v>17</v>
      </c>
      <c r="E943" s="4">
        <v>8.1999999999999993</v>
      </c>
      <c r="F943" s="4">
        <v>2.9</v>
      </c>
      <c r="G943">
        <v>3.69</v>
      </c>
      <c r="H943">
        <v>1</v>
      </c>
      <c r="I943" t="s">
        <v>18</v>
      </c>
      <c r="J943">
        <v>6</v>
      </c>
      <c r="K943">
        <v>2</v>
      </c>
      <c r="L943">
        <v>5</v>
      </c>
      <c r="M943">
        <v>0</v>
      </c>
      <c r="N943">
        <f>_xlfn.IFS(rounded[[#This Row],[social_interaction_level]] = "low", 1,rounded[[#This Row],[social_interaction_level]] = "medium", 2,rounded[[#This Row],[social_interaction_level]] = "high", 3)</f>
        <v>3</v>
      </c>
      <c r="O943">
        <f t="shared" si="14"/>
        <v>13</v>
      </c>
      <c r="P943" t="str" cm="1">
        <f t="array" ref="P943">_xlfn.SWITCH(rounded[[#This Row],[depression_label]], 0, "Not Depressed", 1, "Depressed")</f>
        <v>Not Depressed</v>
      </c>
      <c r="Q943" s="45" t="str" cm="1">
        <f t="array" ref="Q943">_xlfn.SWITCH(rounded[[#This Row],[gender]], "male", "Male", "female", "Female")</f>
        <v>Female</v>
      </c>
    </row>
    <row r="944" spans="1:17" x14ac:dyDescent="0.35">
      <c r="A944">
        <v>15</v>
      </c>
      <c r="B944" t="s">
        <v>16</v>
      </c>
      <c r="C944" s="4">
        <v>2.6</v>
      </c>
      <c r="D944" t="s">
        <v>20</v>
      </c>
      <c r="E944" s="4">
        <v>7.9</v>
      </c>
      <c r="F944" s="4">
        <v>1.8</v>
      </c>
      <c r="G944">
        <v>3.91</v>
      </c>
      <c r="H944">
        <v>0.5</v>
      </c>
      <c r="I944" t="s">
        <v>19</v>
      </c>
      <c r="J944">
        <v>4</v>
      </c>
      <c r="K944">
        <v>5</v>
      </c>
      <c r="L944">
        <v>6</v>
      </c>
      <c r="M944">
        <v>0</v>
      </c>
      <c r="N944">
        <f>_xlfn.IFS(rounded[[#This Row],[social_interaction_level]] = "low", 1,rounded[[#This Row],[social_interaction_level]] = "medium", 2,rounded[[#This Row],[social_interaction_level]] = "high", 3)</f>
        <v>2</v>
      </c>
      <c r="O944">
        <f t="shared" si="14"/>
        <v>15</v>
      </c>
      <c r="P944" t="str" cm="1">
        <f t="array" ref="P944">_xlfn.SWITCH(rounded[[#This Row],[depression_label]], 0, "Not Depressed", 1, "Depressed")</f>
        <v>Not Depressed</v>
      </c>
      <c r="Q944" s="45" t="str" cm="1">
        <f t="array" ref="Q944">_xlfn.SWITCH(rounded[[#This Row],[gender]], "male", "Male", "female", "Female")</f>
        <v>Female</v>
      </c>
    </row>
    <row r="945" spans="1:17" x14ac:dyDescent="0.35">
      <c r="A945">
        <v>15</v>
      </c>
      <c r="B945" t="s">
        <v>13</v>
      </c>
      <c r="C945" s="4">
        <v>3.6</v>
      </c>
      <c r="D945" t="s">
        <v>14</v>
      </c>
      <c r="E945" s="4">
        <v>4.8</v>
      </c>
      <c r="F945" s="4">
        <v>1</v>
      </c>
      <c r="G945">
        <v>3.71</v>
      </c>
      <c r="H945">
        <v>1.1000000000000001</v>
      </c>
      <c r="I945" t="s">
        <v>19</v>
      </c>
      <c r="J945">
        <v>5</v>
      </c>
      <c r="K945">
        <v>7</v>
      </c>
      <c r="L945">
        <v>4</v>
      </c>
      <c r="M945">
        <v>0</v>
      </c>
      <c r="N945">
        <f>_xlfn.IFS(rounded[[#This Row],[social_interaction_level]] = "low", 1,rounded[[#This Row],[social_interaction_level]] = "medium", 2,rounded[[#This Row],[social_interaction_level]] = "high", 3)</f>
        <v>2</v>
      </c>
      <c r="O945">
        <f t="shared" si="14"/>
        <v>16</v>
      </c>
      <c r="P945" t="str" cm="1">
        <f t="array" ref="P945">_xlfn.SWITCH(rounded[[#This Row],[depression_label]], 0, "Not Depressed", 1, "Depressed")</f>
        <v>Not Depressed</v>
      </c>
      <c r="Q945" s="45" t="str" cm="1">
        <f t="array" ref="Q945">_xlfn.SWITCH(rounded[[#This Row],[gender]], "male", "Male", "female", "Female")</f>
        <v>Male</v>
      </c>
    </row>
    <row r="946" spans="1:17" x14ac:dyDescent="0.35">
      <c r="A946">
        <v>19</v>
      </c>
      <c r="B946" t="s">
        <v>13</v>
      </c>
      <c r="C946" s="4">
        <v>3.6</v>
      </c>
      <c r="D946" t="s">
        <v>14</v>
      </c>
      <c r="E946" s="4">
        <v>6.5</v>
      </c>
      <c r="F946" s="4">
        <v>1.1000000000000001</v>
      </c>
      <c r="G946">
        <v>3.65</v>
      </c>
      <c r="H946">
        <v>1.1000000000000001</v>
      </c>
      <c r="I946" t="s">
        <v>15</v>
      </c>
      <c r="J946">
        <v>5</v>
      </c>
      <c r="K946">
        <v>9</v>
      </c>
      <c r="L946">
        <v>10</v>
      </c>
      <c r="M946">
        <v>0</v>
      </c>
      <c r="N946">
        <f>_xlfn.IFS(rounded[[#This Row],[social_interaction_level]] = "low", 1,rounded[[#This Row],[social_interaction_level]] = "medium", 2,rounded[[#This Row],[social_interaction_level]] = "high", 3)</f>
        <v>1</v>
      </c>
      <c r="O946">
        <f t="shared" si="14"/>
        <v>24</v>
      </c>
      <c r="P946" t="str" cm="1">
        <f t="array" ref="P946">_xlfn.SWITCH(rounded[[#This Row],[depression_label]], 0, "Not Depressed", 1, "Depressed")</f>
        <v>Not Depressed</v>
      </c>
      <c r="Q946" s="45" t="str" cm="1">
        <f t="array" ref="Q946">_xlfn.SWITCH(rounded[[#This Row],[gender]], "male", "Male", "female", "Female")</f>
        <v>Male</v>
      </c>
    </row>
    <row r="947" spans="1:17" x14ac:dyDescent="0.35">
      <c r="A947">
        <v>15</v>
      </c>
      <c r="B947" t="s">
        <v>16</v>
      </c>
      <c r="C947" s="4">
        <v>1.8</v>
      </c>
      <c r="D947" t="s">
        <v>14</v>
      </c>
      <c r="E947" s="4">
        <v>5.5</v>
      </c>
      <c r="F947" s="4">
        <v>1.6</v>
      </c>
      <c r="G947">
        <v>3.29</v>
      </c>
      <c r="H947">
        <v>1.3</v>
      </c>
      <c r="I947" t="s">
        <v>19</v>
      </c>
      <c r="J947">
        <v>6</v>
      </c>
      <c r="K947">
        <v>5</v>
      </c>
      <c r="L947">
        <v>9</v>
      </c>
      <c r="M947">
        <v>0</v>
      </c>
      <c r="N947">
        <f>_xlfn.IFS(rounded[[#This Row],[social_interaction_level]] = "low", 1,rounded[[#This Row],[social_interaction_level]] = "medium", 2,rounded[[#This Row],[social_interaction_level]] = "high", 3)</f>
        <v>2</v>
      </c>
      <c r="O947">
        <f t="shared" si="14"/>
        <v>20</v>
      </c>
      <c r="P947" t="str" cm="1">
        <f t="array" ref="P947">_xlfn.SWITCH(rounded[[#This Row],[depression_label]], 0, "Not Depressed", 1, "Depressed")</f>
        <v>Not Depressed</v>
      </c>
      <c r="Q947" s="45" t="str" cm="1">
        <f t="array" ref="Q947">_xlfn.SWITCH(rounded[[#This Row],[gender]], "male", "Male", "female", "Female")</f>
        <v>Female</v>
      </c>
    </row>
    <row r="948" spans="1:17" x14ac:dyDescent="0.35">
      <c r="A948">
        <v>14</v>
      </c>
      <c r="B948" t="s">
        <v>16</v>
      </c>
      <c r="C948" s="4">
        <v>1.8</v>
      </c>
      <c r="D948" t="s">
        <v>14</v>
      </c>
      <c r="E948" s="4">
        <v>7.6</v>
      </c>
      <c r="F948" s="4">
        <v>1.2</v>
      </c>
      <c r="G948">
        <v>2.84</v>
      </c>
      <c r="H948">
        <v>1.1000000000000001</v>
      </c>
      <c r="I948" t="s">
        <v>18</v>
      </c>
      <c r="J948">
        <v>10</v>
      </c>
      <c r="K948">
        <v>1</v>
      </c>
      <c r="L948">
        <v>3</v>
      </c>
      <c r="M948">
        <v>0</v>
      </c>
      <c r="N948">
        <f>_xlfn.IFS(rounded[[#This Row],[social_interaction_level]] = "low", 1,rounded[[#This Row],[social_interaction_level]] = "medium", 2,rounded[[#This Row],[social_interaction_level]] = "high", 3)</f>
        <v>3</v>
      </c>
      <c r="O948">
        <f t="shared" si="14"/>
        <v>14</v>
      </c>
      <c r="P948" t="str" cm="1">
        <f t="array" ref="P948">_xlfn.SWITCH(rounded[[#This Row],[depression_label]], 0, "Not Depressed", 1, "Depressed")</f>
        <v>Not Depressed</v>
      </c>
      <c r="Q948" s="45" t="str" cm="1">
        <f t="array" ref="Q948">_xlfn.SWITCH(rounded[[#This Row],[gender]], "male", "Male", "female", "Female")</f>
        <v>Female</v>
      </c>
    </row>
    <row r="949" spans="1:17" x14ac:dyDescent="0.35">
      <c r="A949">
        <v>15</v>
      </c>
      <c r="B949" t="s">
        <v>16</v>
      </c>
      <c r="C949" s="4">
        <v>7.4</v>
      </c>
      <c r="D949" t="s">
        <v>20</v>
      </c>
      <c r="E949" s="4">
        <v>8.4</v>
      </c>
      <c r="F949" s="4">
        <v>1.9</v>
      </c>
      <c r="G949">
        <v>3.73</v>
      </c>
      <c r="H949">
        <v>0.8</v>
      </c>
      <c r="I949" t="s">
        <v>18</v>
      </c>
      <c r="J949">
        <v>9</v>
      </c>
      <c r="K949">
        <v>9</v>
      </c>
      <c r="L949">
        <v>4</v>
      </c>
      <c r="M949">
        <v>0</v>
      </c>
      <c r="N949">
        <f>_xlfn.IFS(rounded[[#This Row],[social_interaction_level]] = "low", 1,rounded[[#This Row],[social_interaction_level]] = "medium", 2,rounded[[#This Row],[social_interaction_level]] = "high", 3)</f>
        <v>3</v>
      </c>
      <c r="O949">
        <f t="shared" si="14"/>
        <v>22</v>
      </c>
      <c r="P949" t="str" cm="1">
        <f t="array" ref="P949">_xlfn.SWITCH(rounded[[#This Row],[depression_label]], 0, "Not Depressed", 1, "Depressed")</f>
        <v>Not Depressed</v>
      </c>
      <c r="Q949" s="45" t="str" cm="1">
        <f t="array" ref="Q949">_xlfn.SWITCH(rounded[[#This Row],[gender]], "male", "Male", "female", "Female")</f>
        <v>Female</v>
      </c>
    </row>
    <row r="950" spans="1:17" x14ac:dyDescent="0.35">
      <c r="A950">
        <v>15</v>
      </c>
      <c r="B950" t="s">
        <v>13</v>
      </c>
      <c r="C950" s="4">
        <v>4.8</v>
      </c>
      <c r="D950" t="s">
        <v>20</v>
      </c>
      <c r="E950" s="4">
        <v>4.3</v>
      </c>
      <c r="F950" s="4">
        <v>2.2000000000000002</v>
      </c>
      <c r="G950">
        <v>2.5</v>
      </c>
      <c r="H950">
        <v>0</v>
      </c>
      <c r="I950" t="s">
        <v>19</v>
      </c>
      <c r="J950">
        <v>4</v>
      </c>
      <c r="K950">
        <v>1</v>
      </c>
      <c r="L950">
        <v>4</v>
      </c>
      <c r="M950">
        <v>0</v>
      </c>
      <c r="N950">
        <f>_xlfn.IFS(rounded[[#This Row],[social_interaction_level]] = "low", 1,rounded[[#This Row],[social_interaction_level]] = "medium", 2,rounded[[#This Row],[social_interaction_level]] = "high", 3)</f>
        <v>2</v>
      </c>
      <c r="O950">
        <f t="shared" si="14"/>
        <v>9</v>
      </c>
      <c r="P950" t="str" cm="1">
        <f t="array" ref="P950">_xlfn.SWITCH(rounded[[#This Row],[depression_label]], 0, "Not Depressed", 1, "Depressed")</f>
        <v>Not Depressed</v>
      </c>
      <c r="Q950" s="45" t="str" cm="1">
        <f t="array" ref="Q950">_xlfn.SWITCH(rounded[[#This Row],[gender]], "male", "Male", "female", "Female")</f>
        <v>Male</v>
      </c>
    </row>
    <row r="951" spans="1:17" x14ac:dyDescent="0.35">
      <c r="A951">
        <v>18</v>
      </c>
      <c r="B951" t="s">
        <v>13</v>
      </c>
      <c r="C951" s="4">
        <v>2.4</v>
      </c>
      <c r="D951" t="s">
        <v>20</v>
      </c>
      <c r="E951" s="4">
        <v>6.8</v>
      </c>
      <c r="F951" s="4">
        <v>1</v>
      </c>
      <c r="G951">
        <v>2.86</v>
      </c>
      <c r="H951">
        <v>1.5</v>
      </c>
      <c r="I951" t="s">
        <v>18</v>
      </c>
      <c r="J951">
        <v>9</v>
      </c>
      <c r="K951">
        <v>10</v>
      </c>
      <c r="L951">
        <v>8</v>
      </c>
      <c r="M951">
        <v>0</v>
      </c>
      <c r="N951">
        <f>_xlfn.IFS(rounded[[#This Row],[social_interaction_level]] = "low", 1,rounded[[#This Row],[social_interaction_level]] = "medium", 2,rounded[[#This Row],[social_interaction_level]] = "high", 3)</f>
        <v>3</v>
      </c>
      <c r="O951">
        <f t="shared" si="14"/>
        <v>27</v>
      </c>
      <c r="P951" t="str" cm="1">
        <f t="array" ref="P951">_xlfn.SWITCH(rounded[[#This Row],[depression_label]], 0, "Not Depressed", 1, "Depressed")</f>
        <v>Not Depressed</v>
      </c>
      <c r="Q951" s="45" t="str" cm="1">
        <f t="array" ref="Q951">_xlfn.SWITCH(rounded[[#This Row],[gender]], "male", "Male", "female", "Female")</f>
        <v>Male</v>
      </c>
    </row>
    <row r="952" spans="1:17" x14ac:dyDescent="0.35">
      <c r="A952">
        <v>15</v>
      </c>
      <c r="B952" t="s">
        <v>13</v>
      </c>
      <c r="C952" s="4">
        <v>5.4</v>
      </c>
      <c r="D952" t="s">
        <v>17</v>
      </c>
      <c r="E952" s="4">
        <v>5.2</v>
      </c>
      <c r="F952" s="4">
        <v>0.6</v>
      </c>
      <c r="G952">
        <v>3.65</v>
      </c>
      <c r="H952">
        <v>1.5</v>
      </c>
      <c r="I952" t="s">
        <v>15</v>
      </c>
      <c r="J952">
        <v>7</v>
      </c>
      <c r="K952">
        <v>9</v>
      </c>
      <c r="L952">
        <v>10</v>
      </c>
      <c r="M952">
        <v>1</v>
      </c>
      <c r="N952">
        <f>_xlfn.IFS(rounded[[#This Row],[social_interaction_level]] = "low", 1,rounded[[#This Row],[social_interaction_level]] = "medium", 2,rounded[[#This Row],[social_interaction_level]] = "high", 3)</f>
        <v>1</v>
      </c>
      <c r="O952">
        <f t="shared" si="14"/>
        <v>26</v>
      </c>
      <c r="P952" t="str" cm="1">
        <f t="array" ref="P952">_xlfn.SWITCH(rounded[[#This Row],[depression_label]], 0, "Not Depressed", 1, "Depressed")</f>
        <v>Depressed</v>
      </c>
      <c r="Q952" s="45" t="str" cm="1">
        <f t="array" ref="Q952">_xlfn.SWITCH(rounded[[#This Row],[gender]], "male", "Male", "female", "Female")</f>
        <v>Male</v>
      </c>
    </row>
    <row r="953" spans="1:17" x14ac:dyDescent="0.35">
      <c r="A953">
        <v>17</v>
      </c>
      <c r="B953" t="s">
        <v>16</v>
      </c>
      <c r="C953" s="4">
        <v>3.5</v>
      </c>
      <c r="D953" t="s">
        <v>20</v>
      </c>
      <c r="E953" s="4">
        <v>8.5</v>
      </c>
      <c r="F953" s="4">
        <v>2.2000000000000002</v>
      </c>
      <c r="G953">
        <v>2.11</v>
      </c>
      <c r="H953">
        <v>1.3</v>
      </c>
      <c r="I953" t="s">
        <v>19</v>
      </c>
      <c r="J953">
        <v>8</v>
      </c>
      <c r="K953">
        <v>8</v>
      </c>
      <c r="L953">
        <v>2</v>
      </c>
      <c r="M953">
        <v>0</v>
      </c>
      <c r="N953">
        <f>_xlfn.IFS(rounded[[#This Row],[social_interaction_level]] = "low", 1,rounded[[#This Row],[social_interaction_level]] = "medium", 2,rounded[[#This Row],[social_interaction_level]] = "high", 3)</f>
        <v>2</v>
      </c>
      <c r="O953">
        <f t="shared" si="14"/>
        <v>18</v>
      </c>
      <c r="P953" t="str" cm="1">
        <f t="array" ref="P953">_xlfn.SWITCH(rounded[[#This Row],[depression_label]], 0, "Not Depressed", 1, "Depressed")</f>
        <v>Not Depressed</v>
      </c>
      <c r="Q953" s="45" t="str" cm="1">
        <f t="array" ref="Q953">_xlfn.SWITCH(rounded[[#This Row],[gender]], "male", "Male", "female", "Female")</f>
        <v>Female</v>
      </c>
    </row>
    <row r="954" spans="1:17" x14ac:dyDescent="0.35">
      <c r="A954">
        <v>18</v>
      </c>
      <c r="B954" t="s">
        <v>16</v>
      </c>
      <c r="C954" s="4">
        <v>3</v>
      </c>
      <c r="D954" t="s">
        <v>14</v>
      </c>
      <c r="E954" s="4">
        <v>5</v>
      </c>
      <c r="F954" s="4">
        <v>2</v>
      </c>
      <c r="G954">
        <v>2.4500000000000002</v>
      </c>
      <c r="H954">
        <v>1.2</v>
      </c>
      <c r="I954" t="s">
        <v>19</v>
      </c>
      <c r="J954">
        <v>1</v>
      </c>
      <c r="K954">
        <v>10</v>
      </c>
      <c r="L954">
        <v>7</v>
      </c>
      <c r="M954">
        <v>0</v>
      </c>
      <c r="N954">
        <f>_xlfn.IFS(rounded[[#This Row],[social_interaction_level]] = "low", 1,rounded[[#This Row],[social_interaction_level]] = "medium", 2,rounded[[#This Row],[social_interaction_level]] = "high", 3)</f>
        <v>2</v>
      </c>
      <c r="O954">
        <f t="shared" si="14"/>
        <v>18</v>
      </c>
      <c r="P954" t="str" cm="1">
        <f t="array" ref="P954">_xlfn.SWITCH(rounded[[#This Row],[depression_label]], 0, "Not Depressed", 1, "Depressed")</f>
        <v>Not Depressed</v>
      </c>
      <c r="Q954" s="45" t="str" cm="1">
        <f t="array" ref="Q954">_xlfn.SWITCH(rounded[[#This Row],[gender]], "male", "Male", "female", "Female")</f>
        <v>Female</v>
      </c>
    </row>
    <row r="955" spans="1:17" x14ac:dyDescent="0.35">
      <c r="A955">
        <v>13</v>
      </c>
      <c r="B955" t="s">
        <v>16</v>
      </c>
      <c r="C955" s="4">
        <v>3.3</v>
      </c>
      <c r="D955" t="s">
        <v>20</v>
      </c>
      <c r="E955" s="4">
        <v>7.4</v>
      </c>
      <c r="F955" s="4">
        <v>0.9</v>
      </c>
      <c r="G955">
        <v>2.5299999999999998</v>
      </c>
      <c r="H955">
        <v>0.2</v>
      </c>
      <c r="I955" t="s">
        <v>19</v>
      </c>
      <c r="J955">
        <v>4</v>
      </c>
      <c r="K955">
        <v>10</v>
      </c>
      <c r="L955">
        <v>6</v>
      </c>
      <c r="M955">
        <v>0</v>
      </c>
      <c r="N955">
        <f>_xlfn.IFS(rounded[[#This Row],[social_interaction_level]] = "low", 1,rounded[[#This Row],[social_interaction_level]] = "medium", 2,rounded[[#This Row],[social_interaction_level]] = "high", 3)</f>
        <v>2</v>
      </c>
      <c r="O955">
        <f t="shared" si="14"/>
        <v>20</v>
      </c>
      <c r="P955" t="str" cm="1">
        <f t="array" ref="P955">_xlfn.SWITCH(rounded[[#This Row],[depression_label]], 0, "Not Depressed", 1, "Depressed")</f>
        <v>Not Depressed</v>
      </c>
      <c r="Q955" s="45" t="str" cm="1">
        <f t="array" ref="Q955">_xlfn.SWITCH(rounded[[#This Row],[gender]], "male", "Male", "female", "Female")</f>
        <v>Female</v>
      </c>
    </row>
    <row r="956" spans="1:17" x14ac:dyDescent="0.35">
      <c r="A956">
        <v>19</v>
      </c>
      <c r="B956" t="s">
        <v>13</v>
      </c>
      <c r="C956" s="4">
        <v>5.5</v>
      </c>
      <c r="D956" t="s">
        <v>17</v>
      </c>
      <c r="E956" s="4">
        <v>5.0999999999999996</v>
      </c>
      <c r="F956" s="4">
        <v>2.7</v>
      </c>
      <c r="G956">
        <v>2.56</v>
      </c>
      <c r="H956">
        <v>1.4</v>
      </c>
      <c r="I956" t="s">
        <v>15</v>
      </c>
      <c r="J956">
        <v>2</v>
      </c>
      <c r="K956">
        <v>3</v>
      </c>
      <c r="L956">
        <v>7</v>
      </c>
      <c r="M956">
        <v>0</v>
      </c>
      <c r="N956">
        <f>_xlfn.IFS(rounded[[#This Row],[social_interaction_level]] = "low", 1,rounded[[#This Row],[social_interaction_level]] = "medium", 2,rounded[[#This Row],[social_interaction_level]] = "high", 3)</f>
        <v>1</v>
      </c>
      <c r="O956">
        <f t="shared" si="14"/>
        <v>12</v>
      </c>
      <c r="P956" t="str" cm="1">
        <f t="array" ref="P956">_xlfn.SWITCH(rounded[[#This Row],[depression_label]], 0, "Not Depressed", 1, "Depressed")</f>
        <v>Not Depressed</v>
      </c>
      <c r="Q956" s="45" t="str" cm="1">
        <f t="array" ref="Q956">_xlfn.SWITCH(rounded[[#This Row],[gender]], "male", "Male", "female", "Female")</f>
        <v>Male</v>
      </c>
    </row>
    <row r="957" spans="1:17" x14ac:dyDescent="0.35">
      <c r="A957">
        <v>15</v>
      </c>
      <c r="B957" t="s">
        <v>13</v>
      </c>
      <c r="C957" s="4">
        <v>3.8</v>
      </c>
      <c r="D957" t="s">
        <v>20</v>
      </c>
      <c r="E957" s="4">
        <v>8.3000000000000007</v>
      </c>
      <c r="F957" s="4">
        <v>2.6</v>
      </c>
      <c r="G957">
        <v>3.19</v>
      </c>
      <c r="H957">
        <v>2</v>
      </c>
      <c r="I957" t="s">
        <v>19</v>
      </c>
      <c r="J957">
        <v>1</v>
      </c>
      <c r="K957">
        <v>2</v>
      </c>
      <c r="L957">
        <v>2</v>
      </c>
      <c r="M957">
        <v>0</v>
      </c>
      <c r="N957">
        <f>_xlfn.IFS(rounded[[#This Row],[social_interaction_level]] = "low", 1,rounded[[#This Row],[social_interaction_level]] = "medium", 2,rounded[[#This Row],[social_interaction_level]] = "high", 3)</f>
        <v>2</v>
      </c>
      <c r="O957">
        <f t="shared" si="14"/>
        <v>5</v>
      </c>
      <c r="P957" t="str" cm="1">
        <f t="array" ref="P957">_xlfn.SWITCH(rounded[[#This Row],[depression_label]], 0, "Not Depressed", 1, "Depressed")</f>
        <v>Not Depressed</v>
      </c>
      <c r="Q957" s="45" t="str" cm="1">
        <f t="array" ref="Q957">_xlfn.SWITCH(rounded[[#This Row],[gender]], "male", "Male", "female", "Female")</f>
        <v>Male</v>
      </c>
    </row>
    <row r="958" spans="1:17" x14ac:dyDescent="0.35">
      <c r="A958">
        <v>17</v>
      </c>
      <c r="B958" t="s">
        <v>13</v>
      </c>
      <c r="C958" s="4">
        <v>5.7</v>
      </c>
      <c r="D958" t="s">
        <v>17</v>
      </c>
      <c r="E958" s="4">
        <v>8.6999999999999993</v>
      </c>
      <c r="F958" s="4">
        <v>2</v>
      </c>
      <c r="G958">
        <v>3.14</v>
      </c>
      <c r="H958">
        <v>1.7</v>
      </c>
      <c r="I958" t="s">
        <v>15</v>
      </c>
      <c r="J958">
        <v>1</v>
      </c>
      <c r="K958">
        <v>9</v>
      </c>
      <c r="L958">
        <v>8</v>
      </c>
      <c r="M958">
        <v>0</v>
      </c>
      <c r="N958">
        <f>_xlfn.IFS(rounded[[#This Row],[social_interaction_level]] = "low", 1,rounded[[#This Row],[social_interaction_level]] = "medium", 2,rounded[[#This Row],[social_interaction_level]] = "high", 3)</f>
        <v>1</v>
      </c>
      <c r="O958">
        <f t="shared" si="14"/>
        <v>18</v>
      </c>
      <c r="P958" t="str" cm="1">
        <f t="array" ref="P958">_xlfn.SWITCH(rounded[[#This Row],[depression_label]], 0, "Not Depressed", 1, "Depressed")</f>
        <v>Not Depressed</v>
      </c>
      <c r="Q958" s="45" t="str" cm="1">
        <f t="array" ref="Q958">_xlfn.SWITCH(rounded[[#This Row],[gender]], "male", "Male", "female", "Female")</f>
        <v>Male</v>
      </c>
    </row>
    <row r="959" spans="1:17" x14ac:dyDescent="0.35">
      <c r="A959">
        <v>13</v>
      </c>
      <c r="B959" t="s">
        <v>16</v>
      </c>
      <c r="C959" s="4">
        <v>4.7</v>
      </c>
      <c r="D959" t="s">
        <v>17</v>
      </c>
      <c r="E959" s="4">
        <v>8</v>
      </c>
      <c r="F959" s="4">
        <v>1.1000000000000001</v>
      </c>
      <c r="G959">
        <v>2.37</v>
      </c>
      <c r="H959">
        <v>0.2</v>
      </c>
      <c r="I959" t="s">
        <v>15</v>
      </c>
      <c r="J959">
        <v>5</v>
      </c>
      <c r="K959">
        <v>10</v>
      </c>
      <c r="L959">
        <v>6</v>
      </c>
      <c r="M959">
        <v>0</v>
      </c>
      <c r="N959">
        <f>_xlfn.IFS(rounded[[#This Row],[social_interaction_level]] = "low", 1,rounded[[#This Row],[social_interaction_level]] = "medium", 2,rounded[[#This Row],[social_interaction_level]] = "high", 3)</f>
        <v>1</v>
      </c>
      <c r="O959">
        <f t="shared" si="14"/>
        <v>21</v>
      </c>
      <c r="P959" t="str" cm="1">
        <f t="array" ref="P959">_xlfn.SWITCH(rounded[[#This Row],[depression_label]], 0, "Not Depressed", 1, "Depressed")</f>
        <v>Not Depressed</v>
      </c>
      <c r="Q959" s="45" t="str" cm="1">
        <f t="array" ref="Q959">_xlfn.SWITCH(rounded[[#This Row],[gender]], "male", "Male", "female", "Female")</f>
        <v>Female</v>
      </c>
    </row>
    <row r="960" spans="1:17" x14ac:dyDescent="0.35">
      <c r="A960">
        <v>17</v>
      </c>
      <c r="B960" t="s">
        <v>16</v>
      </c>
      <c r="C960" s="4">
        <v>4</v>
      </c>
      <c r="D960" t="s">
        <v>14</v>
      </c>
      <c r="E960" s="4">
        <v>6.7</v>
      </c>
      <c r="F960" s="4">
        <v>0.6</v>
      </c>
      <c r="G960">
        <v>2.5099999999999998</v>
      </c>
      <c r="H960">
        <v>1.5</v>
      </c>
      <c r="I960" t="s">
        <v>18</v>
      </c>
      <c r="J960">
        <v>9</v>
      </c>
      <c r="K960">
        <v>8</v>
      </c>
      <c r="L960">
        <v>5</v>
      </c>
      <c r="M960">
        <v>0</v>
      </c>
      <c r="N960">
        <f>_xlfn.IFS(rounded[[#This Row],[social_interaction_level]] = "low", 1,rounded[[#This Row],[social_interaction_level]] = "medium", 2,rounded[[#This Row],[social_interaction_level]] = "high", 3)</f>
        <v>3</v>
      </c>
      <c r="O960">
        <f t="shared" si="14"/>
        <v>22</v>
      </c>
      <c r="P960" t="str" cm="1">
        <f t="array" ref="P960">_xlfn.SWITCH(rounded[[#This Row],[depression_label]], 0, "Not Depressed", 1, "Depressed")</f>
        <v>Not Depressed</v>
      </c>
      <c r="Q960" s="45" t="str" cm="1">
        <f t="array" ref="Q960">_xlfn.SWITCH(rounded[[#This Row],[gender]], "male", "Male", "female", "Female")</f>
        <v>Female</v>
      </c>
    </row>
    <row r="961" spans="1:17" x14ac:dyDescent="0.35">
      <c r="A961">
        <v>16</v>
      </c>
      <c r="B961" t="s">
        <v>13</v>
      </c>
      <c r="C961" s="4">
        <v>5.3</v>
      </c>
      <c r="D961" t="s">
        <v>17</v>
      </c>
      <c r="E961" s="4">
        <v>6.8</v>
      </c>
      <c r="F961" s="4">
        <v>0.7</v>
      </c>
      <c r="G961">
        <v>3.9</v>
      </c>
      <c r="H961">
        <v>1.5</v>
      </c>
      <c r="I961" t="s">
        <v>15</v>
      </c>
      <c r="J961">
        <v>5</v>
      </c>
      <c r="K961">
        <v>8</v>
      </c>
      <c r="L961">
        <v>3</v>
      </c>
      <c r="M961">
        <v>0</v>
      </c>
      <c r="N961">
        <f>_xlfn.IFS(rounded[[#This Row],[social_interaction_level]] = "low", 1,rounded[[#This Row],[social_interaction_level]] = "medium", 2,rounded[[#This Row],[social_interaction_level]] = "high", 3)</f>
        <v>1</v>
      </c>
      <c r="O961">
        <f t="shared" si="14"/>
        <v>16</v>
      </c>
      <c r="P961" t="str" cm="1">
        <f t="array" ref="P961">_xlfn.SWITCH(rounded[[#This Row],[depression_label]], 0, "Not Depressed", 1, "Depressed")</f>
        <v>Not Depressed</v>
      </c>
      <c r="Q961" s="45" t="str" cm="1">
        <f t="array" ref="Q961">_xlfn.SWITCH(rounded[[#This Row],[gender]], "male", "Male", "female", "Female")</f>
        <v>Male</v>
      </c>
    </row>
    <row r="962" spans="1:17" x14ac:dyDescent="0.35">
      <c r="A962">
        <v>17</v>
      </c>
      <c r="B962" t="s">
        <v>13</v>
      </c>
      <c r="C962" s="4">
        <v>3.8</v>
      </c>
      <c r="D962" t="s">
        <v>14</v>
      </c>
      <c r="E962" s="4">
        <v>4.7</v>
      </c>
      <c r="F962" s="4">
        <v>1.2</v>
      </c>
      <c r="G962">
        <v>3.7</v>
      </c>
      <c r="H962">
        <v>1.4</v>
      </c>
      <c r="I962" t="s">
        <v>18</v>
      </c>
      <c r="J962">
        <v>2</v>
      </c>
      <c r="K962">
        <v>2</v>
      </c>
      <c r="L962">
        <v>5</v>
      </c>
      <c r="M962">
        <v>0</v>
      </c>
      <c r="N962">
        <f>_xlfn.IFS(rounded[[#This Row],[social_interaction_level]] = "low", 1,rounded[[#This Row],[social_interaction_level]] = "medium", 2,rounded[[#This Row],[social_interaction_level]] = "high", 3)</f>
        <v>3</v>
      </c>
      <c r="O962">
        <f t="shared" ref="O962:O1025" si="15">SUM(J962+K962+L962)</f>
        <v>9</v>
      </c>
      <c r="P962" t="str" cm="1">
        <f t="array" ref="P962">_xlfn.SWITCH(rounded[[#This Row],[depression_label]], 0, "Not Depressed", 1, "Depressed")</f>
        <v>Not Depressed</v>
      </c>
      <c r="Q962" s="45" t="str" cm="1">
        <f t="array" ref="Q962">_xlfn.SWITCH(rounded[[#This Row],[gender]], "male", "Male", "female", "Female")</f>
        <v>Male</v>
      </c>
    </row>
    <row r="963" spans="1:17" x14ac:dyDescent="0.35">
      <c r="A963">
        <v>16</v>
      </c>
      <c r="B963" t="s">
        <v>16</v>
      </c>
      <c r="C963" s="4">
        <v>6</v>
      </c>
      <c r="D963" t="s">
        <v>20</v>
      </c>
      <c r="E963" s="4">
        <v>4.0999999999999996</v>
      </c>
      <c r="F963" s="4">
        <v>2.4</v>
      </c>
      <c r="G963">
        <v>2.61</v>
      </c>
      <c r="H963">
        <v>1.1000000000000001</v>
      </c>
      <c r="I963" t="s">
        <v>18</v>
      </c>
      <c r="J963">
        <v>1</v>
      </c>
      <c r="K963">
        <v>6</v>
      </c>
      <c r="L963">
        <v>3</v>
      </c>
      <c r="M963">
        <v>0</v>
      </c>
      <c r="N963">
        <f>_xlfn.IFS(rounded[[#This Row],[social_interaction_level]] = "low", 1,rounded[[#This Row],[social_interaction_level]] = "medium", 2,rounded[[#This Row],[social_interaction_level]] = "high", 3)</f>
        <v>3</v>
      </c>
      <c r="O963">
        <f t="shared" si="15"/>
        <v>10</v>
      </c>
      <c r="P963" t="str" cm="1">
        <f t="array" ref="P963">_xlfn.SWITCH(rounded[[#This Row],[depression_label]], 0, "Not Depressed", 1, "Depressed")</f>
        <v>Not Depressed</v>
      </c>
      <c r="Q963" s="45" t="str" cm="1">
        <f t="array" ref="Q963">_xlfn.SWITCH(rounded[[#This Row],[gender]], "male", "Male", "female", "Female")</f>
        <v>Female</v>
      </c>
    </row>
    <row r="964" spans="1:17" x14ac:dyDescent="0.35">
      <c r="A964">
        <v>15</v>
      </c>
      <c r="B964" t="s">
        <v>13</v>
      </c>
      <c r="C964" s="4">
        <v>2.2000000000000002</v>
      </c>
      <c r="D964" t="s">
        <v>20</v>
      </c>
      <c r="E964" s="4">
        <v>4.5</v>
      </c>
      <c r="F964" s="4">
        <v>1.3</v>
      </c>
      <c r="G964">
        <v>2.63</v>
      </c>
      <c r="H964">
        <v>1.7</v>
      </c>
      <c r="I964" t="s">
        <v>15</v>
      </c>
      <c r="J964">
        <v>10</v>
      </c>
      <c r="K964">
        <v>2</v>
      </c>
      <c r="L964">
        <v>6</v>
      </c>
      <c r="M964">
        <v>0</v>
      </c>
      <c r="N964">
        <f>_xlfn.IFS(rounded[[#This Row],[social_interaction_level]] = "low", 1,rounded[[#This Row],[social_interaction_level]] = "medium", 2,rounded[[#This Row],[social_interaction_level]] = "high", 3)</f>
        <v>1</v>
      </c>
      <c r="O964">
        <f t="shared" si="15"/>
        <v>18</v>
      </c>
      <c r="P964" t="str" cm="1">
        <f t="array" ref="P964">_xlfn.SWITCH(rounded[[#This Row],[depression_label]], 0, "Not Depressed", 1, "Depressed")</f>
        <v>Not Depressed</v>
      </c>
      <c r="Q964" s="45" t="str" cm="1">
        <f t="array" ref="Q964">_xlfn.SWITCH(rounded[[#This Row],[gender]], "male", "Male", "female", "Female")</f>
        <v>Male</v>
      </c>
    </row>
    <row r="965" spans="1:17" x14ac:dyDescent="0.35">
      <c r="A965">
        <v>18</v>
      </c>
      <c r="B965" t="s">
        <v>13</v>
      </c>
      <c r="C965" s="4">
        <v>4.3</v>
      </c>
      <c r="D965" t="s">
        <v>17</v>
      </c>
      <c r="E965" s="4">
        <v>8.4</v>
      </c>
      <c r="F965" s="4">
        <v>2.1</v>
      </c>
      <c r="G965">
        <v>2.69</v>
      </c>
      <c r="H965">
        <v>0.2</v>
      </c>
      <c r="I965" t="s">
        <v>15</v>
      </c>
      <c r="J965">
        <v>1</v>
      </c>
      <c r="K965">
        <v>10</v>
      </c>
      <c r="L965">
        <v>8</v>
      </c>
      <c r="M965">
        <v>0</v>
      </c>
      <c r="N965">
        <f>_xlfn.IFS(rounded[[#This Row],[social_interaction_level]] = "low", 1,rounded[[#This Row],[social_interaction_level]] = "medium", 2,rounded[[#This Row],[social_interaction_level]] = "high", 3)</f>
        <v>1</v>
      </c>
      <c r="O965">
        <f t="shared" si="15"/>
        <v>19</v>
      </c>
      <c r="P965" t="str" cm="1">
        <f t="array" ref="P965">_xlfn.SWITCH(rounded[[#This Row],[depression_label]], 0, "Not Depressed", 1, "Depressed")</f>
        <v>Not Depressed</v>
      </c>
      <c r="Q965" s="45" t="str" cm="1">
        <f t="array" ref="Q965">_xlfn.SWITCH(rounded[[#This Row],[gender]], "male", "Male", "female", "Female")</f>
        <v>Male</v>
      </c>
    </row>
    <row r="966" spans="1:17" x14ac:dyDescent="0.35">
      <c r="A966">
        <v>19</v>
      </c>
      <c r="B966" t="s">
        <v>16</v>
      </c>
      <c r="C966" s="4">
        <v>7.5</v>
      </c>
      <c r="D966" t="s">
        <v>17</v>
      </c>
      <c r="E966" s="4">
        <v>4.5</v>
      </c>
      <c r="F966" s="4">
        <v>2.7</v>
      </c>
      <c r="G966">
        <v>2.41</v>
      </c>
      <c r="H966">
        <v>1</v>
      </c>
      <c r="I966" t="s">
        <v>18</v>
      </c>
      <c r="J966">
        <v>3</v>
      </c>
      <c r="K966">
        <v>2</v>
      </c>
      <c r="L966">
        <v>6</v>
      </c>
      <c r="M966">
        <v>0</v>
      </c>
      <c r="N966">
        <f>_xlfn.IFS(rounded[[#This Row],[social_interaction_level]] = "low", 1,rounded[[#This Row],[social_interaction_level]] = "medium", 2,rounded[[#This Row],[social_interaction_level]] = "high", 3)</f>
        <v>3</v>
      </c>
      <c r="O966">
        <f t="shared" si="15"/>
        <v>11</v>
      </c>
      <c r="P966" t="str" cm="1">
        <f t="array" ref="P966">_xlfn.SWITCH(rounded[[#This Row],[depression_label]], 0, "Not Depressed", 1, "Depressed")</f>
        <v>Not Depressed</v>
      </c>
      <c r="Q966" s="45" t="str" cm="1">
        <f t="array" ref="Q966">_xlfn.SWITCH(rounded[[#This Row],[gender]], "male", "Male", "female", "Female")</f>
        <v>Female</v>
      </c>
    </row>
    <row r="967" spans="1:17" x14ac:dyDescent="0.35">
      <c r="A967">
        <v>14</v>
      </c>
      <c r="B967" t="s">
        <v>13</v>
      </c>
      <c r="C967" s="4">
        <v>5.3</v>
      </c>
      <c r="D967" t="s">
        <v>14</v>
      </c>
      <c r="E967" s="4">
        <v>6.8</v>
      </c>
      <c r="F967" s="4">
        <v>2.9</v>
      </c>
      <c r="G967">
        <v>2.1800000000000002</v>
      </c>
      <c r="H967">
        <v>0.8</v>
      </c>
      <c r="I967" t="s">
        <v>19</v>
      </c>
      <c r="J967">
        <v>10</v>
      </c>
      <c r="K967">
        <v>1</v>
      </c>
      <c r="L967">
        <v>6</v>
      </c>
      <c r="M967">
        <v>0</v>
      </c>
      <c r="N967">
        <f>_xlfn.IFS(rounded[[#This Row],[social_interaction_level]] = "low", 1,rounded[[#This Row],[social_interaction_level]] = "medium", 2,rounded[[#This Row],[social_interaction_level]] = "high", 3)</f>
        <v>2</v>
      </c>
      <c r="O967">
        <f t="shared" si="15"/>
        <v>17</v>
      </c>
      <c r="P967" t="str" cm="1">
        <f t="array" ref="P967">_xlfn.SWITCH(rounded[[#This Row],[depression_label]], 0, "Not Depressed", 1, "Depressed")</f>
        <v>Not Depressed</v>
      </c>
      <c r="Q967" s="45" t="str" cm="1">
        <f t="array" ref="Q967">_xlfn.SWITCH(rounded[[#This Row],[gender]], "male", "Male", "female", "Female")</f>
        <v>Male</v>
      </c>
    </row>
    <row r="968" spans="1:17" x14ac:dyDescent="0.35">
      <c r="A968">
        <v>14</v>
      </c>
      <c r="B968" t="s">
        <v>16</v>
      </c>
      <c r="C968" s="4">
        <v>7</v>
      </c>
      <c r="D968" t="s">
        <v>14</v>
      </c>
      <c r="E968" s="4">
        <v>6.9</v>
      </c>
      <c r="F968" s="4">
        <v>2.1</v>
      </c>
      <c r="G968">
        <v>3.42</v>
      </c>
      <c r="H968">
        <v>1.1000000000000001</v>
      </c>
      <c r="I968" t="s">
        <v>18</v>
      </c>
      <c r="J968">
        <v>10</v>
      </c>
      <c r="K968">
        <v>3</v>
      </c>
      <c r="L968">
        <v>6</v>
      </c>
      <c r="M968">
        <v>0</v>
      </c>
      <c r="N968">
        <f>_xlfn.IFS(rounded[[#This Row],[social_interaction_level]] = "low", 1,rounded[[#This Row],[social_interaction_level]] = "medium", 2,rounded[[#This Row],[social_interaction_level]] = "high", 3)</f>
        <v>3</v>
      </c>
      <c r="O968">
        <f t="shared" si="15"/>
        <v>19</v>
      </c>
      <c r="P968" t="str" cm="1">
        <f t="array" ref="P968">_xlfn.SWITCH(rounded[[#This Row],[depression_label]], 0, "Not Depressed", 1, "Depressed")</f>
        <v>Not Depressed</v>
      </c>
      <c r="Q968" s="45" t="str" cm="1">
        <f t="array" ref="Q968">_xlfn.SWITCH(rounded[[#This Row],[gender]], "male", "Male", "female", "Female")</f>
        <v>Female</v>
      </c>
    </row>
    <row r="969" spans="1:17" x14ac:dyDescent="0.35">
      <c r="A969">
        <v>16</v>
      </c>
      <c r="B969" t="s">
        <v>16</v>
      </c>
      <c r="C969" s="4">
        <v>2.1</v>
      </c>
      <c r="D969" t="s">
        <v>20</v>
      </c>
      <c r="E969" s="4">
        <v>4.5999999999999996</v>
      </c>
      <c r="F969" s="4">
        <v>2</v>
      </c>
      <c r="G969">
        <v>2.5499999999999998</v>
      </c>
      <c r="H969">
        <v>1.8</v>
      </c>
      <c r="I969" t="s">
        <v>18</v>
      </c>
      <c r="J969">
        <v>5</v>
      </c>
      <c r="K969">
        <v>4</v>
      </c>
      <c r="L969">
        <v>4</v>
      </c>
      <c r="M969">
        <v>0</v>
      </c>
      <c r="N969">
        <f>_xlfn.IFS(rounded[[#This Row],[social_interaction_level]] = "low", 1,rounded[[#This Row],[social_interaction_level]] = "medium", 2,rounded[[#This Row],[social_interaction_level]] = "high", 3)</f>
        <v>3</v>
      </c>
      <c r="O969">
        <f t="shared" si="15"/>
        <v>13</v>
      </c>
      <c r="P969" t="str" cm="1">
        <f t="array" ref="P969">_xlfn.SWITCH(rounded[[#This Row],[depression_label]], 0, "Not Depressed", 1, "Depressed")</f>
        <v>Not Depressed</v>
      </c>
      <c r="Q969" s="45" t="str" cm="1">
        <f t="array" ref="Q969">_xlfn.SWITCH(rounded[[#This Row],[gender]], "male", "Male", "female", "Female")</f>
        <v>Female</v>
      </c>
    </row>
    <row r="970" spans="1:17" x14ac:dyDescent="0.35">
      <c r="A970">
        <v>18</v>
      </c>
      <c r="B970" t="s">
        <v>16</v>
      </c>
      <c r="C970" s="4">
        <v>7.3</v>
      </c>
      <c r="D970" t="s">
        <v>20</v>
      </c>
      <c r="E970" s="4">
        <v>7.3</v>
      </c>
      <c r="F970" s="4">
        <v>2.8</v>
      </c>
      <c r="G970">
        <v>3.3</v>
      </c>
      <c r="H970">
        <v>0.4</v>
      </c>
      <c r="I970" t="s">
        <v>15</v>
      </c>
      <c r="J970">
        <v>1</v>
      </c>
      <c r="K970">
        <v>8</v>
      </c>
      <c r="L970">
        <v>1</v>
      </c>
      <c r="M970">
        <v>0</v>
      </c>
      <c r="N970">
        <f>_xlfn.IFS(rounded[[#This Row],[social_interaction_level]] = "low", 1,rounded[[#This Row],[social_interaction_level]] = "medium", 2,rounded[[#This Row],[social_interaction_level]] = "high", 3)</f>
        <v>1</v>
      </c>
      <c r="O970">
        <f t="shared" si="15"/>
        <v>10</v>
      </c>
      <c r="P970" t="str" cm="1">
        <f t="array" ref="P970">_xlfn.SWITCH(rounded[[#This Row],[depression_label]], 0, "Not Depressed", 1, "Depressed")</f>
        <v>Not Depressed</v>
      </c>
      <c r="Q970" s="45" t="str" cm="1">
        <f t="array" ref="Q970">_xlfn.SWITCH(rounded[[#This Row],[gender]], "male", "Male", "female", "Female")</f>
        <v>Female</v>
      </c>
    </row>
    <row r="971" spans="1:17" x14ac:dyDescent="0.35">
      <c r="A971">
        <v>17</v>
      </c>
      <c r="B971" t="s">
        <v>16</v>
      </c>
      <c r="C971" s="4">
        <v>2.6</v>
      </c>
      <c r="D971" t="s">
        <v>14</v>
      </c>
      <c r="E971" s="4">
        <v>6.5</v>
      </c>
      <c r="F971" s="4">
        <v>1.5</v>
      </c>
      <c r="G971">
        <v>3.8</v>
      </c>
      <c r="H971">
        <v>0.2</v>
      </c>
      <c r="I971" t="s">
        <v>18</v>
      </c>
      <c r="J971">
        <v>8</v>
      </c>
      <c r="K971">
        <v>6</v>
      </c>
      <c r="L971">
        <v>1</v>
      </c>
      <c r="M971">
        <v>0</v>
      </c>
      <c r="N971">
        <f>_xlfn.IFS(rounded[[#This Row],[social_interaction_level]] = "low", 1,rounded[[#This Row],[social_interaction_level]] = "medium", 2,rounded[[#This Row],[social_interaction_level]] = "high", 3)</f>
        <v>3</v>
      </c>
      <c r="O971">
        <f t="shared" si="15"/>
        <v>15</v>
      </c>
      <c r="P971" t="str" cm="1">
        <f t="array" ref="P971">_xlfn.SWITCH(rounded[[#This Row],[depression_label]], 0, "Not Depressed", 1, "Depressed")</f>
        <v>Not Depressed</v>
      </c>
      <c r="Q971" s="45" t="str" cm="1">
        <f t="array" ref="Q971">_xlfn.SWITCH(rounded[[#This Row],[gender]], "male", "Male", "female", "Female")</f>
        <v>Female</v>
      </c>
    </row>
    <row r="972" spans="1:17" x14ac:dyDescent="0.35">
      <c r="A972">
        <v>17</v>
      </c>
      <c r="B972" t="s">
        <v>13</v>
      </c>
      <c r="C972" s="4">
        <v>5.4</v>
      </c>
      <c r="D972" t="s">
        <v>20</v>
      </c>
      <c r="E972" s="4">
        <v>4.9000000000000004</v>
      </c>
      <c r="F972" s="4">
        <v>1.5</v>
      </c>
      <c r="G972">
        <v>3.4</v>
      </c>
      <c r="H972">
        <v>0</v>
      </c>
      <c r="I972" t="s">
        <v>19</v>
      </c>
      <c r="J972">
        <v>2</v>
      </c>
      <c r="K972">
        <v>2</v>
      </c>
      <c r="L972">
        <v>1</v>
      </c>
      <c r="M972">
        <v>0</v>
      </c>
      <c r="N972">
        <f>_xlfn.IFS(rounded[[#This Row],[social_interaction_level]] = "low", 1,rounded[[#This Row],[social_interaction_level]] = "medium", 2,rounded[[#This Row],[social_interaction_level]] = "high", 3)</f>
        <v>2</v>
      </c>
      <c r="O972">
        <f t="shared" si="15"/>
        <v>5</v>
      </c>
      <c r="P972" t="str" cm="1">
        <f t="array" ref="P972">_xlfn.SWITCH(rounded[[#This Row],[depression_label]], 0, "Not Depressed", 1, "Depressed")</f>
        <v>Not Depressed</v>
      </c>
      <c r="Q972" s="45" t="str" cm="1">
        <f t="array" ref="Q972">_xlfn.SWITCH(rounded[[#This Row],[gender]], "male", "Male", "female", "Female")</f>
        <v>Male</v>
      </c>
    </row>
    <row r="973" spans="1:17" x14ac:dyDescent="0.35">
      <c r="A973">
        <v>15</v>
      </c>
      <c r="B973" t="s">
        <v>13</v>
      </c>
      <c r="C973" s="4">
        <v>6.9</v>
      </c>
      <c r="D973" t="s">
        <v>14</v>
      </c>
      <c r="E973" s="4">
        <v>6.2</v>
      </c>
      <c r="F973" s="4">
        <v>0.6</v>
      </c>
      <c r="G973">
        <v>2.37</v>
      </c>
      <c r="H973">
        <v>0.2</v>
      </c>
      <c r="I973" t="s">
        <v>15</v>
      </c>
      <c r="J973">
        <v>3</v>
      </c>
      <c r="K973">
        <v>1</v>
      </c>
      <c r="L973">
        <v>4</v>
      </c>
      <c r="M973">
        <v>0</v>
      </c>
      <c r="N973">
        <f>_xlfn.IFS(rounded[[#This Row],[social_interaction_level]] = "low", 1,rounded[[#This Row],[social_interaction_level]] = "medium", 2,rounded[[#This Row],[social_interaction_level]] = "high", 3)</f>
        <v>1</v>
      </c>
      <c r="O973">
        <f t="shared" si="15"/>
        <v>8</v>
      </c>
      <c r="P973" t="str" cm="1">
        <f t="array" ref="P973">_xlfn.SWITCH(rounded[[#This Row],[depression_label]], 0, "Not Depressed", 1, "Depressed")</f>
        <v>Not Depressed</v>
      </c>
      <c r="Q973" s="45" t="str" cm="1">
        <f t="array" ref="Q973">_xlfn.SWITCH(rounded[[#This Row],[gender]], "male", "Male", "female", "Female")</f>
        <v>Male</v>
      </c>
    </row>
    <row r="974" spans="1:17" x14ac:dyDescent="0.35">
      <c r="A974">
        <v>19</v>
      </c>
      <c r="B974" t="s">
        <v>16</v>
      </c>
      <c r="C974" s="4">
        <v>3</v>
      </c>
      <c r="D974" t="s">
        <v>14</v>
      </c>
      <c r="E974" s="4">
        <v>5.5</v>
      </c>
      <c r="F974" s="4">
        <v>2.1</v>
      </c>
      <c r="G974">
        <v>3.08</v>
      </c>
      <c r="H974">
        <v>0.7</v>
      </c>
      <c r="I974" t="s">
        <v>15</v>
      </c>
      <c r="J974">
        <v>9</v>
      </c>
      <c r="K974">
        <v>3</v>
      </c>
      <c r="L974">
        <v>5</v>
      </c>
      <c r="M974">
        <v>0</v>
      </c>
      <c r="N974">
        <f>_xlfn.IFS(rounded[[#This Row],[social_interaction_level]] = "low", 1,rounded[[#This Row],[social_interaction_level]] = "medium", 2,rounded[[#This Row],[social_interaction_level]] = "high", 3)</f>
        <v>1</v>
      </c>
      <c r="O974">
        <f t="shared" si="15"/>
        <v>17</v>
      </c>
      <c r="P974" t="str" cm="1">
        <f t="array" ref="P974">_xlfn.SWITCH(rounded[[#This Row],[depression_label]], 0, "Not Depressed", 1, "Depressed")</f>
        <v>Not Depressed</v>
      </c>
      <c r="Q974" s="45" t="str" cm="1">
        <f t="array" ref="Q974">_xlfn.SWITCH(rounded[[#This Row],[gender]], "male", "Male", "female", "Female")</f>
        <v>Female</v>
      </c>
    </row>
    <row r="975" spans="1:17" x14ac:dyDescent="0.35">
      <c r="A975">
        <v>18</v>
      </c>
      <c r="B975" t="s">
        <v>13</v>
      </c>
      <c r="C975" s="4">
        <v>1.3</v>
      </c>
      <c r="D975" t="s">
        <v>14</v>
      </c>
      <c r="E975" s="4">
        <v>4.5</v>
      </c>
      <c r="F975" s="4">
        <v>2.2999999999999998</v>
      </c>
      <c r="G975">
        <v>2.2799999999999998</v>
      </c>
      <c r="H975">
        <v>1</v>
      </c>
      <c r="I975" t="s">
        <v>15</v>
      </c>
      <c r="J975">
        <v>2</v>
      </c>
      <c r="K975">
        <v>7</v>
      </c>
      <c r="L975">
        <v>8</v>
      </c>
      <c r="M975">
        <v>0</v>
      </c>
      <c r="N975">
        <f>_xlfn.IFS(rounded[[#This Row],[social_interaction_level]] = "low", 1,rounded[[#This Row],[social_interaction_level]] = "medium", 2,rounded[[#This Row],[social_interaction_level]] = "high", 3)</f>
        <v>1</v>
      </c>
      <c r="O975">
        <f t="shared" si="15"/>
        <v>17</v>
      </c>
      <c r="P975" t="str" cm="1">
        <f t="array" ref="P975">_xlfn.SWITCH(rounded[[#This Row],[depression_label]], 0, "Not Depressed", 1, "Depressed")</f>
        <v>Not Depressed</v>
      </c>
      <c r="Q975" s="45" t="str" cm="1">
        <f t="array" ref="Q975">_xlfn.SWITCH(rounded[[#This Row],[gender]], "male", "Male", "female", "Female")</f>
        <v>Male</v>
      </c>
    </row>
    <row r="976" spans="1:17" x14ac:dyDescent="0.35">
      <c r="A976">
        <v>15</v>
      </c>
      <c r="B976" t="s">
        <v>13</v>
      </c>
      <c r="C976" s="4">
        <v>6.2</v>
      </c>
      <c r="D976" t="s">
        <v>20</v>
      </c>
      <c r="E976" s="4">
        <v>6.4</v>
      </c>
      <c r="F976" s="4">
        <v>1.4</v>
      </c>
      <c r="G976">
        <v>3.34</v>
      </c>
      <c r="H976">
        <v>0.9</v>
      </c>
      <c r="I976" t="s">
        <v>18</v>
      </c>
      <c r="J976">
        <v>8</v>
      </c>
      <c r="K976">
        <v>9</v>
      </c>
      <c r="L976">
        <v>9</v>
      </c>
      <c r="M976">
        <v>0</v>
      </c>
      <c r="N976">
        <f>_xlfn.IFS(rounded[[#This Row],[social_interaction_level]] = "low", 1,rounded[[#This Row],[social_interaction_level]] = "medium", 2,rounded[[#This Row],[social_interaction_level]] = "high", 3)</f>
        <v>3</v>
      </c>
      <c r="O976">
        <f t="shared" si="15"/>
        <v>26</v>
      </c>
      <c r="P976" t="str" cm="1">
        <f t="array" ref="P976">_xlfn.SWITCH(rounded[[#This Row],[depression_label]], 0, "Not Depressed", 1, "Depressed")</f>
        <v>Not Depressed</v>
      </c>
      <c r="Q976" s="45" t="str" cm="1">
        <f t="array" ref="Q976">_xlfn.SWITCH(rounded[[#This Row],[gender]], "male", "Male", "female", "Female")</f>
        <v>Male</v>
      </c>
    </row>
    <row r="977" spans="1:17" x14ac:dyDescent="0.35">
      <c r="A977">
        <v>15</v>
      </c>
      <c r="B977" t="s">
        <v>13</v>
      </c>
      <c r="C977" s="4">
        <v>3.6</v>
      </c>
      <c r="D977" t="s">
        <v>14</v>
      </c>
      <c r="E977" s="4">
        <v>5.5</v>
      </c>
      <c r="F977" s="4">
        <v>1.2</v>
      </c>
      <c r="G977">
        <v>2.4900000000000002</v>
      </c>
      <c r="H977">
        <v>1.9</v>
      </c>
      <c r="I977" t="s">
        <v>15</v>
      </c>
      <c r="J977">
        <v>1</v>
      </c>
      <c r="K977">
        <v>4</v>
      </c>
      <c r="L977">
        <v>9</v>
      </c>
      <c r="M977">
        <v>0</v>
      </c>
      <c r="N977">
        <f>_xlfn.IFS(rounded[[#This Row],[social_interaction_level]] = "low", 1,rounded[[#This Row],[social_interaction_level]] = "medium", 2,rounded[[#This Row],[social_interaction_level]] = "high", 3)</f>
        <v>1</v>
      </c>
      <c r="O977">
        <f t="shared" si="15"/>
        <v>14</v>
      </c>
      <c r="P977" t="str" cm="1">
        <f t="array" ref="P977">_xlfn.SWITCH(rounded[[#This Row],[depression_label]], 0, "Not Depressed", 1, "Depressed")</f>
        <v>Not Depressed</v>
      </c>
      <c r="Q977" s="45" t="str" cm="1">
        <f t="array" ref="Q977">_xlfn.SWITCH(rounded[[#This Row],[gender]], "male", "Male", "female", "Female")</f>
        <v>Male</v>
      </c>
    </row>
    <row r="978" spans="1:17" x14ac:dyDescent="0.35">
      <c r="A978">
        <v>18</v>
      </c>
      <c r="B978" t="s">
        <v>16</v>
      </c>
      <c r="C978" s="4">
        <v>6.5</v>
      </c>
      <c r="D978" t="s">
        <v>20</v>
      </c>
      <c r="E978" s="4">
        <v>6.7</v>
      </c>
      <c r="F978" s="4">
        <v>2.5</v>
      </c>
      <c r="G978">
        <v>2.98</v>
      </c>
      <c r="H978">
        <v>0.1</v>
      </c>
      <c r="I978" t="s">
        <v>18</v>
      </c>
      <c r="J978">
        <v>9</v>
      </c>
      <c r="K978">
        <v>7</v>
      </c>
      <c r="L978">
        <v>7</v>
      </c>
      <c r="M978">
        <v>0</v>
      </c>
      <c r="N978">
        <f>_xlfn.IFS(rounded[[#This Row],[social_interaction_level]] = "low", 1,rounded[[#This Row],[social_interaction_level]] = "medium", 2,rounded[[#This Row],[social_interaction_level]] = "high", 3)</f>
        <v>3</v>
      </c>
      <c r="O978">
        <f t="shared" si="15"/>
        <v>23</v>
      </c>
      <c r="P978" t="str" cm="1">
        <f t="array" ref="P978">_xlfn.SWITCH(rounded[[#This Row],[depression_label]], 0, "Not Depressed", 1, "Depressed")</f>
        <v>Not Depressed</v>
      </c>
      <c r="Q978" s="45" t="str" cm="1">
        <f t="array" ref="Q978">_xlfn.SWITCH(rounded[[#This Row],[gender]], "male", "Male", "female", "Female")</f>
        <v>Female</v>
      </c>
    </row>
    <row r="979" spans="1:17" x14ac:dyDescent="0.35">
      <c r="A979">
        <v>17</v>
      </c>
      <c r="B979" t="s">
        <v>16</v>
      </c>
      <c r="C979" s="4">
        <v>5.3</v>
      </c>
      <c r="D979" t="s">
        <v>14</v>
      </c>
      <c r="E979" s="4">
        <v>6.6</v>
      </c>
      <c r="F979" s="4">
        <v>0.6</v>
      </c>
      <c r="G979">
        <v>3.04</v>
      </c>
      <c r="H979">
        <v>0.1</v>
      </c>
      <c r="I979" t="s">
        <v>18</v>
      </c>
      <c r="J979">
        <v>3</v>
      </c>
      <c r="K979">
        <v>7</v>
      </c>
      <c r="L979">
        <v>1</v>
      </c>
      <c r="M979">
        <v>0</v>
      </c>
      <c r="N979">
        <f>_xlfn.IFS(rounded[[#This Row],[social_interaction_level]] = "low", 1,rounded[[#This Row],[social_interaction_level]] = "medium", 2,rounded[[#This Row],[social_interaction_level]] = "high", 3)</f>
        <v>3</v>
      </c>
      <c r="O979">
        <f t="shared" si="15"/>
        <v>11</v>
      </c>
      <c r="P979" t="str" cm="1">
        <f t="array" ref="P979">_xlfn.SWITCH(rounded[[#This Row],[depression_label]], 0, "Not Depressed", 1, "Depressed")</f>
        <v>Not Depressed</v>
      </c>
      <c r="Q979" s="45" t="str" cm="1">
        <f t="array" ref="Q979">_xlfn.SWITCH(rounded[[#This Row],[gender]], "male", "Male", "female", "Female")</f>
        <v>Female</v>
      </c>
    </row>
    <row r="980" spans="1:17" x14ac:dyDescent="0.35">
      <c r="A980">
        <v>16</v>
      </c>
      <c r="B980" t="s">
        <v>13</v>
      </c>
      <c r="C980" s="4">
        <v>4.5999999999999996</v>
      </c>
      <c r="D980" t="s">
        <v>20</v>
      </c>
      <c r="E980" s="4">
        <v>5.3</v>
      </c>
      <c r="F980" s="4">
        <v>1.3</v>
      </c>
      <c r="G980">
        <v>3.76</v>
      </c>
      <c r="H980">
        <v>0.5</v>
      </c>
      <c r="I980" t="s">
        <v>19</v>
      </c>
      <c r="J980">
        <v>3</v>
      </c>
      <c r="K980">
        <v>8</v>
      </c>
      <c r="L980">
        <v>8</v>
      </c>
      <c r="M980">
        <v>0</v>
      </c>
      <c r="N980">
        <f>_xlfn.IFS(rounded[[#This Row],[social_interaction_level]] = "low", 1,rounded[[#This Row],[social_interaction_level]] = "medium", 2,rounded[[#This Row],[social_interaction_level]] = "high", 3)</f>
        <v>2</v>
      </c>
      <c r="O980">
        <f t="shared" si="15"/>
        <v>19</v>
      </c>
      <c r="P980" t="str" cm="1">
        <f t="array" ref="P980">_xlfn.SWITCH(rounded[[#This Row],[depression_label]], 0, "Not Depressed", 1, "Depressed")</f>
        <v>Not Depressed</v>
      </c>
      <c r="Q980" s="45" t="str" cm="1">
        <f t="array" ref="Q980">_xlfn.SWITCH(rounded[[#This Row],[gender]], "male", "Male", "female", "Female")</f>
        <v>Male</v>
      </c>
    </row>
    <row r="981" spans="1:17" x14ac:dyDescent="0.35">
      <c r="A981">
        <v>18</v>
      </c>
      <c r="B981" t="s">
        <v>13</v>
      </c>
      <c r="C981" s="4">
        <v>7.7</v>
      </c>
      <c r="D981" t="s">
        <v>20</v>
      </c>
      <c r="E981" s="4">
        <v>6.6</v>
      </c>
      <c r="F981" s="4">
        <v>1.6</v>
      </c>
      <c r="G981">
        <v>4</v>
      </c>
      <c r="H981">
        <v>1.9</v>
      </c>
      <c r="I981" t="s">
        <v>18</v>
      </c>
      <c r="J981">
        <v>3</v>
      </c>
      <c r="K981">
        <v>3</v>
      </c>
      <c r="L981">
        <v>9</v>
      </c>
      <c r="M981">
        <v>0</v>
      </c>
      <c r="N981">
        <f>_xlfn.IFS(rounded[[#This Row],[social_interaction_level]] = "low", 1,rounded[[#This Row],[social_interaction_level]] = "medium", 2,rounded[[#This Row],[social_interaction_level]] = "high", 3)</f>
        <v>3</v>
      </c>
      <c r="O981">
        <f t="shared" si="15"/>
        <v>15</v>
      </c>
      <c r="P981" t="str" cm="1">
        <f t="array" ref="P981">_xlfn.SWITCH(rounded[[#This Row],[depression_label]], 0, "Not Depressed", 1, "Depressed")</f>
        <v>Not Depressed</v>
      </c>
      <c r="Q981" s="45" t="str" cm="1">
        <f t="array" ref="Q981">_xlfn.SWITCH(rounded[[#This Row],[gender]], "male", "Male", "female", "Female")</f>
        <v>Male</v>
      </c>
    </row>
    <row r="982" spans="1:17" x14ac:dyDescent="0.35">
      <c r="A982">
        <v>19</v>
      </c>
      <c r="B982" t="s">
        <v>13</v>
      </c>
      <c r="C982" s="4">
        <v>7.1</v>
      </c>
      <c r="D982" t="s">
        <v>17</v>
      </c>
      <c r="E982" s="4">
        <v>8.4</v>
      </c>
      <c r="F982" s="4">
        <v>1.8</v>
      </c>
      <c r="G982">
        <v>2.93</v>
      </c>
      <c r="H982">
        <v>1.3</v>
      </c>
      <c r="I982" t="s">
        <v>19</v>
      </c>
      <c r="J982">
        <v>1</v>
      </c>
      <c r="K982">
        <v>6</v>
      </c>
      <c r="L982">
        <v>8</v>
      </c>
      <c r="M982">
        <v>0</v>
      </c>
      <c r="N982">
        <f>_xlfn.IFS(rounded[[#This Row],[social_interaction_level]] = "low", 1,rounded[[#This Row],[social_interaction_level]] = "medium", 2,rounded[[#This Row],[social_interaction_level]] = "high", 3)</f>
        <v>2</v>
      </c>
      <c r="O982">
        <f t="shared" si="15"/>
        <v>15</v>
      </c>
      <c r="P982" t="str" cm="1">
        <f t="array" ref="P982">_xlfn.SWITCH(rounded[[#This Row],[depression_label]], 0, "Not Depressed", 1, "Depressed")</f>
        <v>Not Depressed</v>
      </c>
      <c r="Q982" s="45" t="str" cm="1">
        <f t="array" ref="Q982">_xlfn.SWITCH(rounded[[#This Row],[gender]], "male", "Male", "female", "Female")</f>
        <v>Male</v>
      </c>
    </row>
    <row r="983" spans="1:17" x14ac:dyDescent="0.35">
      <c r="A983">
        <v>16</v>
      </c>
      <c r="B983" t="s">
        <v>13</v>
      </c>
      <c r="C983" s="4">
        <v>3.9</v>
      </c>
      <c r="D983" t="s">
        <v>17</v>
      </c>
      <c r="E983" s="4">
        <v>7.5</v>
      </c>
      <c r="F983" s="4">
        <v>2.1</v>
      </c>
      <c r="G983">
        <v>3.24</v>
      </c>
      <c r="H983">
        <v>0.9</v>
      </c>
      <c r="I983" t="s">
        <v>15</v>
      </c>
      <c r="J983">
        <v>4</v>
      </c>
      <c r="K983">
        <v>3</v>
      </c>
      <c r="L983">
        <v>2</v>
      </c>
      <c r="M983">
        <v>0</v>
      </c>
      <c r="N983">
        <f>_xlfn.IFS(rounded[[#This Row],[social_interaction_level]] = "low", 1,rounded[[#This Row],[social_interaction_level]] = "medium", 2,rounded[[#This Row],[social_interaction_level]] = "high", 3)</f>
        <v>1</v>
      </c>
      <c r="O983">
        <f t="shared" si="15"/>
        <v>9</v>
      </c>
      <c r="P983" t="str" cm="1">
        <f t="array" ref="P983">_xlfn.SWITCH(rounded[[#This Row],[depression_label]], 0, "Not Depressed", 1, "Depressed")</f>
        <v>Not Depressed</v>
      </c>
      <c r="Q983" s="45" t="str" cm="1">
        <f t="array" ref="Q983">_xlfn.SWITCH(rounded[[#This Row],[gender]], "male", "Male", "female", "Female")</f>
        <v>Male</v>
      </c>
    </row>
    <row r="984" spans="1:17" x14ac:dyDescent="0.35">
      <c r="A984">
        <v>19</v>
      </c>
      <c r="B984" t="s">
        <v>16</v>
      </c>
      <c r="C984" s="4">
        <v>7.5</v>
      </c>
      <c r="D984" t="s">
        <v>17</v>
      </c>
      <c r="E984" s="4">
        <v>8.6</v>
      </c>
      <c r="F984" s="4">
        <v>0.9</v>
      </c>
      <c r="G984">
        <v>2.25</v>
      </c>
      <c r="H984">
        <v>1.6</v>
      </c>
      <c r="I984" t="s">
        <v>18</v>
      </c>
      <c r="J984">
        <v>9</v>
      </c>
      <c r="K984">
        <v>8</v>
      </c>
      <c r="L984">
        <v>4</v>
      </c>
      <c r="M984">
        <v>0</v>
      </c>
      <c r="N984">
        <f>_xlfn.IFS(rounded[[#This Row],[social_interaction_level]] = "low", 1,rounded[[#This Row],[social_interaction_level]] = "medium", 2,rounded[[#This Row],[social_interaction_level]] = "high", 3)</f>
        <v>3</v>
      </c>
      <c r="O984">
        <f t="shared" si="15"/>
        <v>21</v>
      </c>
      <c r="P984" t="str" cm="1">
        <f t="array" ref="P984">_xlfn.SWITCH(rounded[[#This Row],[depression_label]], 0, "Not Depressed", 1, "Depressed")</f>
        <v>Not Depressed</v>
      </c>
      <c r="Q984" s="45" t="str" cm="1">
        <f t="array" ref="Q984">_xlfn.SWITCH(rounded[[#This Row],[gender]], "male", "Male", "female", "Female")</f>
        <v>Female</v>
      </c>
    </row>
    <row r="985" spans="1:17" x14ac:dyDescent="0.35">
      <c r="A985">
        <v>18</v>
      </c>
      <c r="B985" t="s">
        <v>13</v>
      </c>
      <c r="C985" s="4">
        <v>5.8</v>
      </c>
      <c r="D985" t="s">
        <v>17</v>
      </c>
      <c r="E985" s="4">
        <v>7.5</v>
      </c>
      <c r="F985" s="4">
        <v>2.2000000000000002</v>
      </c>
      <c r="G985">
        <v>3.65</v>
      </c>
      <c r="H985">
        <v>1.4</v>
      </c>
      <c r="I985" t="s">
        <v>19</v>
      </c>
      <c r="J985">
        <v>4</v>
      </c>
      <c r="K985">
        <v>4</v>
      </c>
      <c r="L985">
        <v>8</v>
      </c>
      <c r="M985">
        <v>0</v>
      </c>
      <c r="N985">
        <f>_xlfn.IFS(rounded[[#This Row],[social_interaction_level]] = "low", 1,rounded[[#This Row],[social_interaction_level]] = "medium", 2,rounded[[#This Row],[social_interaction_level]] = "high", 3)</f>
        <v>2</v>
      </c>
      <c r="O985">
        <f t="shared" si="15"/>
        <v>16</v>
      </c>
      <c r="P985" t="str" cm="1">
        <f t="array" ref="P985">_xlfn.SWITCH(rounded[[#This Row],[depression_label]], 0, "Not Depressed", 1, "Depressed")</f>
        <v>Not Depressed</v>
      </c>
      <c r="Q985" s="45" t="str" cm="1">
        <f t="array" ref="Q985">_xlfn.SWITCH(rounded[[#This Row],[gender]], "male", "Male", "female", "Female")</f>
        <v>Male</v>
      </c>
    </row>
    <row r="986" spans="1:17" x14ac:dyDescent="0.35">
      <c r="A986">
        <v>17</v>
      </c>
      <c r="B986" t="s">
        <v>16</v>
      </c>
      <c r="C986" s="4">
        <v>7.6</v>
      </c>
      <c r="D986" t="s">
        <v>14</v>
      </c>
      <c r="E986" s="4">
        <v>7.3</v>
      </c>
      <c r="F986" s="4">
        <v>2.9</v>
      </c>
      <c r="G986">
        <v>2.99</v>
      </c>
      <c r="H986">
        <v>1.2</v>
      </c>
      <c r="I986" t="s">
        <v>18</v>
      </c>
      <c r="J986">
        <v>4</v>
      </c>
      <c r="K986">
        <v>8</v>
      </c>
      <c r="L986">
        <v>10</v>
      </c>
      <c r="M986">
        <v>0</v>
      </c>
      <c r="N986">
        <f>_xlfn.IFS(rounded[[#This Row],[social_interaction_level]] = "low", 1,rounded[[#This Row],[social_interaction_level]] = "medium", 2,rounded[[#This Row],[social_interaction_level]] = "high", 3)</f>
        <v>3</v>
      </c>
      <c r="O986">
        <f t="shared" si="15"/>
        <v>22</v>
      </c>
      <c r="P986" t="str" cm="1">
        <f t="array" ref="P986">_xlfn.SWITCH(rounded[[#This Row],[depression_label]], 0, "Not Depressed", 1, "Depressed")</f>
        <v>Not Depressed</v>
      </c>
      <c r="Q986" s="45" t="str" cm="1">
        <f t="array" ref="Q986">_xlfn.SWITCH(rounded[[#This Row],[gender]], "male", "Male", "female", "Female")</f>
        <v>Female</v>
      </c>
    </row>
    <row r="987" spans="1:17" x14ac:dyDescent="0.35">
      <c r="A987">
        <v>19</v>
      </c>
      <c r="B987" t="s">
        <v>16</v>
      </c>
      <c r="C987" s="4">
        <v>4.4000000000000004</v>
      </c>
      <c r="D987" t="s">
        <v>14</v>
      </c>
      <c r="E987" s="4">
        <v>7.4</v>
      </c>
      <c r="F987" s="4">
        <v>2.8</v>
      </c>
      <c r="G987">
        <v>3.28</v>
      </c>
      <c r="H987">
        <v>1.5</v>
      </c>
      <c r="I987" t="s">
        <v>19</v>
      </c>
      <c r="J987">
        <v>7</v>
      </c>
      <c r="K987">
        <v>5</v>
      </c>
      <c r="L987">
        <v>4</v>
      </c>
      <c r="M987">
        <v>0</v>
      </c>
      <c r="N987">
        <f>_xlfn.IFS(rounded[[#This Row],[social_interaction_level]] = "low", 1,rounded[[#This Row],[social_interaction_level]] = "medium", 2,rounded[[#This Row],[social_interaction_level]] = "high", 3)</f>
        <v>2</v>
      </c>
      <c r="O987">
        <f t="shared" si="15"/>
        <v>16</v>
      </c>
      <c r="P987" t="str" cm="1">
        <f t="array" ref="P987">_xlfn.SWITCH(rounded[[#This Row],[depression_label]], 0, "Not Depressed", 1, "Depressed")</f>
        <v>Not Depressed</v>
      </c>
      <c r="Q987" s="45" t="str" cm="1">
        <f t="array" ref="Q987">_xlfn.SWITCH(rounded[[#This Row],[gender]], "male", "Male", "female", "Female")</f>
        <v>Female</v>
      </c>
    </row>
    <row r="988" spans="1:17" x14ac:dyDescent="0.35">
      <c r="A988">
        <v>19</v>
      </c>
      <c r="B988" t="s">
        <v>13</v>
      </c>
      <c r="C988" s="4">
        <v>4.5999999999999996</v>
      </c>
      <c r="D988" t="s">
        <v>20</v>
      </c>
      <c r="E988" s="4">
        <v>4.5999999999999996</v>
      </c>
      <c r="F988" s="4">
        <v>2.5</v>
      </c>
      <c r="G988">
        <v>2.4</v>
      </c>
      <c r="H988">
        <v>1</v>
      </c>
      <c r="I988" t="s">
        <v>18</v>
      </c>
      <c r="J988">
        <v>10</v>
      </c>
      <c r="K988">
        <v>10</v>
      </c>
      <c r="L988">
        <v>8</v>
      </c>
      <c r="M988">
        <v>0</v>
      </c>
      <c r="N988">
        <f>_xlfn.IFS(rounded[[#This Row],[social_interaction_level]] = "low", 1,rounded[[#This Row],[social_interaction_level]] = "medium", 2,rounded[[#This Row],[social_interaction_level]] = "high", 3)</f>
        <v>3</v>
      </c>
      <c r="O988">
        <f t="shared" si="15"/>
        <v>28</v>
      </c>
      <c r="P988" t="str" cm="1">
        <f t="array" ref="P988">_xlfn.SWITCH(rounded[[#This Row],[depression_label]], 0, "Not Depressed", 1, "Depressed")</f>
        <v>Not Depressed</v>
      </c>
      <c r="Q988" s="45" t="str" cm="1">
        <f t="array" ref="Q988">_xlfn.SWITCH(rounded[[#This Row],[gender]], "male", "Male", "female", "Female")</f>
        <v>Male</v>
      </c>
    </row>
    <row r="989" spans="1:17" x14ac:dyDescent="0.35">
      <c r="A989">
        <v>18</v>
      </c>
      <c r="B989" t="s">
        <v>16</v>
      </c>
      <c r="C989" s="4">
        <v>7</v>
      </c>
      <c r="D989" t="s">
        <v>20</v>
      </c>
      <c r="E989" s="4">
        <v>8.9</v>
      </c>
      <c r="F989" s="4">
        <v>0.7</v>
      </c>
      <c r="G989">
        <v>2.79</v>
      </c>
      <c r="H989">
        <v>0.4</v>
      </c>
      <c r="I989" t="s">
        <v>19</v>
      </c>
      <c r="J989">
        <v>2</v>
      </c>
      <c r="K989">
        <v>10</v>
      </c>
      <c r="L989">
        <v>8</v>
      </c>
      <c r="M989">
        <v>0</v>
      </c>
      <c r="N989">
        <f>_xlfn.IFS(rounded[[#This Row],[social_interaction_level]] = "low", 1,rounded[[#This Row],[social_interaction_level]] = "medium", 2,rounded[[#This Row],[social_interaction_level]] = "high", 3)</f>
        <v>2</v>
      </c>
      <c r="O989">
        <f t="shared" si="15"/>
        <v>20</v>
      </c>
      <c r="P989" t="str" cm="1">
        <f t="array" ref="P989">_xlfn.SWITCH(rounded[[#This Row],[depression_label]], 0, "Not Depressed", 1, "Depressed")</f>
        <v>Not Depressed</v>
      </c>
      <c r="Q989" s="45" t="str" cm="1">
        <f t="array" ref="Q989">_xlfn.SWITCH(rounded[[#This Row],[gender]], "male", "Male", "female", "Female")</f>
        <v>Female</v>
      </c>
    </row>
    <row r="990" spans="1:17" x14ac:dyDescent="0.35">
      <c r="A990">
        <v>16</v>
      </c>
      <c r="B990" t="s">
        <v>16</v>
      </c>
      <c r="C990" s="4">
        <v>3.6</v>
      </c>
      <c r="D990" t="s">
        <v>17</v>
      </c>
      <c r="E990" s="4">
        <v>8.8000000000000007</v>
      </c>
      <c r="F990" s="4">
        <v>1.2</v>
      </c>
      <c r="G990">
        <v>2.3199999999999998</v>
      </c>
      <c r="H990">
        <v>0.5</v>
      </c>
      <c r="I990" t="s">
        <v>15</v>
      </c>
      <c r="J990">
        <v>2</v>
      </c>
      <c r="K990">
        <v>4</v>
      </c>
      <c r="L990">
        <v>5</v>
      </c>
      <c r="M990">
        <v>0</v>
      </c>
      <c r="N990">
        <f>_xlfn.IFS(rounded[[#This Row],[social_interaction_level]] = "low", 1,rounded[[#This Row],[social_interaction_level]] = "medium", 2,rounded[[#This Row],[social_interaction_level]] = "high", 3)</f>
        <v>1</v>
      </c>
      <c r="O990">
        <f t="shared" si="15"/>
        <v>11</v>
      </c>
      <c r="P990" t="str" cm="1">
        <f t="array" ref="P990">_xlfn.SWITCH(rounded[[#This Row],[depression_label]], 0, "Not Depressed", 1, "Depressed")</f>
        <v>Not Depressed</v>
      </c>
      <c r="Q990" s="45" t="str" cm="1">
        <f t="array" ref="Q990">_xlfn.SWITCH(rounded[[#This Row],[gender]], "male", "Male", "female", "Female")</f>
        <v>Female</v>
      </c>
    </row>
    <row r="991" spans="1:17" x14ac:dyDescent="0.35">
      <c r="A991">
        <v>15</v>
      </c>
      <c r="B991" t="s">
        <v>16</v>
      </c>
      <c r="C991" s="4">
        <v>3</v>
      </c>
      <c r="D991" t="s">
        <v>17</v>
      </c>
      <c r="E991" s="4">
        <v>6.6</v>
      </c>
      <c r="F991" s="4">
        <v>0.9</v>
      </c>
      <c r="G991">
        <v>2.69</v>
      </c>
      <c r="H991">
        <v>1.8</v>
      </c>
      <c r="I991" t="s">
        <v>19</v>
      </c>
      <c r="J991">
        <v>1</v>
      </c>
      <c r="K991">
        <v>2</v>
      </c>
      <c r="L991">
        <v>2</v>
      </c>
      <c r="M991">
        <v>0</v>
      </c>
      <c r="N991">
        <f>_xlfn.IFS(rounded[[#This Row],[social_interaction_level]] = "low", 1,rounded[[#This Row],[social_interaction_level]] = "medium", 2,rounded[[#This Row],[social_interaction_level]] = "high", 3)</f>
        <v>2</v>
      </c>
      <c r="O991">
        <f t="shared" si="15"/>
        <v>5</v>
      </c>
      <c r="P991" t="str" cm="1">
        <f t="array" ref="P991">_xlfn.SWITCH(rounded[[#This Row],[depression_label]], 0, "Not Depressed", 1, "Depressed")</f>
        <v>Not Depressed</v>
      </c>
      <c r="Q991" s="45" t="str" cm="1">
        <f t="array" ref="Q991">_xlfn.SWITCH(rounded[[#This Row],[gender]], "male", "Male", "female", "Female")</f>
        <v>Female</v>
      </c>
    </row>
    <row r="992" spans="1:17" x14ac:dyDescent="0.35">
      <c r="A992">
        <v>19</v>
      </c>
      <c r="B992" t="s">
        <v>16</v>
      </c>
      <c r="C992" s="4">
        <v>7.2</v>
      </c>
      <c r="D992" t="s">
        <v>14</v>
      </c>
      <c r="E992" s="4">
        <v>6.4</v>
      </c>
      <c r="F992" s="4">
        <v>2.9</v>
      </c>
      <c r="G992">
        <v>3.82</v>
      </c>
      <c r="H992">
        <v>1</v>
      </c>
      <c r="I992" t="s">
        <v>19</v>
      </c>
      <c r="J992">
        <v>5</v>
      </c>
      <c r="K992">
        <v>4</v>
      </c>
      <c r="L992">
        <v>5</v>
      </c>
      <c r="M992">
        <v>0</v>
      </c>
      <c r="N992">
        <f>_xlfn.IFS(rounded[[#This Row],[social_interaction_level]] = "low", 1,rounded[[#This Row],[social_interaction_level]] = "medium", 2,rounded[[#This Row],[social_interaction_level]] = "high", 3)</f>
        <v>2</v>
      </c>
      <c r="O992">
        <f t="shared" si="15"/>
        <v>14</v>
      </c>
      <c r="P992" t="str" cm="1">
        <f t="array" ref="P992">_xlfn.SWITCH(rounded[[#This Row],[depression_label]], 0, "Not Depressed", 1, "Depressed")</f>
        <v>Not Depressed</v>
      </c>
      <c r="Q992" s="45" t="str" cm="1">
        <f t="array" ref="Q992">_xlfn.SWITCH(rounded[[#This Row],[gender]], "male", "Male", "female", "Female")</f>
        <v>Female</v>
      </c>
    </row>
    <row r="993" spans="1:17" x14ac:dyDescent="0.35">
      <c r="A993">
        <v>15</v>
      </c>
      <c r="B993" t="s">
        <v>16</v>
      </c>
      <c r="C993" s="4">
        <v>5.6</v>
      </c>
      <c r="D993" t="s">
        <v>20</v>
      </c>
      <c r="E993" s="4">
        <v>5.9</v>
      </c>
      <c r="F993" s="4">
        <v>2</v>
      </c>
      <c r="G993">
        <v>2.97</v>
      </c>
      <c r="H993">
        <v>0.6</v>
      </c>
      <c r="I993" t="s">
        <v>15</v>
      </c>
      <c r="J993">
        <v>9</v>
      </c>
      <c r="K993">
        <v>3</v>
      </c>
      <c r="L993">
        <v>3</v>
      </c>
      <c r="M993">
        <v>0</v>
      </c>
      <c r="N993">
        <f>_xlfn.IFS(rounded[[#This Row],[social_interaction_level]] = "low", 1,rounded[[#This Row],[social_interaction_level]] = "medium", 2,rounded[[#This Row],[social_interaction_level]] = "high", 3)</f>
        <v>1</v>
      </c>
      <c r="O993">
        <f t="shared" si="15"/>
        <v>15</v>
      </c>
      <c r="P993" t="str" cm="1">
        <f t="array" ref="P993">_xlfn.SWITCH(rounded[[#This Row],[depression_label]], 0, "Not Depressed", 1, "Depressed")</f>
        <v>Not Depressed</v>
      </c>
      <c r="Q993" s="45" t="str" cm="1">
        <f t="array" ref="Q993">_xlfn.SWITCH(rounded[[#This Row],[gender]], "male", "Male", "female", "Female")</f>
        <v>Female</v>
      </c>
    </row>
    <row r="994" spans="1:17" x14ac:dyDescent="0.35">
      <c r="A994">
        <v>14</v>
      </c>
      <c r="B994" t="s">
        <v>16</v>
      </c>
      <c r="C994" s="4">
        <v>2</v>
      </c>
      <c r="D994" t="s">
        <v>14</v>
      </c>
      <c r="E994" s="4">
        <v>4.7</v>
      </c>
      <c r="F994" s="4">
        <v>1.1000000000000001</v>
      </c>
      <c r="G994">
        <v>2.5099999999999998</v>
      </c>
      <c r="H994">
        <v>0</v>
      </c>
      <c r="I994" t="s">
        <v>18</v>
      </c>
      <c r="J994">
        <v>2</v>
      </c>
      <c r="K994">
        <v>9</v>
      </c>
      <c r="L994">
        <v>4</v>
      </c>
      <c r="M994">
        <v>0</v>
      </c>
      <c r="N994">
        <f>_xlfn.IFS(rounded[[#This Row],[social_interaction_level]] = "low", 1,rounded[[#This Row],[social_interaction_level]] = "medium", 2,rounded[[#This Row],[social_interaction_level]] = "high", 3)</f>
        <v>3</v>
      </c>
      <c r="O994">
        <f t="shared" si="15"/>
        <v>15</v>
      </c>
      <c r="P994" t="str" cm="1">
        <f t="array" ref="P994">_xlfn.SWITCH(rounded[[#This Row],[depression_label]], 0, "Not Depressed", 1, "Depressed")</f>
        <v>Not Depressed</v>
      </c>
      <c r="Q994" s="45" t="str" cm="1">
        <f t="array" ref="Q994">_xlfn.SWITCH(rounded[[#This Row],[gender]], "male", "Male", "female", "Female")</f>
        <v>Female</v>
      </c>
    </row>
    <row r="995" spans="1:17" x14ac:dyDescent="0.35">
      <c r="A995">
        <v>14</v>
      </c>
      <c r="B995" t="s">
        <v>16</v>
      </c>
      <c r="C995" s="4">
        <v>4.4000000000000004</v>
      </c>
      <c r="D995" t="s">
        <v>17</v>
      </c>
      <c r="E995" s="4">
        <v>5.0999999999999996</v>
      </c>
      <c r="F995" s="4">
        <v>2.8</v>
      </c>
      <c r="G995">
        <v>2.2200000000000002</v>
      </c>
      <c r="H995">
        <v>0.5</v>
      </c>
      <c r="I995" t="s">
        <v>18</v>
      </c>
      <c r="J995">
        <v>5</v>
      </c>
      <c r="K995">
        <v>4</v>
      </c>
      <c r="L995">
        <v>1</v>
      </c>
      <c r="M995">
        <v>0</v>
      </c>
      <c r="N995">
        <f>_xlfn.IFS(rounded[[#This Row],[social_interaction_level]] = "low", 1,rounded[[#This Row],[social_interaction_level]] = "medium", 2,rounded[[#This Row],[social_interaction_level]] = "high", 3)</f>
        <v>3</v>
      </c>
      <c r="O995">
        <f t="shared" si="15"/>
        <v>10</v>
      </c>
      <c r="P995" t="str" cm="1">
        <f t="array" ref="P995">_xlfn.SWITCH(rounded[[#This Row],[depression_label]], 0, "Not Depressed", 1, "Depressed")</f>
        <v>Not Depressed</v>
      </c>
      <c r="Q995" s="45" t="str" cm="1">
        <f t="array" ref="Q995">_xlfn.SWITCH(rounded[[#This Row],[gender]], "male", "Male", "female", "Female")</f>
        <v>Female</v>
      </c>
    </row>
    <row r="996" spans="1:17" x14ac:dyDescent="0.35">
      <c r="A996">
        <v>13</v>
      </c>
      <c r="B996" t="s">
        <v>13</v>
      </c>
      <c r="C996" s="4">
        <v>3.5</v>
      </c>
      <c r="D996" t="s">
        <v>17</v>
      </c>
      <c r="E996" s="4">
        <v>5.8</v>
      </c>
      <c r="F996" s="4">
        <v>1.2</v>
      </c>
      <c r="G996">
        <v>2.44</v>
      </c>
      <c r="H996">
        <v>1.5</v>
      </c>
      <c r="I996" t="s">
        <v>19</v>
      </c>
      <c r="J996">
        <v>4</v>
      </c>
      <c r="K996">
        <v>1</v>
      </c>
      <c r="L996">
        <v>8</v>
      </c>
      <c r="M996">
        <v>0</v>
      </c>
      <c r="N996">
        <f>_xlfn.IFS(rounded[[#This Row],[social_interaction_level]] = "low", 1,rounded[[#This Row],[social_interaction_level]] = "medium", 2,rounded[[#This Row],[social_interaction_level]] = "high", 3)</f>
        <v>2</v>
      </c>
      <c r="O996">
        <f t="shared" si="15"/>
        <v>13</v>
      </c>
      <c r="P996" t="str" cm="1">
        <f t="array" ref="P996">_xlfn.SWITCH(rounded[[#This Row],[depression_label]], 0, "Not Depressed", 1, "Depressed")</f>
        <v>Not Depressed</v>
      </c>
      <c r="Q996" s="45" t="str" cm="1">
        <f t="array" ref="Q996">_xlfn.SWITCH(rounded[[#This Row],[gender]], "male", "Male", "female", "Female")</f>
        <v>Male</v>
      </c>
    </row>
    <row r="997" spans="1:17" x14ac:dyDescent="0.35">
      <c r="A997">
        <v>13</v>
      </c>
      <c r="B997" t="s">
        <v>13</v>
      </c>
      <c r="C997" s="4">
        <v>6.5</v>
      </c>
      <c r="D997" t="s">
        <v>14</v>
      </c>
      <c r="E997" s="4">
        <v>6.5</v>
      </c>
      <c r="F997" s="4">
        <v>1.5</v>
      </c>
      <c r="G997">
        <v>2.0499999999999998</v>
      </c>
      <c r="H997">
        <v>0.5</v>
      </c>
      <c r="I997" t="s">
        <v>15</v>
      </c>
      <c r="J997">
        <v>3</v>
      </c>
      <c r="K997">
        <v>9</v>
      </c>
      <c r="L997">
        <v>4</v>
      </c>
      <c r="M997">
        <v>0</v>
      </c>
      <c r="N997">
        <f>_xlfn.IFS(rounded[[#This Row],[social_interaction_level]] = "low", 1,rounded[[#This Row],[social_interaction_level]] = "medium", 2,rounded[[#This Row],[social_interaction_level]] = "high", 3)</f>
        <v>1</v>
      </c>
      <c r="O997">
        <f t="shared" si="15"/>
        <v>16</v>
      </c>
      <c r="P997" t="str" cm="1">
        <f t="array" ref="P997">_xlfn.SWITCH(rounded[[#This Row],[depression_label]], 0, "Not Depressed", 1, "Depressed")</f>
        <v>Not Depressed</v>
      </c>
      <c r="Q997" s="45" t="str" cm="1">
        <f t="array" ref="Q997">_xlfn.SWITCH(rounded[[#This Row],[gender]], "male", "Male", "female", "Female")</f>
        <v>Male</v>
      </c>
    </row>
    <row r="998" spans="1:17" x14ac:dyDescent="0.35">
      <c r="A998">
        <v>14</v>
      </c>
      <c r="B998" t="s">
        <v>13</v>
      </c>
      <c r="C998" s="4">
        <v>4.4000000000000004</v>
      </c>
      <c r="D998" t="s">
        <v>14</v>
      </c>
      <c r="E998" s="4">
        <v>8.8000000000000007</v>
      </c>
      <c r="F998" s="4">
        <v>2.2999999999999998</v>
      </c>
      <c r="G998">
        <v>2.73</v>
      </c>
      <c r="H998">
        <v>0.3</v>
      </c>
      <c r="I998" t="s">
        <v>19</v>
      </c>
      <c r="J998">
        <v>9</v>
      </c>
      <c r="K998">
        <v>2</v>
      </c>
      <c r="L998">
        <v>2</v>
      </c>
      <c r="M998">
        <v>0</v>
      </c>
      <c r="N998">
        <f>_xlfn.IFS(rounded[[#This Row],[social_interaction_level]] = "low", 1,rounded[[#This Row],[social_interaction_level]] = "medium", 2,rounded[[#This Row],[social_interaction_level]] = "high", 3)</f>
        <v>2</v>
      </c>
      <c r="O998">
        <f t="shared" si="15"/>
        <v>13</v>
      </c>
      <c r="P998" t="str" cm="1">
        <f t="array" ref="P998">_xlfn.SWITCH(rounded[[#This Row],[depression_label]], 0, "Not Depressed", 1, "Depressed")</f>
        <v>Not Depressed</v>
      </c>
      <c r="Q998" s="45" t="str" cm="1">
        <f t="array" ref="Q998">_xlfn.SWITCH(rounded[[#This Row],[gender]], "male", "Male", "female", "Female")</f>
        <v>Male</v>
      </c>
    </row>
    <row r="999" spans="1:17" x14ac:dyDescent="0.35">
      <c r="A999">
        <v>17</v>
      </c>
      <c r="B999" t="s">
        <v>16</v>
      </c>
      <c r="C999" s="4">
        <v>3.1</v>
      </c>
      <c r="D999" t="s">
        <v>17</v>
      </c>
      <c r="E999" s="4">
        <v>4.2</v>
      </c>
      <c r="F999" s="4">
        <v>0.8</v>
      </c>
      <c r="G999">
        <v>2.2799999999999998</v>
      </c>
      <c r="H999">
        <v>1.6</v>
      </c>
      <c r="I999" t="s">
        <v>19</v>
      </c>
      <c r="J999">
        <v>4</v>
      </c>
      <c r="K999">
        <v>9</v>
      </c>
      <c r="L999">
        <v>6</v>
      </c>
      <c r="M999">
        <v>0</v>
      </c>
      <c r="N999">
        <f>_xlfn.IFS(rounded[[#This Row],[social_interaction_level]] = "low", 1,rounded[[#This Row],[social_interaction_level]] = "medium", 2,rounded[[#This Row],[social_interaction_level]] = "high", 3)</f>
        <v>2</v>
      </c>
      <c r="O999">
        <f t="shared" si="15"/>
        <v>19</v>
      </c>
      <c r="P999" t="str" cm="1">
        <f t="array" ref="P999">_xlfn.SWITCH(rounded[[#This Row],[depression_label]], 0, "Not Depressed", 1, "Depressed")</f>
        <v>Not Depressed</v>
      </c>
      <c r="Q999" s="45" t="str" cm="1">
        <f t="array" ref="Q999">_xlfn.SWITCH(rounded[[#This Row],[gender]], "male", "Male", "female", "Female")</f>
        <v>Female</v>
      </c>
    </row>
    <row r="1000" spans="1:17" x14ac:dyDescent="0.35">
      <c r="A1000">
        <v>15</v>
      </c>
      <c r="B1000" t="s">
        <v>13</v>
      </c>
      <c r="C1000" s="4">
        <v>7.8</v>
      </c>
      <c r="D1000" t="s">
        <v>20</v>
      </c>
      <c r="E1000" s="4">
        <v>4.2</v>
      </c>
      <c r="F1000" s="4">
        <v>2.1</v>
      </c>
      <c r="G1000">
        <v>3.42</v>
      </c>
      <c r="H1000">
        <v>0</v>
      </c>
      <c r="I1000" t="s">
        <v>15</v>
      </c>
      <c r="J1000">
        <v>10</v>
      </c>
      <c r="K1000">
        <v>7</v>
      </c>
      <c r="L1000">
        <v>9</v>
      </c>
      <c r="M1000">
        <v>1</v>
      </c>
      <c r="N1000">
        <f>_xlfn.IFS(rounded[[#This Row],[social_interaction_level]] = "low", 1,rounded[[#This Row],[social_interaction_level]] = "medium", 2,rounded[[#This Row],[social_interaction_level]] = "high", 3)</f>
        <v>1</v>
      </c>
      <c r="O1000">
        <f t="shared" si="15"/>
        <v>26</v>
      </c>
      <c r="P1000" t="str" cm="1">
        <f t="array" ref="P1000">_xlfn.SWITCH(rounded[[#This Row],[depression_label]], 0, "Not Depressed", 1, "Depressed")</f>
        <v>Depressed</v>
      </c>
      <c r="Q1000" s="45" t="str" cm="1">
        <f t="array" ref="Q1000">_xlfn.SWITCH(rounded[[#This Row],[gender]], "male", "Male", "female", "Female")</f>
        <v>Male</v>
      </c>
    </row>
    <row r="1001" spans="1:17" x14ac:dyDescent="0.35">
      <c r="A1001">
        <v>19</v>
      </c>
      <c r="B1001" t="s">
        <v>16</v>
      </c>
      <c r="C1001" s="4">
        <v>2.1</v>
      </c>
      <c r="D1001" t="s">
        <v>20</v>
      </c>
      <c r="E1001" s="4">
        <v>4.4000000000000004</v>
      </c>
      <c r="F1001" s="4">
        <v>2.2000000000000002</v>
      </c>
      <c r="G1001">
        <v>2.4700000000000002</v>
      </c>
      <c r="H1001">
        <v>0.7</v>
      </c>
      <c r="I1001" t="s">
        <v>18</v>
      </c>
      <c r="J1001">
        <v>9</v>
      </c>
      <c r="K1001">
        <v>5</v>
      </c>
      <c r="L1001">
        <v>6</v>
      </c>
      <c r="M1001">
        <v>0</v>
      </c>
      <c r="N1001">
        <f>_xlfn.IFS(rounded[[#This Row],[social_interaction_level]] = "low", 1,rounded[[#This Row],[social_interaction_level]] = "medium", 2,rounded[[#This Row],[social_interaction_level]] = "high", 3)</f>
        <v>3</v>
      </c>
      <c r="O1001">
        <f t="shared" si="15"/>
        <v>20</v>
      </c>
      <c r="P1001" t="str" cm="1">
        <f t="array" ref="P1001">_xlfn.SWITCH(rounded[[#This Row],[depression_label]], 0, "Not Depressed", 1, "Depressed")</f>
        <v>Not Depressed</v>
      </c>
      <c r="Q1001" s="45" t="str" cm="1">
        <f t="array" ref="Q1001">_xlfn.SWITCH(rounded[[#This Row],[gender]], "male", "Male", "female", "Female")</f>
        <v>Female</v>
      </c>
    </row>
    <row r="1002" spans="1:17" x14ac:dyDescent="0.35">
      <c r="A1002">
        <v>14</v>
      </c>
      <c r="B1002" t="s">
        <v>16</v>
      </c>
      <c r="C1002" s="4">
        <v>5.5</v>
      </c>
      <c r="D1002" t="s">
        <v>20</v>
      </c>
      <c r="E1002" s="4">
        <v>5.7</v>
      </c>
      <c r="F1002" s="4">
        <v>2.2999999999999998</v>
      </c>
      <c r="G1002">
        <v>3.05</v>
      </c>
      <c r="H1002">
        <v>1.3</v>
      </c>
      <c r="I1002" t="s">
        <v>19</v>
      </c>
      <c r="J1002">
        <v>7</v>
      </c>
      <c r="K1002">
        <v>8</v>
      </c>
      <c r="L1002">
        <v>5</v>
      </c>
      <c r="M1002">
        <v>1</v>
      </c>
      <c r="N1002">
        <f>_xlfn.IFS(rounded[[#This Row],[social_interaction_level]] = "low", 1,rounded[[#This Row],[social_interaction_level]] = "medium", 2,rounded[[#This Row],[social_interaction_level]] = "high", 3)</f>
        <v>2</v>
      </c>
      <c r="O1002">
        <f t="shared" si="15"/>
        <v>20</v>
      </c>
      <c r="P1002" t="str" cm="1">
        <f t="array" ref="P1002">_xlfn.SWITCH(rounded[[#This Row],[depression_label]], 0, "Not Depressed", 1, "Depressed")</f>
        <v>Depressed</v>
      </c>
      <c r="Q1002" s="45" t="str" cm="1">
        <f t="array" ref="Q1002">_xlfn.SWITCH(rounded[[#This Row],[gender]], "male", "Male", "female", "Female")</f>
        <v>Female</v>
      </c>
    </row>
    <row r="1003" spans="1:17" x14ac:dyDescent="0.35">
      <c r="A1003">
        <v>15</v>
      </c>
      <c r="B1003" t="s">
        <v>16</v>
      </c>
      <c r="C1003" s="4">
        <v>5.7</v>
      </c>
      <c r="D1003" t="s">
        <v>14</v>
      </c>
      <c r="E1003" s="4">
        <v>7.2</v>
      </c>
      <c r="F1003" s="4">
        <v>2.4</v>
      </c>
      <c r="G1003">
        <v>2.1800000000000002</v>
      </c>
      <c r="H1003">
        <v>1.6</v>
      </c>
      <c r="I1003" t="s">
        <v>19</v>
      </c>
      <c r="J1003">
        <v>5</v>
      </c>
      <c r="K1003">
        <v>1</v>
      </c>
      <c r="L1003">
        <v>7</v>
      </c>
      <c r="M1003">
        <v>0</v>
      </c>
      <c r="N1003">
        <f>_xlfn.IFS(rounded[[#This Row],[social_interaction_level]] = "low", 1,rounded[[#This Row],[social_interaction_level]] = "medium", 2,rounded[[#This Row],[social_interaction_level]] = "high", 3)</f>
        <v>2</v>
      </c>
      <c r="O1003">
        <f t="shared" si="15"/>
        <v>13</v>
      </c>
      <c r="P1003" t="str" cm="1">
        <f t="array" ref="P1003">_xlfn.SWITCH(rounded[[#This Row],[depression_label]], 0, "Not Depressed", 1, "Depressed")</f>
        <v>Not Depressed</v>
      </c>
      <c r="Q1003" s="45" t="str" cm="1">
        <f t="array" ref="Q1003">_xlfn.SWITCH(rounded[[#This Row],[gender]], "male", "Male", "female", "Female")</f>
        <v>Female</v>
      </c>
    </row>
    <row r="1004" spans="1:17" x14ac:dyDescent="0.35">
      <c r="A1004">
        <v>15</v>
      </c>
      <c r="B1004" t="s">
        <v>16</v>
      </c>
      <c r="C1004" s="4">
        <v>5</v>
      </c>
      <c r="D1004" t="s">
        <v>17</v>
      </c>
      <c r="E1004" s="4">
        <v>6.3</v>
      </c>
      <c r="F1004" s="4">
        <v>1.5</v>
      </c>
      <c r="G1004">
        <v>2.67</v>
      </c>
      <c r="H1004">
        <v>1.1000000000000001</v>
      </c>
      <c r="I1004" t="s">
        <v>18</v>
      </c>
      <c r="J1004">
        <v>6</v>
      </c>
      <c r="K1004">
        <v>2</v>
      </c>
      <c r="L1004">
        <v>5</v>
      </c>
      <c r="M1004">
        <v>0</v>
      </c>
      <c r="N1004">
        <f>_xlfn.IFS(rounded[[#This Row],[social_interaction_level]] = "low", 1,rounded[[#This Row],[social_interaction_level]] = "medium", 2,rounded[[#This Row],[social_interaction_level]] = "high", 3)</f>
        <v>3</v>
      </c>
      <c r="O1004">
        <f t="shared" si="15"/>
        <v>13</v>
      </c>
      <c r="P1004" t="str" cm="1">
        <f t="array" ref="P1004">_xlfn.SWITCH(rounded[[#This Row],[depression_label]], 0, "Not Depressed", 1, "Depressed")</f>
        <v>Not Depressed</v>
      </c>
      <c r="Q1004" s="45" t="str" cm="1">
        <f t="array" ref="Q1004">_xlfn.SWITCH(rounded[[#This Row],[gender]], "male", "Male", "female", "Female")</f>
        <v>Female</v>
      </c>
    </row>
    <row r="1005" spans="1:17" x14ac:dyDescent="0.35">
      <c r="A1005">
        <v>16</v>
      </c>
      <c r="B1005" t="s">
        <v>16</v>
      </c>
      <c r="C1005" s="4">
        <v>7.5</v>
      </c>
      <c r="D1005" t="s">
        <v>20</v>
      </c>
      <c r="E1005" s="4">
        <v>4</v>
      </c>
      <c r="F1005" s="4">
        <v>0.5</v>
      </c>
      <c r="G1005">
        <v>3.72</v>
      </c>
      <c r="H1005">
        <v>1.1000000000000001</v>
      </c>
      <c r="I1005" t="s">
        <v>19</v>
      </c>
      <c r="J1005">
        <v>4</v>
      </c>
      <c r="K1005">
        <v>5</v>
      </c>
      <c r="L1005">
        <v>7</v>
      </c>
      <c r="M1005">
        <v>0</v>
      </c>
      <c r="N1005">
        <f>_xlfn.IFS(rounded[[#This Row],[social_interaction_level]] = "low", 1,rounded[[#This Row],[social_interaction_level]] = "medium", 2,rounded[[#This Row],[social_interaction_level]] = "high", 3)</f>
        <v>2</v>
      </c>
      <c r="O1005">
        <f t="shared" si="15"/>
        <v>16</v>
      </c>
      <c r="P1005" t="str" cm="1">
        <f t="array" ref="P1005">_xlfn.SWITCH(rounded[[#This Row],[depression_label]], 0, "Not Depressed", 1, "Depressed")</f>
        <v>Not Depressed</v>
      </c>
      <c r="Q1005" s="45" t="str" cm="1">
        <f t="array" ref="Q1005">_xlfn.SWITCH(rounded[[#This Row],[gender]], "male", "Male", "female", "Female")</f>
        <v>Female</v>
      </c>
    </row>
    <row r="1006" spans="1:17" x14ac:dyDescent="0.35">
      <c r="A1006">
        <v>17</v>
      </c>
      <c r="B1006" t="s">
        <v>13</v>
      </c>
      <c r="C1006" s="4">
        <v>2.2000000000000002</v>
      </c>
      <c r="D1006" t="s">
        <v>17</v>
      </c>
      <c r="E1006" s="4">
        <v>7.1</v>
      </c>
      <c r="F1006" s="4">
        <v>1.1000000000000001</v>
      </c>
      <c r="G1006">
        <v>2.5</v>
      </c>
      <c r="H1006">
        <v>1.5</v>
      </c>
      <c r="I1006" t="s">
        <v>15</v>
      </c>
      <c r="J1006">
        <v>2</v>
      </c>
      <c r="K1006">
        <v>1</v>
      </c>
      <c r="L1006">
        <v>2</v>
      </c>
      <c r="M1006">
        <v>0</v>
      </c>
      <c r="N1006">
        <f>_xlfn.IFS(rounded[[#This Row],[social_interaction_level]] = "low", 1,rounded[[#This Row],[social_interaction_level]] = "medium", 2,rounded[[#This Row],[social_interaction_level]] = "high", 3)</f>
        <v>1</v>
      </c>
      <c r="O1006">
        <f t="shared" si="15"/>
        <v>5</v>
      </c>
      <c r="P1006" t="str" cm="1">
        <f t="array" ref="P1006">_xlfn.SWITCH(rounded[[#This Row],[depression_label]], 0, "Not Depressed", 1, "Depressed")</f>
        <v>Not Depressed</v>
      </c>
      <c r="Q1006" s="45" t="str" cm="1">
        <f t="array" ref="Q1006">_xlfn.SWITCH(rounded[[#This Row],[gender]], "male", "Male", "female", "Female")</f>
        <v>Male</v>
      </c>
    </row>
    <row r="1007" spans="1:17" x14ac:dyDescent="0.35">
      <c r="A1007">
        <v>15</v>
      </c>
      <c r="B1007" t="s">
        <v>16</v>
      </c>
      <c r="C1007" s="4">
        <v>7.3</v>
      </c>
      <c r="D1007" t="s">
        <v>14</v>
      </c>
      <c r="E1007" s="4">
        <v>4.0999999999999996</v>
      </c>
      <c r="F1007" s="4">
        <v>2.1</v>
      </c>
      <c r="G1007">
        <v>2.87</v>
      </c>
      <c r="H1007">
        <v>0.4</v>
      </c>
      <c r="I1007" t="s">
        <v>15</v>
      </c>
      <c r="J1007">
        <v>10</v>
      </c>
      <c r="K1007">
        <v>10</v>
      </c>
      <c r="L1007">
        <v>1</v>
      </c>
      <c r="M1007">
        <v>1</v>
      </c>
      <c r="N1007">
        <f>_xlfn.IFS(rounded[[#This Row],[social_interaction_level]] = "low", 1,rounded[[#This Row],[social_interaction_level]] = "medium", 2,rounded[[#This Row],[social_interaction_level]] = "high", 3)</f>
        <v>1</v>
      </c>
      <c r="O1007">
        <f t="shared" si="15"/>
        <v>21</v>
      </c>
      <c r="P1007" t="str" cm="1">
        <f t="array" ref="P1007">_xlfn.SWITCH(rounded[[#This Row],[depression_label]], 0, "Not Depressed", 1, "Depressed")</f>
        <v>Depressed</v>
      </c>
      <c r="Q1007" s="45" t="str" cm="1">
        <f t="array" ref="Q1007">_xlfn.SWITCH(rounded[[#This Row],[gender]], "male", "Male", "female", "Female")</f>
        <v>Female</v>
      </c>
    </row>
    <row r="1008" spans="1:17" x14ac:dyDescent="0.35">
      <c r="A1008">
        <v>17</v>
      </c>
      <c r="B1008" t="s">
        <v>13</v>
      </c>
      <c r="C1008" s="4">
        <v>2.7</v>
      </c>
      <c r="D1008" t="s">
        <v>14</v>
      </c>
      <c r="E1008" s="4">
        <v>7.5</v>
      </c>
      <c r="F1008" s="4">
        <v>1.5</v>
      </c>
      <c r="G1008">
        <v>3.23</v>
      </c>
      <c r="H1008">
        <v>1.4</v>
      </c>
      <c r="I1008" t="s">
        <v>15</v>
      </c>
      <c r="J1008">
        <v>5</v>
      </c>
      <c r="K1008">
        <v>7</v>
      </c>
      <c r="L1008">
        <v>3</v>
      </c>
      <c r="M1008">
        <v>0</v>
      </c>
      <c r="N1008">
        <f>_xlfn.IFS(rounded[[#This Row],[social_interaction_level]] = "low", 1,rounded[[#This Row],[social_interaction_level]] = "medium", 2,rounded[[#This Row],[social_interaction_level]] = "high", 3)</f>
        <v>1</v>
      </c>
      <c r="O1008">
        <f t="shared" si="15"/>
        <v>15</v>
      </c>
      <c r="P1008" t="str" cm="1">
        <f t="array" ref="P1008">_xlfn.SWITCH(rounded[[#This Row],[depression_label]], 0, "Not Depressed", 1, "Depressed")</f>
        <v>Not Depressed</v>
      </c>
      <c r="Q1008" s="45" t="str" cm="1">
        <f t="array" ref="Q1008">_xlfn.SWITCH(rounded[[#This Row],[gender]], "male", "Male", "female", "Female")</f>
        <v>Male</v>
      </c>
    </row>
    <row r="1009" spans="1:17" x14ac:dyDescent="0.35">
      <c r="A1009">
        <v>18</v>
      </c>
      <c r="B1009" t="s">
        <v>13</v>
      </c>
      <c r="C1009" s="4">
        <v>1.6</v>
      </c>
      <c r="D1009" t="s">
        <v>14</v>
      </c>
      <c r="E1009" s="4">
        <v>8.6</v>
      </c>
      <c r="F1009" s="4">
        <v>2.6</v>
      </c>
      <c r="G1009">
        <v>3.53</v>
      </c>
      <c r="H1009">
        <v>0.1</v>
      </c>
      <c r="I1009" t="s">
        <v>19</v>
      </c>
      <c r="J1009">
        <v>8</v>
      </c>
      <c r="K1009">
        <v>8</v>
      </c>
      <c r="L1009">
        <v>10</v>
      </c>
      <c r="M1009">
        <v>0</v>
      </c>
      <c r="N1009">
        <f>_xlfn.IFS(rounded[[#This Row],[social_interaction_level]] = "low", 1,rounded[[#This Row],[social_interaction_level]] = "medium", 2,rounded[[#This Row],[social_interaction_level]] = "high", 3)</f>
        <v>2</v>
      </c>
      <c r="O1009">
        <f t="shared" si="15"/>
        <v>26</v>
      </c>
      <c r="P1009" t="str" cm="1">
        <f t="array" ref="P1009">_xlfn.SWITCH(rounded[[#This Row],[depression_label]], 0, "Not Depressed", 1, "Depressed")</f>
        <v>Not Depressed</v>
      </c>
      <c r="Q1009" s="45" t="str" cm="1">
        <f t="array" ref="Q1009">_xlfn.SWITCH(rounded[[#This Row],[gender]], "male", "Male", "female", "Female")</f>
        <v>Male</v>
      </c>
    </row>
    <row r="1010" spans="1:17" x14ac:dyDescent="0.35">
      <c r="A1010">
        <v>14</v>
      </c>
      <c r="B1010" t="s">
        <v>13</v>
      </c>
      <c r="C1010" s="4">
        <v>4</v>
      </c>
      <c r="D1010" t="s">
        <v>17</v>
      </c>
      <c r="E1010" s="4">
        <v>4.9000000000000004</v>
      </c>
      <c r="F1010" s="4">
        <v>2.7</v>
      </c>
      <c r="G1010">
        <v>2.2999999999999998</v>
      </c>
      <c r="H1010">
        <v>0.5</v>
      </c>
      <c r="I1010" t="s">
        <v>18</v>
      </c>
      <c r="J1010">
        <v>7</v>
      </c>
      <c r="K1010">
        <v>8</v>
      </c>
      <c r="L1010">
        <v>6</v>
      </c>
      <c r="M1010">
        <v>0</v>
      </c>
      <c r="N1010">
        <f>_xlfn.IFS(rounded[[#This Row],[social_interaction_level]] = "low", 1,rounded[[#This Row],[social_interaction_level]] = "medium", 2,rounded[[#This Row],[social_interaction_level]] = "high", 3)</f>
        <v>3</v>
      </c>
      <c r="O1010">
        <f t="shared" si="15"/>
        <v>21</v>
      </c>
      <c r="P1010" t="str" cm="1">
        <f t="array" ref="P1010">_xlfn.SWITCH(rounded[[#This Row],[depression_label]], 0, "Not Depressed", 1, "Depressed")</f>
        <v>Not Depressed</v>
      </c>
      <c r="Q1010" s="45" t="str" cm="1">
        <f t="array" ref="Q1010">_xlfn.SWITCH(rounded[[#This Row],[gender]], "male", "Male", "female", "Female")</f>
        <v>Male</v>
      </c>
    </row>
    <row r="1011" spans="1:17" x14ac:dyDescent="0.35">
      <c r="A1011">
        <v>18</v>
      </c>
      <c r="B1011" t="s">
        <v>16</v>
      </c>
      <c r="C1011" s="4">
        <v>6.3</v>
      </c>
      <c r="D1011" t="s">
        <v>20</v>
      </c>
      <c r="E1011" s="4">
        <v>4.7</v>
      </c>
      <c r="F1011" s="4">
        <v>2.4</v>
      </c>
      <c r="G1011">
        <v>2.2999999999999998</v>
      </c>
      <c r="H1011">
        <v>0.9</v>
      </c>
      <c r="I1011" t="s">
        <v>19</v>
      </c>
      <c r="J1011">
        <v>6</v>
      </c>
      <c r="K1011">
        <v>1</v>
      </c>
      <c r="L1011">
        <v>6</v>
      </c>
      <c r="M1011">
        <v>0</v>
      </c>
      <c r="N1011">
        <f>_xlfn.IFS(rounded[[#This Row],[social_interaction_level]] = "low", 1,rounded[[#This Row],[social_interaction_level]] = "medium", 2,rounded[[#This Row],[social_interaction_level]] = "high", 3)</f>
        <v>2</v>
      </c>
      <c r="O1011">
        <f t="shared" si="15"/>
        <v>13</v>
      </c>
      <c r="P1011" t="str" cm="1">
        <f t="array" ref="P1011">_xlfn.SWITCH(rounded[[#This Row],[depression_label]], 0, "Not Depressed", 1, "Depressed")</f>
        <v>Not Depressed</v>
      </c>
      <c r="Q1011" s="45" t="str" cm="1">
        <f t="array" ref="Q1011">_xlfn.SWITCH(rounded[[#This Row],[gender]], "male", "Male", "female", "Female")</f>
        <v>Female</v>
      </c>
    </row>
    <row r="1012" spans="1:17" x14ac:dyDescent="0.35">
      <c r="A1012">
        <v>16</v>
      </c>
      <c r="B1012" t="s">
        <v>16</v>
      </c>
      <c r="C1012" s="4">
        <v>6.8</v>
      </c>
      <c r="D1012" t="s">
        <v>17</v>
      </c>
      <c r="E1012" s="4">
        <v>7.1</v>
      </c>
      <c r="F1012" s="4">
        <v>2.9</v>
      </c>
      <c r="G1012">
        <v>3.26</v>
      </c>
      <c r="H1012">
        <v>0.6</v>
      </c>
      <c r="I1012" t="s">
        <v>15</v>
      </c>
      <c r="J1012">
        <v>6</v>
      </c>
      <c r="K1012">
        <v>10</v>
      </c>
      <c r="L1012">
        <v>4</v>
      </c>
      <c r="M1012">
        <v>0</v>
      </c>
      <c r="N1012">
        <f>_xlfn.IFS(rounded[[#This Row],[social_interaction_level]] = "low", 1,rounded[[#This Row],[social_interaction_level]] = "medium", 2,rounded[[#This Row],[social_interaction_level]] = "high", 3)</f>
        <v>1</v>
      </c>
      <c r="O1012">
        <f t="shared" si="15"/>
        <v>20</v>
      </c>
      <c r="P1012" t="str" cm="1">
        <f t="array" ref="P1012">_xlfn.SWITCH(rounded[[#This Row],[depression_label]], 0, "Not Depressed", 1, "Depressed")</f>
        <v>Not Depressed</v>
      </c>
      <c r="Q1012" s="45" t="str" cm="1">
        <f t="array" ref="Q1012">_xlfn.SWITCH(rounded[[#This Row],[gender]], "male", "Male", "female", "Female")</f>
        <v>Female</v>
      </c>
    </row>
    <row r="1013" spans="1:17" x14ac:dyDescent="0.35">
      <c r="A1013">
        <v>18</v>
      </c>
      <c r="B1013" t="s">
        <v>16</v>
      </c>
      <c r="C1013" s="4">
        <v>6.6</v>
      </c>
      <c r="D1013" t="s">
        <v>20</v>
      </c>
      <c r="E1013" s="4">
        <v>8.1</v>
      </c>
      <c r="F1013" s="4">
        <v>2</v>
      </c>
      <c r="G1013">
        <v>3.59</v>
      </c>
      <c r="H1013">
        <v>1.6</v>
      </c>
      <c r="I1013" t="s">
        <v>15</v>
      </c>
      <c r="J1013">
        <v>9</v>
      </c>
      <c r="K1013">
        <v>4</v>
      </c>
      <c r="L1013">
        <v>3</v>
      </c>
      <c r="M1013">
        <v>0</v>
      </c>
      <c r="N1013">
        <f>_xlfn.IFS(rounded[[#This Row],[social_interaction_level]] = "low", 1,rounded[[#This Row],[social_interaction_level]] = "medium", 2,rounded[[#This Row],[social_interaction_level]] = "high", 3)</f>
        <v>1</v>
      </c>
      <c r="O1013">
        <f t="shared" si="15"/>
        <v>16</v>
      </c>
      <c r="P1013" t="str" cm="1">
        <f t="array" ref="P1013">_xlfn.SWITCH(rounded[[#This Row],[depression_label]], 0, "Not Depressed", 1, "Depressed")</f>
        <v>Not Depressed</v>
      </c>
      <c r="Q1013" s="45" t="str" cm="1">
        <f t="array" ref="Q1013">_xlfn.SWITCH(rounded[[#This Row],[gender]], "male", "Male", "female", "Female")</f>
        <v>Female</v>
      </c>
    </row>
    <row r="1014" spans="1:17" x14ac:dyDescent="0.35">
      <c r="A1014">
        <v>13</v>
      </c>
      <c r="B1014" t="s">
        <v>13</v>
      </c>
      <c r="C1014" s="4">
        <v>4</v>
      </c>
      <c r="D1014" t="s">
        <v>14</v>
      </c>
      <c r="E1014" s="4">
        <v>4.2</v>
      </c>
      <c r="F1014" s="4">
        <v>0.9</v>
      </c>
      <c r="G1014">
        <v>2.75</v>
      </c>
      <c r="H1014">
        <v>1</v>
      </c>
      <c r="I1014" t="s">
        <v>18</v>
      </c>
      <c r="J1014">
        <v>5</v>
      </c>
      <c r="K1014">
        <v>4</v>
      </c>
      <c r="L1014">
        <v>8</v>
      </c>
      <c r="M1014">
        <v>0</v>
      </c>
      <c r="N1014">
        <f>_xlfn.IFS(rounded[[#This Row],[social_interaction_level]] = "low", 1,rounded[[#This Row],[social_interaction_level]] = "medium", 2,rounded[[#This Row],[social_interaction_level]] = "high", 3)</f>
        <v>3</v>
      </c>
      <c r="O1014">
        <f t="shared" si="15"/>
        <v>17</v>
      </c>
      <c r="P1014" t="str" cm="1">
        <f t="array" ref="P1014">_xlfn.SWITCH(rounded[[#This Row],[depression_label]], 0, "Not Depressed", 1, "Depressed")</f>
        <v>Not Depressed</v>
      </c>
      <c r="Q1014" s="45" t="str" cm="1">
        <f t="array" ref="Q1014">_xlfn.SWITCH(rounded[[#This Row],[gender]], "male", "Male", "female", "Female")</f>
        <v>Male</v>
      </c>
    </row>
    <row r="1015" spans="1:17" x14ac:dyDescent="0.35">
      <c r="A1015">
        <v>13</v>
      </c>
      <c r="B1015" t="s">
        <v>13</v>
      </c>
      <c r="C1015" s="4">
        <v>1.6</v>
      </c>
      <c r="D1015" t="s">
        <v>17</v>
      </c>
      <c r="E1015" s="4">
        <v>5</v>
      </c>
      <c r="F1015" s="4">
        <v>2.7</v>
      </c>
      <c r="G1015">
        <v>2.31</v>
      </c>
      <c r="H1015">
        <v>1.9</v>
      </c>
      <c r="I1015" t="s">
        <v>15</v>
      </c>
      <c r="J1015">
        <v>8</v>
      </c>
      <c r="K1015">
        <v>9</v>
      </c>
      <c r="L1015">
        <v>5</v>
      </c>
      <c r="M1015">
        <v>0</v>
      </c>
      <c r="N1015">
        <f>_xlfn.IFS(rounded[[#This Row],[social_interaction_level]] = "low", 1,rounded[[#This Row],[social_interaction_level]] = "medium", 2,rounded[[#This Row],[social_interaction_level]] = "high", 3)</f>
        <v>1</v>
      </c>
      <c r="O1015">
        <f t="shared" si="15"/>
        <v>22</v>
      </c>
      <c r="P1015" t="str" cm="1">
        <f t="array" ref="P1015">_xlfn.SWITCH(rounded[[#This Row],[depression_label]], 0, "Not Depressed", 1, "Depressed")</f>
        <v>Not Depressed</v>
      </c>
      <c r="Q1015" s="45" t="str" cm="1">
        <f t="array" ref="Q1015">_xlfn.SWITCH(rounded[[#This Row],[gender]], "male", "Male", "female", "Female")</f>
        <v>Male</v>
      </c>
    </row>
    <row r="1016" spans="1:17" x14ac:dyDescent="0.35">
      <c r="A1016">
        <v>18</v>
      </c>
      <c r="B1016" t="s">
        <v>13</v>
      </c>
      <c r="C1016" s="4">
        <v>5.3</v>
      </c>
      <c r="D1016" t="s">
        <v>20</v>
      </c>
      <c r="E1016" s="4">
        <v>8.1999999999999993</v>
      </c>
      <c r="F1016" s="4">
        <v>1.9</v>
      </c>
      <c r="G1016">
        <v>3.87</v>
      </c>
      <c r="H1016">
        <v>1.9</v>
      </c>
      <c r="I1016" t="s">
        <v>15</v>
      </c>
      <c r="J1016">
        <v>2</v>
      </c>
      <c r="K1016">
        <v>9</v>
      </c>
      <c r="L1016">
        <v>8</v>
      </c>
      <c r="M1016">
        <v>0</v>
      </c>
      <c r="N1016">
        <f>_xlfn.IFS(rounded[[#This Row],[social_interaction_level]] = "low", 1,rounded[[#This Row],[social_interaction_level]] = "medium", 2,rounded[[#This Row],[social_interaction_level]] = "high", 3)</f>
        <v>1</v>
      </c>
      <c r="O1016">
        <f t="shared" si="15"/>
        <v>19</v>
      </c>
      <c r="P1016" t="str" cm="1">
        <f t="array" ref="P1016">_xlfn.SWITCH(rounded[[#This Row],[depression_label]], 0, "Not Depressed", 1, "Depressed")</f>
        <v>Not Depressed</v>
      </c>
      <c r="Q1016" s="45" t="str" cm="1">
        <f t="array" ref="Q1016">_xlfn.SWITCH(rounded[[#This Row],[gender]], "male", "Male", "female", "Female")</f>
        <v>Male</v>
      </c>
    </row>
    <row r="1017" spans="1:17" x14ac:dyDescent="0.35">
      <c r="A1017">
        <v>19</v>
      </c>
      <c r="B1017" t="s">
        <v>16</v>
      </c>
      <c r="C1017" s="4">
        <v>7.4</v>
      </c>
      <c r="D1017" t="s">
        <v>20</v>
      </c>
      <c r="E1017" s="4">
        <v>4.4000000000000004</v>
      </c>
      <c r="F1017" s="4">
        <v>1.4</v>
      </c>
      <c r="G1017">
        <v>3.78</v>
      </c>
      <c r="H1017">
        <v>1.1000000000000001</v>
      </c>
      <c r="I1017" t="s">
        <v>15</v>
      </c>
      <c r="J1017">
        <v>9</v>
      </c>
      <c r="K1017">
        <v>7</v>
      </c>
      <c r="L1017">
        <v>5</v>
      </c>
      <c r="M1017">
        <v>1</v>
      </c>
      <c r="N1017">
        <f>_xlfn.IFS(rounded[[#This Row],[social_interaction_level]] = "low", 1,rounded[[#This Row],[social_interaction_level]] = "medium", 2,rounded[[#This Row],[social_interaction_level]] = "high", 3)</f>
        <v>1</v>
      </c>
      <c r="O1017">
        <f t="shared" si="15"/>
        <v>21</v>
      </c>
      <c r="P1017" t="str" cm="1">
        <f t="array" ref="P1017">_xlfn.SWITCH(rounded[[#This Row],[depression_label]], 0, "Not Depressed", 1, "Depressed")</f>
        <v>Depressed</v>
      </c>
      <c r="Q1017" s="45" t="str" cm="1">
        <f t="array" ref="Q1017">_xlfn.SWITCH(rounded[[#This Row],[gender]], "male", "Male", "female", "Female")</f>
        <v>Female</v>
      </c>
    </row>
    <row r="1018" spans="1:17" x14ac:dyDescent="0.35">
      <c r="A1018">
        <v>18</v>
      </c>
      <c r="B1018" t="s">
        <v>16</v>
      </c>
      <c r="C1018" s="4">
        <v>2.2999999999999998</v>
      </c>
      <c r="D1018" t="s">
        <v>14</v>
      </c>
      <c r="E1018" s="4">
        <v>8.6999999999999993</v>
      </c>
      <c r="F1018" s="4">
        <v>0.6</v>
      </c>
      <c r="G1018">
        <v>2.76</v>
      </c>
      <c r="H1018">
        <v>1.9</v>
      </c>
      <c r="I1018" t="s">
        <v>18</v>
      </c>
      <c r="J1018">
        <v>4</v>
      </c>
      <c r="K1018">
        <v>8</v>
      </c>
      <c r="L1018">
        <v>7</v>
      </c>
      <c r="M1018">
        <v>0</v>
      </c>
      <c r="N1018">
        <f>_xlfn.IFS(rounded[[#This Row],[social_interaction_level]] = "low", 1,rounded[[#This Row],[social_interaction_level]] = "medium", 2,rounded[[#This Row],[social_interaction_level]] = "high", 3)</f>
        <v>3</v>
      </c>
      <c r="O1018">
        <f t="shared" si="15"/>
        <v>19</v>
      </c>
      <c r="P1018" t="str" cm="1">
        <f t="array" ref="P1018">_xlfn.SWITCH(rounded[[#This Row],[depression_label]], 0, "Not Depressed", 1, "Depressed")</f>
        <v>Not Depressed</v>
      </c>
      <c r="Q1018" s="45" t="str" cm="1">
        <f t="array" ref="Q1018">_xlfn.SWITCH(rounded[[#This Row],[gender]], "male", "Male", "female", "Female")</f>
        <v>Female</v>
      </c>
    </row>
    <row r="1019" spans="1:17" x14ac:dyDescent="0.35">
      <c r="A1019">
        <v>16</v>
      </c>
      <c r="B1019" t="s">
        <v>13</v>
      </c>
      <c r="C1019" s="4">
        <v>7.6</v>
      </c>
      <c r="D1019" t="s">
        <v>20</v>
      </c>
      <c r="E1019" s="4">
        <v>6.1</v>
      </c>
      <c r="F1019" s="4">
        <v>0.8</v>
      </c>
      <c r="G1019">
        <v>3.09</v>
      </c>
      <c r="H1019">
        <v>1.3</v>
      </c>
      <c r="I1019" t="s">
        <v>15</v>
      </c>
      <c r="J1019">
        <v>8</v>
      </c>
      <c r="K1019">
        <v>4</v>
      </c>
      <c r="L1019">
        <v>4</v>
      </c>
      <c r="M1019">
        <v>0</v>
      </c>
      <c r="N1019">
        <f>_xlfn.IFS(rounded[[#This Row],[social_interaction_level]] = "low", 1,rounded[[#This Row],[social_interaction_level]] = "medium", 2,rounded[[#This Row],[social_interaction_level]] = "high", 3)</f>
        <v>1</v>
      </c>
      <c r="O1019">
        <f t="shared" si="15"/>
        <v>16</v>
      </c>
      <c r="P1019" t="str" cm="1">
        <f t="array" ref="P1019">_xlfn.SWITCH(rounded[[#This Row],[depression_label]], 0, "Not Depressed", 1, "Depressed")</f>
        <v>Not Depressed</v>
      </c>
      <c r="Q1019" s="45" t="str" cm="1">
        <f t="array" ref="Q1019">_xlfn.SWITCH(rounded[[#This Row],[gender]], "male", "Male", "female", "Female")</f>
        <v>Male</v>
      </c>
    </row>
    <row r="1020" spans="1:17" x14ac:dyDescent="0.35">
      <c r="A1020">
        <v>16</v>
      </c>
      <c r="B1020" t="s">
        <v>16</v>
      </c>
      <c r="C1020" s="4">
        <v>7.6</v>
      </c>
      <c r="D1020" t="s">
        <v>17</v>
      </c>
      <c r="E1020" s="4">
        <v>7.6</v>
      </c>
      <c r="F1020" s="4">
        <v>2.4</v>
      </c>
      <c r="G1020">
        <v>2.2400000000000002</v>
      </c>
      <c r="H1020">
        <v>1.1000000000000001</v>
      </c>
      <c r="I1020" t="s">
        <v>19</v>
      </c>
      <c r="J1020">
        <v>1</v>
      </c>
      <c r="K1020">
        <v>5</v>
      </c>
      <c r="L1020">
        <v>5</v>
      </c>
      <c r="M1020">
        <v>0</v>
      </c>
      <c r="N1020">
        <f>_xlfn.IFS(rounded[[#This Row],[social_interaction_level]] = "low", 1,rounded[[#This Row],[social_interaction_level]] = "medium", 2,rounded[[#This Row],[social_interaction_level]] = "high", 3)</f>
        <v>2</v>
      </c>
      <c r="O1020">
        <f t="shared" si="15"/>
        <v>11</v>
      </c>
      <c r="P1020" t="str" cm="1">
        <f t="array" ref="P1020">_xlfn.SWITCH(rounded[[#This Row],[depression_label]], 0, "Not Depressed", 1, "Depressed")</f>
        <v>Not Depressed</v>
      </c>
      <c r="Q1020" s="45" t="str" cm="1">
        <f t="array" ref="Q1020">_xlfn.SWITCH(rounded[[#This Row],[gender]], "male", "Male", "female", "Female")</f>
        <v>Female</v>
      </c>
    </row>
    <row r="1021" spans="1:17" x14ac:dyDescent="0.35">
      <c r="A1021">
        <v>17</v>
      </c>
      <c r="B1021" t="s">
        <v>16</v>
      </c>
      <c r="C1021" s="4">
        <v>3.4</v>
      </c>
      <c r="D1021" t="s">
        <v>20</v>
      </c>
      <c r="E1021" s="4">
        <v>4.7</v>
      </c>
      <c r="F1021" s="4">
        <v>0.5</v>
      </c>
      <c r="G1021">
        <v>2.91</v>
      </c>
      <c r="H1021">
        <v>2</v>
      </c>
      <c r="I1021" t="s">
        <v>18</v>
      </c>
      <c r="J1021">
        <v>2</v>
      </c>
      <c r="K1021">
        <v>8</v>
      </c>
      <c r="L1021">
        <v>1</v>
      </c>
      <c r="M1021">
        <v>0</v>
      </c>
      <c r="N1021">
        <f>_xlfn.IFS(rounded[[#This Row],[social_interaction_level]] = "low", 1,rounded[[#This Row],[social_interaction_level]] = "medium", 2,rounded[[#This Row],[social_interaction_level]] = "high", 3)</f>
        <v>3</v>
      </c>
      <c r="O1021">
        <f t="shared" si="15"/>
        <v>11</v>
      </c>
      <c r="P1021" t="str" cm="1">
        <f t="array" ref="P1021">_xlfn.SWITCH(rounded[[#This Row],[depression_label]], 0, "Not Depressed", 1, "Depressed")</f>
        <v>Not Depressed</v>
      </c>
      <c r="Q1021" s="45" t="str" cm="1">
        <f t="array" ref="Q1021">_xlfn.SWITCH(rounded[[#This Row],[gender]], "male", "Male", "female", "Female")</f>
        <v>Female</v>
      </c>
    </row>
    <row r="1022" spans="1:17" x14ac:dyDescent="0.35">
      <c r="A1022">
        <v>18</v>
      </c>
      <c r="B1022" t="s">
        <v>16</v>
      </c>
      <c r="C1022" s="4">
        <v>2.2999999999999998</v>
      </c>
      <c r="D1022" t="s">
        <v>14</v>
      </c>
      <c r="E1022" s="4">
        <v>4.2</v>
      </c>
      <c r="F1022" s="4">
        <v>0.9</v>
      </c>
      <c r="G1022">
        <v>3.84</v>
      </c>
      <c r="H1022">
        <v>1.3</v>
      </c>
      <c r="I1022" t="s">
        <v>18</v>
      </c>
      <c r="J1022">
        <v>6</v>
      </c>
      <c r="K1022">
        <v>6</v>
      </c>
      <c r="L1022">
        <v>10</v>
      </c>
      <c r="M1022">
        <v>0</v>
      </c>
      <c r="N1022">
        <f>_xlfn.IFS(rounded[[#This Row],[social_interaction_level]] = "low", 1,rounded[[#This Row],[social_interaction_level]] = "medium", 2,rounded[[#This Row],[social_interaction_level]] = "high", 3)</f>
        <v>3</v>
      </c>
      <c r="O1022">
        <f t="shared" si="15"/>
        <v>22</v>
      </c>
      <c r="P1022" t="str" cm="1">
        <f t="array" ref="P1022">_xlfn.SWITCH(rounded[[#This Row],[depression_label]], 0, "Not Depressed", 1, "Depressed")</f>
        <v>Not Depressed</v>
      </c>
      <c r="Q1022" s="45" t="str" cm="1">
        <f t="array" ref="Q1022">_xlfn.SWITCH(rounded[[#This Row],[gender]], "male", "Male", "female", "Female")</f>
        <v>Female</v>
      </c>
    </row>
    <row r="1023" spans="1:17" x14ac:dyDescent="0.35">
      <c r="A1023">
        <v>18</v>
      </c>
      <c r="B1023" t="s">
        <v>13</v>
      </c>
      <c r="C1023" s="4">
        <v>5</v>
      </c>
      <c r="D1023" t="s">
        <v>14</v>
      </c>
      <c r="E1023" s="4">
        <v>4.3</v>
      </c>
      <c r="F1023" s="4">
        <v>1.1000000000000001</v>
      </c>
      <c r="G1023">
        <v>2.2200000000000002</v>
      </c>
      <c r="H1023">
        <v>0.1</v>
      </c>
      <c r="I1023" t="s">
        <v>18</v>
      </c>
      <c r="J1023">
        <v>7</v>
      </c>
      <c r="K1023">
        <v>2</v>
      </c>
      <c r="L1023">
        <v>2</v>
      </c>
      <c r="M1023">
        <v>0</v>
      </c>
      <c r="N1023">
        <f>_xlfn.IFS(rounded[[#This Row],[social_interaction_level]] = "low", 1,rounded[[#This Row],[social_interaction_level]] = "medium", 2,rounded[[#This Row],[social_interaction_level]] = "high", 3)</f>
        <v>3</v>
      </c>
      <c r="O1023">
        <f t="shared" si="15"/>
        <v>11</v>
      </c>
      <c r="P1023" t="str" cm="1">
        <f t="array" ref="P1023">_xlfn.SWITCH(rounded[[#This Row],[depression_label]], 0, "Not Depressed", 1, "Depressed")</f>
        <v>Not Depressed</v>
      </c>
      <c r="Q1023" s="45" t="str" cm="1">
        <f t="array" ref="Q1023">_xlfn.SWITCH(rounded[[#This Row],[gender]], "male", "Male", "female", "Female")</f>
        <v>Male</v>
      </c>
    </row>
    <row r="1024" spans="1:17" x14ac:dyDescent="0.35">
      <c r="A1024">
        <v>15</v>
      </c>
      <c r="B1024" t="s">
        <v>13</v>
      </c>
      <c r="C1024" s="4">
        <v>3.8</v>
      </c>
      <c r="D1024" t="s">
        <v>17</v>
      </c>
      <c r="E1024" s="4">
        <v>7.1</v>
      </c>
      <c r="F1024" s="4">
        <v>0.5</v>
      </c>
      <c r="G1024">
        <v>3.08</v>
      </c>
      <c r="H1024">
        <v>0.2</v>
      </c>
      <c r="I1024" t="s">
        <v>19</v>
      </c>
      <c r="J1024">
        <v>2</v>
      </c>
      <c r="K1024">
        <v>9</v>
      </c>
      <c r="L1024">
        <v>7</v>
      </c>
      <c r="M1024">
        <v>0</v>
      </c>
      <c r="N1024">
        <f>_xlfn.IFS(rounded[[#This Row],[social_interaction_level]] = "low", 1,rounded[[#This Row],[social_interaction_level]] = "medium", 2,rounded[[#This Row],[social_interaction_level]] = "high", 3)</f>
        <v>2</v>
      </c>
      <c r="O1024">
        <f t="shared" si="15"/>
        <v>18</v>
      </c>
      <c r="P1024" t="str" cm="1">
        <f t="array" ref="P1024">_xlfn.SWITCH(rounded[[#This Row],[depression_label]], 0, "Not Depressed", 1, "Depressed")</f>
        <v>Not Depressed</v>
      </c>
      <c r="Q1024" s="45" t="str" cm="1">
        <f t="array" ref="Q1024">_xlfn.SWITCH(rounded[[#This Row],[gender]], "male", "Male", "female", "Female")</f>
        <v>Male</v>
      </c>
    </row>
    <row r="1025" spans="1:17" x14ac:dyDescent="0.35">
      <c r="A1025">
        <v>16</v>
      </c>
      <c r="B1025" t="s">
        <v>13</v>
      </c>
      <c r="C1025" s="4">
        <v>3.7</v>
      </c>
      <c r="D1025" t="s">
        <v>14</v>
      </c>
      <c r="E1025" s="4">
        <v>7.6</v>
      </c>
      <c r="F1025" s="4">
        <v>1.2</v>
      </c>
      <c r="G1025">
        <v>3.2</v>
      </c>
      <c r="H1025">
        <v>1</v>
      </c>
      <c r="I1025" t="s">
        <v>19</v>
      </c>
      <c r="J1025">
        <v>4</v>
      </c>
      <c r="K1025">
        <v>8</v>
      </c>
      <c r="L1025">
        <v>6</v>
      </c>
      <c r="M1025">
        <v>0</v>
      </c>
      <c r="N1025">
        <f>_xlfn.IFS(rounded[[#This Row],[social_interaction_level]] = "low", 1,rounded[[#This Row],[social_interaction_level]] = "medium", 2,rounded[[#This Row],[social_interaction_level]] = "high", 3)</f>
        <v>2</v>
      </c>
      <c r="O1025">
        <f t="shared" si="15"/>
        <v>18</v>
      </c>
      <c r="P1025" t="str" cm="1">
        <f t="array" ref="P1025">_xlfn.SWITCH(rounded[[#This Row],[depression_label]], 0, "Not Depressed", 1, "Depressed")</f>
        <v>Not Depressed</v>
      </c>
      <c r="Q1025" s="45" t="str" cm="1">
        <f t="array" ref="Q1025">_xlfn.SWITCH(rounded[[#This Row],[gender]], "male", "Male", "female", "Female")</f>
        <v>Male</v>
      </c>
    </row>
    <row r="1026" spans="1:17" x14ac:dyDescent="0.35">
      <c r="A1026">
        <v>13</v>
      </c>
      <c r="B1026" t="s">
        <v>13</v>
      </c>
      <c r="C1026" s="4">
        <v>1.4</v>
      </c>
      <c r="D1026" t="s">
        <v>20</v>
      </c>
      <c r="E1026" s="4">
        <v>8.6</v>
      </c>
      <c r="F1026" s="4">
        <v>2.4</v>
      </c>
      <c r="G1026">
        <v>3.31</v>
      </c>
      <c r="H1026">
        <v>0.7</v>
      </c>
      <c r="I1026" t="s">
        <v>15</v>
      </c>
      <c r="J1026">
        <v>2</v>
      </c>
      <c r="K1026">
        <v>6</v>
      </c>
      <c r="L1026">
        <v>2</v>
      </c>
      <c r="M1026">
        <v>0</v>
      </c>
      <c r="N1026">
        <f>_xlfn.IFS(rounded[[#This Row],[social_interaction_level]] = "low", 1,rounded[[#This Row],[social_interaction_level]] = "medium", 2,rounded[[#This Row],[social_interaction_level]] = "high", 3)</f>
        <v>1</v>
      </c>
      <c r="O1026">
        <f t="shared" ref="O1026:O1089" si="16">SUM(J1026+K1026+L1026)</f>
        <v>10</v>
      </c>
      <c r="P1026" t="str" cm="1">
        <f t="array" ref="P1026">_xlfn.SWITCH(rounded[[#This Row],[depression_label]], 0, "Not Depressed", 1, "Depressed")</f>
        <v>Not Depressed</v>
      </c>
      <c r="Q1026" s="45" t="str" cm="1">
        <f t="array" ref="Q1026">_xlfn.SWITCH(rounded[[#This Row],[gender]], "male", "Male", "female", "Female")</f>
        <v>Male</v>
      </c>
    </row>
    <row r="1027" spans="1:17" x14ac:dyDescent="0.35">
      <c r="A1027">
        <v>18</v>
      </c>
      <c r="B1027" t="s">
        <v>13</v>
      </c>
      <c r="C1027" s="4">
        <v>1.8</v>
      </c>
      <c r="D1027" t="s">
        <v>20</v>
      </c>
      <c r="E1027" s="4">
        <v>4.9000000000000004</v>
      </c>
      <c r="F1027" s="4">
        <v>2.7</v>
      </c>
      <c r="G1027">
        <v>2.12</v>
      </c>
      <c r="H1027">
        <v>0.2</v>
      </c>
      <c r="I1027" t="s">
        <v>15</v>
      </c>
      <c r="J1027">
        <v>1</v>
      </c>
      <c r="K1027">
        <v>3</v>
      </c>
      <c r="L1027">
        <v>8</v>
      </c>
      <c r="M1027">
        <v>0</v>
      </c>
      <c r="N1027">
        <f>_xlfn.IFS(rounded[[#This Row],[social_interaction_level]] = "low", 1,rounded[[#This Row],[social_interaction_level]] = "medium", 2,rounded[[#This Row],[social_interaction_level]] = "high", 3)</f>
        <v>1</v>
      </c>
      <c r="O1027">
        <f t="shared" si="16"/>
        <v>12</v>
      </c>
      <c r="P1027" t="str" cm="1">
        <f t="array" ref="P1027">_xlfn.SWITCH(rounded[[#This Row],[depression_label]], 0, "Not Depressed", 1, "Depressed")</f>
        <v>Not Depressed</v>
      </c>
      <c r="Q1027" s="45" t="str" cm="1">
        <f t="array" ref="Q1027">_xlfn.SWITCH(rounded[[#This Row],[gender]], "male", "Male", "female", "Female")</f>
        <v>Male</v>
      </c>
    </row>
    <row r="1028" spans="1:17" x14ac:dyDescent="0.35">
      <c r="A1028">
        <v>19</v>
      </c>
      <c r="B1028" t="s">
        <v>13</v>
      </c>
      <c r="C1028" s="4">
        <v>1.5</v>
      </c>
      <c r="D1028" t="s">
        <v>17</v>
      </c>
      <c r="E1028" s="4">
        <v>5.8</v>
      </c>
      <c r="F1028" s="4">
        <v>1.1000000000000001</v>
      </c>
      <c r="G1028">
        <v>3.29</v>
      </c>
      <c r="H1028">
        <v>1.7</v>
      </c>
      <c r="I1028" t="s">
        <v>18</v>
      </c>
      <c r="J1028">
        <v>6</v>
      </c>
      <c r="K1028">
        <v>4</v>
      </c>
      <c r="L1028">
        <v>2</v>
      </c>
      <c r="M1028">
        <v>0</v>
      </c>
      <c r="N1028">
        <f>_xlfn.IFS(rounded[[#This Row],[social_interaction_level]] = "low", 1,rounded[[#This Row],[social_interaction_level]] = "medium", 2,rounded[[#This Row],[social_interaction_level]] = "high", 3)</f>
        <v>3</v>
      </c>
      <c r="O1028">
        <f t="shared" si="16"/>
        <v>12</v>
      </c>
      <c r="P1028" t="str" cm="1">
        <f t="array" ref="P1028">_xlfn.SWITCH(rounded[[#This Row],[depression_label]], 0, "Not Depressed", 1, "Depressed")</f>
        <v>Not Depressed</v>
      </c>
      <c r="Q1028" s="45" t="str" cm="1">
        <f t="array" ref="Q1028">_xlfn.SWITCH(rounded[[#This Row],[gender]], "male", "Male", "female", "Female")</f>
        <v>Male</v>
      </c>
    </row>
    <row r="1029" spans="1:17" x14ac:dyDescent="0.35">
      <c r="A1029">
        <v>18</v>
      </c>
      <c r="B1029" t="s">
        <v>16</v>
      </c>
      <c r="C1029" s="4">
        <v>5.5</v>
      </c>
      <c r="D1029" t="s">
        <v>20</v>
      </c>
      <c r="E1029" s="4">
        <v>5.5</v>
      </c>
      <c r="F1029" s="4">
        <v>1.8</v>
      </c>
      <c r="G1029">
        <v>2.2400000000000002</v>
      </c>
      <c r="H1029">
        <v>0</v>
      </c>
      <c r="I1029" t="s">
        <v>18</v>
      </c>
      <c r="J1029">
        <v>3</v>
      </c>
      <c r="K1029">
        <v>4</v>
      </c>
      <c r="L1029">
        <v>10</v>
      </c>
      <c r="M1029">
        <v>0</v>
      </c>
      <c r="N1029">
        <f>_xlfn.IFS(rounded[[#This Row],[social_interaction_level]] = "low", 1,rounded[[#This Row],[social_interaction_level]] = "medium", 2,rounded[[#This Row],[social_interaction_level]] = "high", 3)</f>
        <v>3</v>
      </c>
      <c r="O1029">
        <f t="shared" si="16"/>
        <v>17</v>
      </c>
      <c r="P1029" t="str" cm="1">
        <f t="array" ref="P1029">_xlfn.SWITCH(rounded[[#This Row],[depression_label]], 0, "Not Depressed", 1, "Depressed")</f>
        <v>Not Depressed</v>
      </c>
      <c r="Q1029" s="45" t="str" cm="1">
        <f t="array" ref="Q1029">_xlfn.SWITCH(rounded[[#This Row],[gender]], "male", "Male", "female", "Female")</f>
        <v>Female</v>
      </c>
    </row>
    <row r="1030" spans="1:17" x14ac:dyDescent="0.35">
      <c r="A1030">
        <v>15</v>
      </c>
      <c r="B1030" t="s">
        <v>13</v>
      </c>
      <c r="C1030" s="4">
        <v>4.9000000000000004</v>
      </c>
      <c r="D1030" t="s">
        <v>20</v>
      </c>
      <c r="E1030" s="4">
        <v>5.2</v>
      </c>
      <c r="F1030" s="4">
        <v>0.7</v>
      </c>
      <c r="G1030">
        <v>2.5499999999999998</v>
      </c>
      <c r="H1030">
        <v>0.1</v>
      </c>
      <c r="I1030" t="s">
        <v>15</v>
      </c>
      <c r="J1030">
        <v>10</v>
      </c>
      <c r="K1030">
        <v>6</v>
      </c>
      <c r="L1030">
        <v>4</v>
      </c>
      <c r="M1030">
        <v>0</v>
      </c>
      <c r="N1030">
        <f>_xlfn.IFS(rounded[[#This Row],[social_interaction_level]] = "low", 1,rounded[[#This Row],[social_interaction_level]] = "medium", 2,rounded[[#This Row],[social_interaction_level]] = "high", 3)</f>
        <v>1</v>
      </c>
      <c r="O1030">
        <f t="shared" si="16"/>
        <v>20</v>
      </c>
      <c r="P1030" t="str" cm="1">
        <f t="array" ref="P1030">_xlfn.SWITCH(rounded[[#This Row],[depression_label]], 0, "Not Depressed", 1, "Depressed")</f>
        <v>Not Depressed</v>
      </c>
      <c r="Q1030" s="45" t="str" cm="1">
        <f t="array" ref="Q1030">_xlfn.SWITCH(rounded[[#This Row],[gender]], "male", "Male", "female", "Female")</f>
        <v>Male</v>
      </c>
    </row>
    <row r="1031" spans="1:17" x14ac:dyDescent="0.35">
      <c r="A1031">
        <v>14</v>
      </c>
      <c r="B1031" t="s">
        <v>16</v>
      </c>
      <c r="C1031" s="4">
        <v>7.2</v>
      </c>
      <c r="D1031" t="s">
        <v>20</v>
      </c>
      <c r="E1031" s="4">
        <v>7</v>
      </c>
      <c r="F1031" s="4">
        <v>2.2999999999999998</v>
      </c>
      <c r="G1031">
        <v>3.74</v>
      </c>
      <c r="H1031">
        <v>0.7</v>
      </c>
      <c r="I1031" t="s">
        <v>15</v>
      </c>
      <c r="J1031">
        <v>8</v>
      </c>
      <c r="K1031">
        <v>4</v>
      </c>
      <c r="L1031">
        <v>7</v>
      </c>
      <c r="M1031">
        <v>0</v>
      </c>
      <c r="N1031">
        <f>_xlfn.IFS(rounded[[#This Row],[social_interaction_level]] = "low", 1,rounded[[#This Row],[social_interaction_level]] = "medium", 2,rounded[[#This Row],[social_interaction_level]] = "high", 3)</f>
        <v>1</v>
      </c>
      <c r="O1031">
        <f t="shared" si="16"/>
        <v>19</v>
      </c>
      <c r="P1031" t="str" cm="1">
        <f t="array" ref="P1031">_xlfn.SWITCH(rounded[[#This Row],[depression_label]], 0, "Not Depressed", 1, "Depressed")</f>
        <v>Not Depressed</v>
      </c>
      <c r="Q1031" s="45" t="str" cm="1">
        <f t="array" ref="Q1031">_xlfn.SWITCH(rounded[[#This Row],[gender]], "male", "Male", "female", "Female")</f>
        <v>Female</v>
      </c>
    </row>
    <row r="1032" spans="1:17" x14ac:dyDescent="0.35">
      <c r="A1032">
        <v>16</v>
      </c>
      <c r="B1032" t="s">
        <v>16</v>
      </c>
      <c r="C1032" s="4">
        <v>6.8</v>
      </c>
      <c r="D1032" t="s">
        <v>14</v>
      </c>
      <c r="E1032" s="4">
        <v>7.2</v>
      </c>
      <c r="F1032" s="4">
        <v>1.1000000000000001</v>
      </c>
      <c r="G1032">
        <v>2.29</v>
      </c>
      <c r="H1032">
        <v>1.9</v>
      </c>
      <c r="I1032" t="s">
        <v>15</v>
      </c>
      <c r="J1032">
        <v>8</v>
      </c>
      <c r="K1032">
        <v>5</v>
      </c>
      <c r="L1032">
        <v>9</v>
      </c>
      <c r="M1032">
        <v>0</v>
      </c>
      <c r="N1032">
        <f>_xlfn.IFS(rounded[[#This Row],[social_interaction_level]] = "low", 1,rounded[[#This Row],[social_interaction_level]] = "medium", 2,rounded[[#This Row],[social_interaction_level]] = "high", 3)</f>
        <v>1</v>
      </c>
      <c r="O1032">
        <f t="shared" si="16"/>
        <v>22</v>
      </c>
      <c r="P1032" t="str" cm="1">
        <f t="array" ref="P1032">_xlfn.SWITCH(rounded[[#This Row],[depression_label]], 0, "Not Depressed", 1, "Depressed")</f>
        <v>Not Depressed</v>
      </c>
      <c r="Q1032" s="45" t="str" cm="1">
        <f t="array" ref="Q1032">_xlfn.SWITCH(rounded[[#This Row],[gender]], "male", "Male", "female", "Female")</f>
        <v>Female</v>
      </c>
    </row>
    <row r="1033" spans="1:17" x14ac:dyDescent="0.35">
      <c r="A1033">
        <v>13</v>
      </c>
      <c r="B1033" t="s">
        <v>16</v>
      </c>
      <c r="C1033" s="4">
        <v>2.2000000000000002</v>
      </c>
      <c r="D1033" t="s">
        <v>20</v>
      </c>
      <c r="E1033" s="4">
        <v>7.7</v>
      </c>
      <c r="F1033" s="4">
        <v>2.1</v>
      </c>
      <c r="G1033">
        <v>2.33</v>
      </c>
      <c r="H1033">
        <v>1.7</v>
      </c>
      <c r="I1033" t="s">
        <v>15</v>
      </c>
      <c r="J1033">
        <v>2</v>
      </c>
      <c r="K1033">
        <v>8</v>
      </c>
      <c r="L1033">
        <v>7</v>
      </c>
      <c r="M1033">
        <v>0</v>
      </c>
      <c r="N1033">
        <f>_xlfn.IFS(rounded[[#This Row],[social_interaction_level]] = "low", 1,rounded[[#This Row],[social_interaction_level]] = "medium", 2,rounded[[#This Row],[social_interaction_level]] = "high", 3)</f>
        <v>1</v>
      </c>
      <c r="O1033">
        <f t="shared" si="16"/>
        <v>17</v>
      </c>
      <c r="P1033" t="str" cm="1">
        <f t="array" ref="P1033">_xlfn.SWITCH(rounded[[#This Row],[depression_label]], 0, "Not Depressed", 1, "Depressed")</f>
        <v>Not Depressed</v>
      </c>
      <c r="Q1033" s="45" t="str" cm="1">
        <f t="array" ref="Q1033">_xlfn.SWITCH(rounded[[#This Row],[gender]], "male", "Male", "female", "Female")</f>
        <v>Female</v>
      </c>
    </row>
    <row r="1034" spans="1:17" x14ac:dyDescent="0.35">
      <c r="A1034">
        <v>16</v>
      </c>
      <c r="B1034" t="s">
        <v>16</v>
      </c>
      <c r="C1034" s="4">
        <v>5.9</v>
      </c>
      <c r="D1034" t="s">
        <v>17</v>
      </c>
      <c r="E1034" s="4">
        <v>7</v>
      </c>
      <c r="F1034" s="4">
        <v>0.8</v>
      </c>
      <c r="G1034">
        <v>2.29</v>
      </c>
      <c r="H1034">
        <v>1.6</v>
      </c>
      <c r="I1034" t="s">
        <v>15</v>
      </c>
      <c r="J1034">
        <v>6</v>
      </c>
      <c r="K1034">
        <v>8</v>
      </c>
      <c r="L1034">
        <v>1</v>
      </c>
      <c r="M1034">
        <v>0</v>
      </c>
      <c r="N1034">
        <f>_xlfn.IFS(rounded[[#This Row],[social_interaction_level]] = "low", 1,rounded[[#This Row],[social_interaction_level]] = "medium", 2,rounded[[#This Row],[social_interaction_level]] = "high", 3)</f>
        <v>1</v>
      </c>
      <c r="O1034">
        <f t="shared" si="16"/>
        <v>15</v>
      </c>
      <c r="P1034" t="str" cm="1">
        <f t="array" ref="P1034">_xlfn.SWITCH(rounded[[#This Row],[depression_label]], 0, "Not Depressed", 1, "Depressed")</f>
        <v>Not Depressed</v>
      </c>
      <c r="Q1034" s="45" t="str" cm="1">
        <f t="array" ref="Q1034">_xlfn.SWITCH(rounded[[#This Row],[gender]], "male", "Male", "female", "Female")</f>
        <v>Female</v>
      </c>
    </row>
    <row r="1035" spans="1:17" x14ac:dyDescent="0.35">
      <c r="A1035">
        <v>15</v>
      </c>
      <c r="B1035" t="s">
        <v>16</v>
      </c>
      <c r="C1035" s="4">
        <v>2.2000000000000002</v>
      </c>
      <c r="D1035" t="s">
        <v>14</v>
      </c>
      <c r="E1035" s="4">
        <v>7.5</v>
      </c>
      <c r="F1035" s="4">
        <v>1.4</v>
      </c>
      <c r="G1035">
        <v>3.19</v>
      </c>
      <c r="H1035">
        <v>1.8</v>
      </c>
      <c r="I1035" t="s">
        <v>15</v>
      </c>
      <c r="J1035">
        <v>6</v>
      </c>
      <c r="K1035">
        <v>1</v>
      </c>
      <c r="L1035">
        <v>7</v>
      </c>
      <c r="M1035">
        <v>0</v>
      </c>
      <c r="N1035">
        <f>_xlfn.IFS(rounded[[#This Row],[social_interaction_level]] = "low", 1,rounded[[#This Row],[social_interaction_level]] = "medium", 2,rounded[[#This Row],[social_interaction_level]] = "high", 3)</f>
        <v>1</v>
      </c>
      <c r="O1035">
        <f t="shared" si="16"/>
        <v>14</v>
      </c>
      <c r="P1035" t="str" cm="1">
        <f t="array" ref="P1035">_xlfn.SWITCH(rounded[[#This Row],[depression_label]], 0, "Not Depressed", 1, "Depressed")</f>
        <v>Not Depressed</v>
      </c>
      <c r="Q1035" s="45" t="str" cm="1">
        <f t="array" ref="Q1035">_xlfn.SWITCH(rounded[[#This Row],[gender]], "male", "Male", "female", "Female")</f>
        <v>Female</v>
      </c>
    </row>
    <row r="1036" spans="1:17" x14ac:dyDescent="0.35">
      <c r="A1036">
        <v>19</v>
      </c>
      <c r="B1036" t="s">
        <v>16</v>
      </c>
      <c r="C1036" s="4">
        <v>2.4</v>
      </c>
      <c r="D1036" t="s">
        <v>14</v>
      </c>
      <c r="E1036" s="4">
        <v>4.2</v>
      </c>
      <c r="F1036" s="4">
        <v>1.2</v>
      </c>
      <c r="G1036">
        <v>3.87</v>
      </c>
      <c r="H1036">
        <v>1.3</v>
      </c>
      <c r="I1036" t="s">
        <v>15</v>
      </c>
      <c r="J1036">
        <v>1</v>
      </c>
      <c r="K1036">
        <v>9</v>
      </c>
      <c r="L1036">
        <v>5</v>
      </c>
      <c r="M1036">
        <v>0</v>
      </c>
      <c r="N1036">
        <f>_xlfn.IFS(rounded[[#This Row],[social_interaction_level]] = "low", 1,rounded[[#This Row],[social_interaction_level]] = "medium", 2,rounded[[#This Row],[social_interaction_level]] = "high", 3)</f>
        <v>1</v>
      </c>
      <c r="O1036">
        <f t="shared" si="16"/>
        <v>15</v>
      </c>
      <c r="P1036" t="str" cm="1">
        <f t="array" ref="P1036">_xlfn.SWITCH(rounded[[#This Row],[depression_label]], 0, "Not Depressed", 1, "Depressed")</f>
        <v>Not Depressed</v>
      </c>
      <c r="Q1036" s="45" t="str" cm="1">
        <f t="array" ref="Q1036">_xlfn.SWITCH(rounded[[#This Row],[gender]], "male", "Male", "female", "Female")</f>
        <v>Female</v>
      </c>
    </row>
    <row r="1037" spans="1:17" x14ac:dyDescent="0.35">
      <c r="A1037">
        <v>15</v>
      </c>
      <c r="B1037" t="s">
        <v>13</v>
      </c>
      <c r="C1037" s="4">
        <v>4.0999999999999996</v>
      </c>
      <c r="D1037" t="s">
        <v>14</v>
      </c>
      <c r="E1037" s="4">
        <v>7.6</v>
      </c>
      <c r="F1037" s="4">
        <v>1</v>
      </c>
      <c r="G1037">
        <v>2.17</v>
      </c>
      <c r="H1037">
        <v>1.1000000000000001</v>
      </c>
      <c r="I1037" t="s">
        <v>15</v>
      </c>
      <c r="J1037">
        <v>4</v>
      </c>
      <c r="K1037">
        <v>5</v>
      </c>
      <c r="L1037">
        <v>1</v>
      </c>
      <c r="M1037">
        <v>0</v>
      </c>
      <c r="N1037">
        <f>_xlfn.IFS(rounded[[#This Row],[social_interaction_level]] = "low", 1,rounded[[#This Row],[social_interaction_level]] = "medium", 2,rounded[[#This Row],[social_interaction_level]] = "high", 3)</f>
        <v>1</v>
      </c>
      <c r="O1037">
        <f t="shared" si="16"/>
        <v>10</v>
      </c>
      <c r="P1037" t="str" cm="1">
        <f t="array" ref="P1037">_xlfn.SWITCH(rounded[[#This Row],[depression_label]], 0, "Not Depressed", 1, "Depressed")</f>
        <v>Not Depressed</v>
      </c>
      <c r="Q1037" s="45" t="str" cm="1">
        <f t="array" ref="Q1037">_xlfn.SWITCH(rounded[[#This Row],[gender]], "male", "Male", "female", "Female")</f>
        <v>Male</v>
      </c>
    </row>
    <row r="1038" spans="1:17" x14ac:dyDescent="0.35">
      <c r="A1038">
        <v>18</v>
      </c>
      <c r="B1038" t="s">
        <v>16</v>
      </c>
      <c r="C1038" s="4">
        <v>4.5</v>
      </c>
      <c r="D1038" t="s">
        <v>14</v>
      </c>
      <c r="E1038" s="4">
        <v>7</v>
      </c>
      <c r="F1038" s="4">
        <v>2.7</v>
      </c>
      <c r="G1038">
        <v>2.89</v>
      </c>
      <c r="H1038">
        <v>1.8</v>
      </c>
      <c r="I1038" t="s">
        <v>18</v>
      </c>
      <c r="J1038">
        <v>1</v>
      </c>
      <c r="K1038">
        <v>1</v>
      </c>
      <c r="L1038">
        <v>2</v>
      </c>
      <c r="M1038">
        <v>0</v>
      </c>
      <c r="N1038">
        <f>_xlfn.IFS(rounded[[#This Row],[social_interaction_level]] = "low", 1,rounded[[#This Row],[social_interaction_level]] = "medium", 2,rounded[[#This Row],[social_interaction_level]] = "high", 3)</f>
        <v>3</v>
      </c>
      <c r="O1038">
        <f t="shared" si="16"/>
        <v>4</v>
      </c>
      <c r="P1038" t="str" cm="1">
        <f t="array" ref="P1038">_xlfn.SWITCH(rounded[[#This Row],[depression_label]], 0, "Not Depressed", 1, "Depressed")</f>
        <v>Not Depressed</v>
      </c>
      <c r="Q1038" s="45" t="str" cm="1">
        <f t="array" ref="Q1038">_xlfn.SWITCH(rounded[[#This Row],[gender]], "male", "Male", "female", "Female")</f>
        <v>Female</v>
      </c>
    </row>
    <row r="1039" spans="1:17" x14ac:dyDescent="0.35">
      <c r="A1039">
        <v>14</v>
      </c>
      <c r="B1039" t="s">
        <v>16</v>
      </c>
      <c r="C1039" s="4">
        <v>4.5999999999999996</v>
      </c>
      <c r="D1039" t="s">
        <v>14</v>
      </c>
      <c r="E1039" s="4">
        <v>5.9</v>
      </c>
      <c r="F1039" s="4">
        <v>1.4</v>
      </c>
      <c r="G1039">
        <v>2.15</v>
      </c>
      <c r="H1039">
        <v>0.3</v>
      </c>
      <c r="I1039" t="s">
        <v>18</v>
      </c>
      <c r="J1039">
        <v>3</v>
      </c>
      <c r="K1039">
        <v>10</v>
      </c>
      <c r="L1039">
        <v>2</v>
      </c>
      <c r="M1039">
        <v>0</v>
      </c>
      <c r="N1039">
        <f>_xlfn.IFS(rounded[[#This Row],[social_interaction_level]] = "low", 1,rounded[[#This Row],[social_interaction_level]] = "medium", 2,rounded[[#This Row],[social_interaction_level]] = "high", 3)</f>
        <v>3</v>
      </c>
      <c r="O1039">
        <f t="shared" si="16"/>
        <v>15</v>
      </c>
      <c r="P1039" t="str" cm="1">
        <f t="array" ref="P1039">_xlfn.SWITCH(rounded[[#This Row],[depression_label]], 0, "Not Depressed", 1, "Depressed")</f>
        <v>Not Depressed</v>
      </c>
      <c r="Q1039" s="45" t="str" cm="1">
        <f t="array" ref="Q1039">_xlfn.SWITCH(rounded[[#This Row],[gender]], "male", "Male", "female", "Female")</f>
        <v>Female</v>
      </c>
    </row>
    <row r="1040" spans="1:17" x14ac:dyDescent="0.35">
      <c r="A1040">
        <v>17</v>
      </c>
      <c r="B1040" t="s">
        <v>16</v>
      </c>
      <c r="C1040" s="4">
        <v>4.5</v>
      </c>
      <c r="D1040" t="s">
        <v>20</v>
      </c>
      <c r="E1040" s="4">
        <v>6.1</v>
      </c>
      <c r="F1040" s="4">
        <v>2.8</v>
      </c>
      <c r="G1040">
        <v>3.38</v>
      </c>
      <c r="H1040">
        <v>1.2</v>
      </c>
      <c r="I1040" t="s">
        <v>15</v>
      </c>
      <c r="J1040">
        <v>10</v>
      </c>
      <c r="K1040">
        <v>4</v>
      </c>
      <c r="L1040">
        <v>2</v>
      </c>
      <c r="M1040">
        <v>0</v>
      </c>
      <c r="N1040">
        <f>_xlfn.IFS(rounded[[#This Row],[social_interaction_level]] = "low", 1,rounded[[#This Row],[social_interaction_level]] = "medium", 2,rounded[[#This Row],[social_interaction_level]] = "high", 3)</f>
        <v>1</v>
      </c>
      <c r="O1040">
        <f t="shared" si="16"/>
        <v>16</v>
      </c>
      <c r="P1040" t="str" cm="1">
        <f t="array" ref="P1040">_xlfn.SWITCH(rounded[[#This Row],[depression_label]], 0, "Not Depressed", 1, "Depressed")</f>
        <v>Not Depressed</v>
      </c>
      <c r="Q1040" s="45" t="str" cm="1">
        <f t="array" ref="Q1040">_xlfn.SWITCH(rounded[[#This Row],[gender]], "male", "Male", "female", "Female")</f>
        <v>Female</v>
      </c>
    </row>
    <row r="1041" spans="1:17" x14ac:dyDescent="0.35">
      <c r="A1041">
        <v>13</v>
      </c>
      <c r="B1041" t="s">
        <v>13</v>
      </c>
      <c r="C1041" s="4">
        <v>5</v>
      </c>
      <c r="D1041" t="s">
        <v>14</v>
      </c>
      <c r="E1041" s="4">
        <v>5.2</v>
      </c>
      <c r="F1041" s="4">
        <v>2.6</v>
      </c>
      <c r="G1041">
        <v>2.04</v>
      </c>
      <c r="H1041">
        <v>1.7</v>
      </c>
      <c r="I1041" t="s">
        <v>19</v>
      </c>
      <c r="J1041">
        <v>4</v>
      </c>
      <c r="K1041">
        <v>4</v>
      </c>
      <c r="L1041">
        <v>5</v>
      </c>
      <c r="M1041">
        <v>0</v>
      </c>
      <c r="N1041">
        <f>_xlfn.IFS(rounded[[#This Row],[social_interaction_level]] = "low", 1,rounded[[#This Row],[social_interaction_level]] = "medium", 2,rounded[[#This Row],[social_interaction_level]] = "high", 3)</f>
        <v>2</v>
      </c>
      <c r="O1041">
        <f t="shared" si="16"/>
        <v>13</v>
      </c>
      <c r="P1041" t="str" cm="1">
        <f t="array" ref="P1041">_xlfn.SWITCH(rounded[[#This Row],[depression_label]], 0, "Not Depressed", 1, "Depressed")</f>
        <v>Not Depressed</v>
      </c>
      <c r="Q1041" s="45" t="str" cm="1">
        <f t="array" ref="Q1041">_xlfn.SWITCH(rounded[[#This Row],[gender]], "male", "Male", "female", "Female")</f>
        <v>Male</v>
      </c>
    </row>
    <row r="1042" spans="1:17" x14ac:dyDescent="0.35">
      <c r="A1042">
        <v>19</v>
      </c>
      <c r="B1042" t="s">
        <v>16</v>
      </c>
      <c r="C1042" s="4">
        <v>4.0999999999999996</v>
      </c>
      <c r="D1042" t="s">
        <v>20</v>
      </c>
      <c r="E1042" s="4">
        <v>6.4</v>
      </c>
      <c r="F1042" s="4">
        <v>1.4</v>
      </c>
      <c r="G1042">
        <v>2.2599999999999998</v>
      </c>
      <c r="H1042">
        <v>1.6</v>
      </c>
      <c r="I1042" t="s">
        <v>18</v>
      </c>
      <c r="J1042">
        <v>2</v>
      </c>
      <c r="K1042">
        <v>3</v>
      </c>
      <c r="L1042">
        <v>6</v>
      </c>
      <c r="M1042">
        <v>0</v>
      </c>
      <c r="N1042">
        <f>_xlfn.IFS(rounded[[#This Row],[social_interaction_level]] = "low", 1,rounded[[#This Row],[social_interaction_level]] = "medium", 2,rounded[[#This Row],[social_interaction_level]] = "high", 3)</f>
        <v>3</v>
      </c>
      <c r="O1042">
        <f t="shared" si="16"/>
        <v>11</v>
      </c>
      <c r="P1042" t="str" cm="1">
        <f t="array" ref="P1042">_xlfn.SWITCH(rounded[[#This Row],[depression_label]], 0, "Not Depressed", 1, "Depressed")</f>
        <v>Not Depressed</v>
      </c>
      <c r="Q1042" s="45" t="str" cm="1">
        <f t="array" ref="Q1042">_xlfn.SWITCH(rounded[[#This Row],[gender]], "male", "Male", "female", "Female")</f>
        <v>Female</v>
      </c>
    </row>
    <row r="1043" spans="1:17" x14ac:dyDescent="0.35">
      <c r="A1043">
        <v>18</v>
      </c>
      <c r="B1043" t="s">
        <v>13</v>
      </c>
      <c r="C1043" s="4">
        <v>7.5</v>
      </c>
      <c r="D1043" t="s">
        <v>17</v>
      </c>
      <c r="E1043" s="4">
        <v>7.6</v>
      </c>
      <c r="F1043" s="4">
        <v>1.8</v>
      </c>
      <c r="G1043">
        <v>3.19</v>
      </c>
      <c r="H1043">
        <v>1.7</v>
      </c>
      <c r="I1043" t="s">
        <v>18</v>
      </c>
      <c r="J1043">
        <v>2</v>
      </c>
      <c r="K1043">
        <v>6</v>
      </c>
      <c r="L1043">
        <v>6</v>
      </c>
      <c r="M1043">
        <v>0</v>
      </c>
      <c r="N1043">
        <f>_xlfn.IFS(rounded[[#This Row],[social_interaction_level]] = "low", 1,rounded[[#This Row],[social_interaction_level]] = "medium", 2,rounded[[#This Row],[social_interaction_level]] = "high", 3)</f>
        <v>3</v>
      </c>
      <c r="O1043">
        <f t="shared" si="16"/>
        <v>14</v>
      </c>
      <c r="P1043" t="str" cm="1">
        <f t="array" ref="P1043">_xlfn.SWITCH(rounded[[#This Row],[depression_label]], 0, "Not Depressed", 1, "Depressed")</f>
        <v>Not Depressed</v>
      </c>
      <c r="Q1043" s="45" t="str" cm="1">
        <f t="array" ref="Q1043">_xlfn.SWITCH(rounded[[#This Row],[gender]], "male", "Male", "female", "Female")</f>
        <v>Male</v>
      </c>
    </row>
    <row r="1044" spans="1:17" x14ac:dyDescent="0.35">
      <c r="A1044">
        <v>18</v>
      </c>
      <c r="B1044" t="s">
        <v>13</v>
      </c>
      <c r="C1044" s="4">
        <v>4.2</v>
      </c>
      <c r="D1044" t="s">
        <v>14</v>
      </c>
      <c r="E1044" s="4">
        <v>5.5</v>
      </c>
      <c r="F1044" s="4">
        <v>1.8</v>
      </c>
      <c r="G1044">
        <v>3.83</v>
      </c>
      <c r="H1044">
        <v>1.9</v>
      </c>
      <c r="I1044" t="s">
        <v>15</v>
      </c>
      <c r="J1044">
        <v>3</v>
      </c>
      <c r="K1044">
        <v>8</v>
      </c>
      <c r="L1044">
        <v>8</v>
      </c>
      <c r="M1044">
        <v>0</v>
      </c>
      <c r="N1044">
        <f>_xlfn.IFS(rounded[[#This Row],[social_interaction_level]] = "low", 1,rounded[[#This Row],[social_interaction_level]] = "medium", 2,rounded[[#This Row],[social_interaction_level]] = "high", 3)</f>
        <v>1</v>
      </c>
      <c r="O1044">
        <f t="shared" si="16"/>
        <v>19</v>
      </c>
      <c r="P1044" t="str" cm="1">
        <f t="array" ref="P1044">_xlfn.SWITCH(rounded[[#This Row],[depression_label]], 0, "Not Depressed", 1, "Depressed")</f>
        <v>Not Depressed</v>
      </c>
      <c r="Q1044" s="45" t="str" cm="1">
        <f t="array" ref="Q1044">_xlfn.SWITCH(rounded[[#This Row],[gender]], "male", "Male", "female", "Female")</f>
        <v>Male</v>
      </c>
    </row>
    <row r="1045" spans="1:17" x14ac:dyDescent="0.35">
      <c r="A1045">
        <v>14</v>
      </c>
      <c r="B1045" t="s">
        <v>16</v>
      </c>
      <c r="C1045" s="4">
        <v>7.2</v>
      </c>
      <c r="D1045" t="s">
        <v>20</v>
      </c>
      <c r="E1045" s="4">
        <v>5</v>
      </c>
      <c r="F1045" s="4">
        <v>2.9</v>
      </c>
      <c r="G1045">
        <v>3.76</v>
      </c>
      <c r="H1045">
        <v>0.4</v>
      </c>
      <c r="I1045" t="s">
        <v>19</v>
      </c>
      <c r="J1045">
        <v>7</v>
      </c>
      <c r="K1045">
        <v>4</v>
      </c>
      <c r="L1045">
        <v>2</v>
      </c>
      <c r="M1045">
        <v>0</v>
      </c>
      <c r="N1045">
        <f>_xlfn.IFS(rounded[[#This Row],[social_interaction_level]] = "low", 1,rounded[[#This Row],[social_interaction_level]] = "medium", 2,rounded[[#This Row],[social_interaction_level]] = "high", 3)</f>
        <v>2</v>
      </c>
      <c r="O1045">
        <f t="shared" si="16"/>
        <v>13</v>
      </c>
      <c r="P1045" t="str" cm="1">
        <f t="array" ref="P1045">_xlfn.SWITCH(rounded[[#This Row],[depression_label]], 0, "Not Depressed", 1, "Depressed")</f>
        <v>Not Depressed</v>
      </c>
      <c r="Q1045" s="45" t="str" cm="1">
        <f t="array" ref="Q1045">_xlfn.SWITCH(rounded[[#This Row],[gender]], "male", "Male", "female", "Female")</f>
        <v>Female</v>
      </c>
    </row>
    <row r="1046" spans="1:17" x14ac:dyDescent="0.35">
      <c r="A1046">
        <v>13</v>
      </c>
      <c r="B1046" t="s">
        <v>13</v>
      </c>
      <c r="C1046" s="4">
        <v>4.8</v>
      </c>
      <c r="D1046" t="s">
        <v>14</v>
      </c>
      <c r="E1046" s="4">
        <v>6</v>
      </c>
      <c r="F1046" s="4">
        <v>0.6</v>
      </c>
      <c r="G1046">
        <v>2.41</v>
      </c>
      <c r="H1046">
        <v>0</v>
      </c>
      <c r="I1046" t="s">
        <v>18</v>
      </c>
      <c r="J1046">
        <v>3</v>
      </c>
      <c r="K1046">
        <v>6</v>
      </c>
      <c r="L1046">
        <v>9</v>
      </c>
      <c r="M1046">
        <v>0</v>
      </c>
      <c r="N1046">
        <f>_xlfn.IFS(rounded[[#This Row],[social_interaction_level]] = "low", 1,rounded[[#This Row],[social_interaction_level]] = "medium", 2,rounded[[#This Row],[social_interaction_level]] = "high", 3)</f>
        <v>3</v>
      </c>
      <c r="O1046">
        <f t="shared" si="16"/>
        <v>18</v>
      </c>
      <c r="P1046" t="str" cm="1">
        <f t="array" ref="P1046">_xlfn.SWITCH(rounded[[#This Row],[depression_label]], 0, "Not Depressed", 1, "Depressed")</f>
        <v>Not Depressed</v>
      </c>
      <c r="Q1046" s="45" t="str" cm="1">
        <f t="array" ref="Q1046">_xlfn.SWITCH(rounded[[#This Row],[gender]], "male", "Male", "female", "Female")</f>
        <v>Male</v>
      </c>
    </row>
    <row r="1047" spans="1:17" x14ac:dyDescent="0.35">
      <c r="A1047">
        <v>17</v>
      </c>
      <c r="B1047" t="s">
        <v>16</v>
      </c>
      <c r="C1047" s="4">
        <v>7.3</v>
      </c>
      <c r="D1047" t="s">
        <v>14</v>
      </c>
      <c r="E1047" s="4">
        <v>6.7</v>
      </c>
      <c r="F1047" s="4">
        <v>1</v>
      </c>
      <c r="G1047">
        <v>3.41</v>
      </c>
      <c r="H1047">
        <v>1.7</v>
      </c>
      <c r="I1047" t="s">
        <v>19</v>
      </c>
      <c r="J1047">
        <v>6</v>
      </c>
      <c r="K1047">
        <v>5</v>
      </c>
      <c r="L1047">
        <v>2</v>
      </c>
      <c r="M1047">
        <v>0</v>
      </c>
      <c r="N1047">
        <f>_xlfn.IFS(rounded[[#This Row],[social_interaction_level]] = "low", 1,rounded[[#This Row],[social_interaction_level]] = "medium", 2,rounded[[#This Row],[social_interaction_level]] = "high", 3)</f>
        <v>2</v>
      </c>
      <c r="O1047">
        <f t="shared" si="16"/>
        <v>13</v>
      </c>
      <c r="P1047" t="str" cm="1">
        <f t="array" ref="P1047">_xlfn.SWITCH(rounded[[#This Row],[depression_label]], 0, "Not Depressed", 1, "Depressed")</f>
        <v>Not Depressed</v>
      </c>
      <c r="Q1047" s="45" t="str" cm="1">
        <f t="array" ref="Q1047">_xlfn.SWITCH(rounded[[#This Row],[gender]], "male", "Male", "female", "Female")</f>
        <v>Female</v>
      </c>
    </row>
    <row r="1048" spans="1:17" x14ac:dyDescent="0.35">
      <c r="A1048">
        <v>13</v>
      </c>
      <c r="B1048" t="s">
        <v>13</v>
      </c>
      <c r="C1048" s="4">
        <v>3.9</v>
      </c>
      <c r="D1048" t="s">
        <v>20</v>
      </c>
      <c r="E1048" s="4">
        <v>4.5</v>
      </c>
      <c r="F1048" s="4">
        <v>1.6</v>
      </c>
      <c r="G1048">
        <v>2.02</v>
      </c>
      <c r="H1048">
        <v>0.6</v>
      </c>
      <c r="I1048" t="s">
        <v>18</v>
      </c>
      <c r="J1048">
        <v>6</v>
      </c>
      <c r="K1048">
        <v>6</v>
      </c>
      <c r="L1048">
        <v>5</v>
      </c>
      <c r="M1048">
        <v>0</v>
      </c>
      <c r="N1048">
        <f>_xlfn.IFS(rounded[[#This Row],[social_interaction_level]] = "low", 1,rounded[[#This Row],[social_interaction_level]] = "medium", 2,rounded[[#This Row],[social_interaction_level]] = "high", 3)</f>
        <v>3</v>
      </c>
      <c r="O1048">
        <f t="shared" si="16"/>
        <v>17</v>
      </c>
      <c r="P1048" t="str" cm="1">
        <f t="array" ref="P1048">_xlfn.SWITCH(rounded[[#This Row],[depression_label]], 0, "Not Depressed", 1, "Depressed")</f>
        <v>Not Depressed</v>
      </c>
      <c r="Q1048" s="45" t="str" cm="1">
        <f t="array" ref="Q1048">_xlfn.SWITCH(rounded[[#This Row],[gender]], "male", "Male", "female", "Female")</f>
        <v>Male</v>
      </c>
    </row>
    <row r="1049" spans="1:17" x14ac:dyDescent="0.35">
      <c r="A1049">
        <v>15</v>
      </c>
      <c r="B1049" t="s">
        <v>16</v>
      </c>
      <c r="C1049" s="4">
        <v>5.5</v>
      </c>
      <c r="D1049" t="s">
        <v>20</v>
      </c>
      <c r="E1049" s="4">
        <v>4</v>
      </c>
      <c r="F1049" s="4">
        <v>2.4</v>
      </c>
      <c r="G1049">
        <v>3.01</v>
      </c>
      <c r="H1049">
        <v>0.9</v>
      </c>
      <c r="I1049" t="s">
        <v>15</v>
      </c>
      <c r="J1049">
        <v>10</v>
      </c>
      <c r="K1049">
        <v>3</v>
      </c>
      <c r="L1049">
        <v>2</v>
      </c>
      <c r="M1049">
        <v>0</v>
      </c>
      <c r="N1049">
        <f>_xlfn.IFS(rounded[[#This Row],[social_interaction_level]] = "low", 1,rounded[[#This Row],[social_interaction_level]] = "medium", 2,rounded[[#This Row],[social_interaction_level]] = "high", 3)</f>
        <v>1</v>
      </c>
      <c r="O1049">
        <f t="shared" si="16"/>
        <v>15</v>
      </c>
      <c r="P1049" t="str" cm="1">
        <f t="array" ref="P1049">_xlfn.SWITCH(rounded[[#This Row],[depression_label]], 0, "Not Depressed", 1, "Depressed")</f>
        <v>Not Depressed</v>
      </c>
      <c r="Q1049" s="45" t="str" cm="1">
        <f t="array" ref="Q1049">_xlfn.SWITCH(rounded[[#This Row],[gender]], "male", "Male", "female", "Female")</f>
        <v>Female</v>
      </c>
    </row>
    <row r="1050" spans="1:17" x14ac:dyDescent="0.35">
      <c r="A1050">
        <v>15</v>
      </c>
      <c r="B1050" t="s">
        <v>13</v>
      </c>
      <c r="C1050" s="4">
        <v>7.5</v>
      </c>
      <c r="D1050" t="s">
        <v>20</v>
      </c>
      <c r="E1050" s="4">
        <v>6.3</v>
      </c>
      <c r="F1050" s="4">
        <v>2.8</v>
      </c>
      <c r="G1050">
        <v>3.04</v>
      </c>
      <c r="H1050">
        <v>1.8</v>
      </c>
      <c r="I1050" t="s">
        <v>15</v>
      </c>
      <c r="J1050">
        <v>1</v>
      </c>
      <c r="K1050">
        <v>5</v>
      </c>
      <c r="L1050">
        <v>8</v>
      </c>
      <c r="M1050">
        <v>0</v>
      </c>
      <c r="N1050">
        <f>_xlfn.IFS(rounded[[#This Row],[social_interaction_level]] = "low", 1,rounded[[#This Row],[social_interaction_level]] = "medium", 2,rounded[[#This Row],[social_interaction_level]] = "high", 3)</f>
        <v>1</v>
      </c>
      <c r="O1050">
        <f t="shared" si="16"/>
        <v>14</v>
      </c>
      <c r="P1050" t="str" cm="1">
        <f t="array" ref="P1050">_xlfn.SWITCH(rounded[[#This Row],[depression_label]], 0, "Not Depressed", 1, "Depressed")</f>
        <v>Not Depressed</v>
      </c>
      <c r="Q1050" s="45" t="str" cm="1">
        <f t="array" ref="Q1050">_xlfn.SWITCH(rounded[[#This Row],[gender]], "male", "Male", "female", "Female")</f>
        <v>Male</v>
      </c>
    </row>
    <row r="1051" spans="1:17" x14ac:dyDescent="0.35">
      <c r="A1051">
        <v>17</v>
      </c>
      <c r="B1051" t="s">
        <v>13</v>
      </c>
      <c r="C1051" s="4">
        <v>1.8</v>
      </c>
      <c r="D1051" t="s">
        <v>14</v>
      </c>
      <c r="E1051" s="4">
        <v>6.9</v>
      </c>
      <c r="F1051" s="4">
        <v>2.7</v>
      </c>
      <c r="G1051">
        <v>2.5299999999999998</v>
      </c>
      <c r="H1051">
        <v>1.7</v>
      </c>
      <c r="I1051" t="s">
        <v>18</v>
      </c>
      <c r="J1051">
        <v>2</v>
      </c>
      <c r="K1051">
        <v>2</v>
      </c>
      <c r="L1051">
        <v>7</v>
      </c>
      <c r="M1051">
        <v>0</v>
      </c>
      <c r="N1051">
        <f>_xlfn.IFS(rounded[[#This Row],[social_interaction_level]] = "low", 1,rounded[[#This Row],[social_interaction_level]] = "medium", 2,rounded[[#This Row],[social_interaction_level]] = "high", 3)</f>
        <v>3</v>
      </c>
      <c r="O1051">
        <f t="shared" si="16"/>
        <v>11</v>
      </c>
      <c r="P1051" t="str" cm="1">
        <f t="array" ref="P1051">_xlfn.SWITCH(rounded[[#This Row],[depression_label]], 0, "Not Depressed", 1, "Depressed")</f>
        <v>Not Depressed</v>
      </c>
      <c r="Q1051" s="45" t="str" cm="1">
        <f t="array" ref="Q1051">_xlfn.SWITCH(rounded[[#This Row],[gender]], "male", "Male", "female", "Female")</f>
        <v>Male</v>
      </c>
    </row>
    <row r="1052" spans="1:17" x14ac:dyDescent="0.35">
      <c r="A1052">
        <v>16</v>
      </c>
      <c r="B1052" t="s">
        <v>13</v>
      </c>
      <c r="C1052" s="4">
        <v>2.6</v>
      </c>
      <c r="D1052" t="s">
        <v>14</v>
      </c>
      <c r="E1052" s="4">
        <v>5.0999999999999996</v>
      </c>
      <c r="F1052" s="4">
        <v>0.9</v>
      </c>
      <c r="G1052">
        <v>2.57</v>
      </c>
      <c r="H1052">
        <v>1.4</v>
      </c>
      <c r="I1052" t="s">
        <v>19</v>
      </c>
      <c r="J1052">
        <v>8</v>
      </c>
      <c r="K1052">
        <v>5</v>
      </c>
      <c r="L1052">
        <v>8</v>
      </c>
      <c r="M1052">
        <v>0</v>
      </c>
      <c r="N1052">
        <f>_xlfn.IFS(rounded[[#This Row],[social_interaction_level]] = "low", 1,rounded[[#This Row],[social_interaction_level]] = "medium", 2,rounded[[#This Row],[social_interaction_level]] = "high", 3)</f>
        <v>2</v>
      </c>
      <c r="O1052">
        <f t="shared" si="16"/>
        <v>21</v>
      </c>
      <c r="P1052" t="str" cm="1">
        <f t="array" ref="P1052">_xlfn.SWITCH(rounded[[#This Row],[depression_label]], 0, "Not Depressed", 1, "Depressed")</f>
        <v>Not Depressed</v>
      </c>
      <c r="Q1052" s="45" t="str" cm="1">
        <f t="array" ref="Q1052">_xlfn.SWITCH(rounded[[#This Row],[gender]], "male", "Male", "female", "Female")</f>
        <v>Male</v>
      </c>
    </row>
    <row r="1053" spans="1:17" x14ac:dyDescent="0.35">
      <c r="A1053">
        <v>17</v>
      </c>
      <c r="B1053" t="s">
        <v>16</v>
      </c>
      <c r="C1053" s="4">
        <v>5.5</v>
      </c>
      <c r="D1053" t="s">
        <v>20</v>
      </c>
      <c r="E1053" s="4">
        <v>6</v>
      </c>
      <c r="F1053" s="4">
        <v>2.8</v>
      </c>
      <c r="G1053">
        <v>3.4</v>
      </c>
      <c r="H1053">
        <v>0</v>
      </c>
      <c r="I1053" t="s">
        <v>19</v>
      </c>
      <c r="J1053">
        <v>2</v>
      </c>
      <c r="K1053">
        <v>3</v>
      </c>
      <c r="L1053">
        <v>8</v>
      </c>
      <c r="M1053">
        <v>0</v>
      </c>
      <c r="N1053">
        <f>_xlfn.IFS(rounded[[#This Row],[social_interaction_level]] = "low", 1,rounded[[#This Row],[social_interaction_level]] = "medium", 2,rounded[[#This Row],[social_interaction_level]] = "high", 3)</f>
        <v>2</v>
      </c>
      <c r="O1053">
        <f t="shared" si="16"/>
        <v>13</v>
      </c>
      <c r="P1053" t="str" cm="1">
        <f t="array" ref="P1053">_xlfn.SWITCH(rounded[[#This Row],[depression_label]], 0, "Not Depressed", 1, "Depressed")</f>
        <v>Not Depressed</v>
      </c>
      <c r="Q1053" s="45" t="str" cm="1">
        <f t="array" ref="Q1053">_xlfn.SWITCH(rounded[[#This Row],[gender]], "male", "Male", "female", "Female")</f>
        <v>Female</v>
      </c>
    </row>
    <row r="1054" spans="1:17" x14ac:dyDescent="0.35">
      <c r="A1054">
        <v>15</v>
      </c>
      <c r="B1054" t="s">
        <v>16</v>
      </c>
      <c r="C1054" s="4">
        <v>3.6</v>
      </c>
      <c r="D1054" t="s">
        <v>17</v>
      </c>
      <c r="E1054" s="4">
        <v>7.1</v>
      </c>
      <c r="F1054" s="4">
        <v>0.9</v>
      </c>
      <c r="G1054">
        <v>2.84</v>
      </c>
      <c r="H1054">
        <v>0.3</v>
      </c>
      <c r="I1054" t="s">
        <v>15</v>
      </c>
      <c r="J1054">
        <v>1</v>
      </c>
      <c r="K1054">
        <v>9</v>
      </c>
      <c r="L1054">
        <v>4</v>
      </c>
      <c r="M1054">
        <v>0</v>
      </c>
      <c r="N1054">
        <f>_xlfn.IFS(rounded[[#This Row],[social_interaction_level]] = "low", 1,rounded[[#This Row],[social_interaction_level]] = "medium", 2,rounded[[#This Row],[social_interaction_level]] = "high", 3)</f>
        <v>1</v>
      </c>
      <c r="O1054">
        <f t="shared" si="16"/>
        <v>14</v>
      </c>
      <c r="P1054" t="str" cm="1">
        <f t="array" ref="P1054">_xlfn.SWITCH(rounded[[#This Row],[depression_label]], 0, "Not Depressed", 1, "Depressed")</f>
        <v>Not Depressed</v>
      </c>
      <c r="Q1054" s="45" t="str" cm="1">
        <f t="array" ref="Q1054">_xlfn.SWITCH(rounded[[#This Row],[gender]], "male", "Male", "female", "Female")</f>
        <v>Female</v>
      </c>
    </row>
    <row r="1055" spans="1:17" x14ac:dyDescent="0.35">
      <c r="A1055">
        <v>19</v>
      </c>
      <c r="B1055" t="s">
        <v>16</v>
      </c>
      <c r="C1055" s="4">
        <v>7.6</v>
      </c>
      <c r="D1055" t="s">
        <v>20</v>
      </c>
      <c r="E1055" s="4">
        <v>5.4</v>
      </c>
      <c r="F1055" s="4">
        <v>1.9</v>
      </c>
      <c r="G1055">
        <v>2.56</v>
      </c>
      <c r="H1055">
        <v>1.4</v>
      </c>
      <c r="I1055" t="s">
        <v>15</v>
      </c>
      <c r="J1055">
        <v>2</v>
      </c>
      <c r="K1055">
        <v>7</v>
      </c>
      <c r="L1055">
        <v>9</v>
      </c>
      <c r="M1055">
        <v>0</v>
      </c>
      <c r="N1055">
        <f>_xlfn.IFS(rounded[[#This Row],[social_interaction_level]] = "low", 1,rounded[[#This Row],[social_interaction_level]] = "medium", 2,rounded[[#This Row],[social_interaction_level]] = "high", 3)</f>
        <v>1</v>
      </c>
      <c r="O1055">
        <f t="shared" si="16"/>
        <v>18</v>
      </c>
      <c r="P1055" t="str" cm="1">
        <f t="array" ref="P1055">_xlfn.SWITCH(rounded[[#This Row],[depression_label]], 0, "Not Depressed", 1, "Depressed")</f>
        <v>Not Depressed</v>
      </c>
      <c r="Q1055" s="45" t="str" cm="1">
        <f t="array" ref="Q1055">_xlfn.SWITCH(rounded[[#This Row],[gender]], "male", "Male", "female", "Female")</f>
        <v>Female</v>
      </c>
    </row>
    <row r="1056" spans="1:17" x14ac:dyDescent="0.35">
      <c r="A1056">
        <v>13</v>
      </c>
      <c r="B1056" t="s">
        <v>13</v>
      </c>
      <c r="C1056" s="4">
        <v>7.9</v>
      </c>
      <c r="D1056" t="s">
        <v>14</v>
      </c>
      <c r="E1056" s="4">
        <v>7.1</v>
      </c>
      <c r="F1056" s="4">
        <v>0.7</v>
      </c>
      <c r="G1056">
        <v>2.8</v>
      </c>
      <c r="H1056">
        <v>0.3</v>
      </c>
      <c r="I1056" t="s">
        <v>19</v>
      </c>
      <c r="J1056">
        <v>6</v>
      </c>
      <c r="K1056">
        <v>8</v>
      </c>
      <c r="L1056">
        <v>8</v>
      </c>
      <c r="M1056">
        <v>0</v>
      </c>
      <c r="N1056">
        <f>_xlfn.IFS(rounded[[#This Row],[social_interaction_level]] = "low", 1,rounded[[#This Row],[social_interaction_level]] = "medium", 2,rounded[[#This Row],[social_interaction_level]] = "high", 3)</f>
        <v>2</v>
      </c>
      <c r="O1056">
        <f t="shared" si="16"/>
        <v>22</v>
      </c>
      <c r="P1056" t="str" cm="1">
        <f t="array" ref="P1056">_xlfn.SWITCH(rounded[[#This Row],[depression_label]], 0, "Not Depressed", 1, "Depressed")</f>
        <v>Not Depressed</v>
      </c>
      <c r="Q1056" s="45" t="str" cm="1">
        <f t="array" ref="Q1056">_xlfn.SWITCH(rounded[[#This Row],[gender]], "male", "Male", "female", "Female")</f>
        <v>Male</v>
      </c>
    </row>
    <row r="1057" spans="1:17" x14ac:dyDescent="0.35">
      <c r="A1057">
        <v>15</v>
      </c>
      <c r="B1057" t="s">
        <v>13</v>
      </c>
      <c r="C1057" s="4">
        <v>2.6</v>
      </c>
      <c r="D1057" t="s">
        <v>20</v>
      </c>
      <c r="E1057" s="4">
        <v>6.8</v>
      </c>
      <c r="F1057" s="4">
        <v>1.7</v>
      </c>
      <c r="G1057">
        <v>2.06</v>
      </c>
      <c r="H1057">
        <v>0.4</v>
      </c>
      <c r="I1057" t="s">
        <v>19</v>
      </c>
      <c r="J1057">
        <v>8</v>
      </c>
      <c r="K1057">
        <v>6</v>
      </c>
      <c r="L1057">
        <v>6</v>
      </c>
      <c r="M1057">
        <v>0</v>
      </c>
      <c r="N1057">
        <f>_xlfn.IFS(rounded[[#This Row],[social_interaction_level]] = "low", 1,rounded[[#This Row],[social_interaction_level]] = "medium", 2,rounded[[#This Row],[social_interaction_level]] = "high", 3)</f>
        <v>2</v>
      </c>
      <c r="O1057">
        <f t="shared" si="16"/>
        <v>20</v>
      </c>
      <c r="P1057" t="str" cm="1">
        <f t="array" ref="P1057">_xlfn.SWITCH(rounded[[#This Row],[depression_label]], 0, "Not Depressed", 1, "Depressed")</f>
        <v>Not Depressed</v>
      </c>
      <c r="Q1057" s="45" t="str" cm="1">
        <f t="array" ref="Q1057">_xlfn.SWITCH(rounded[[#This Row],[gender]], "male", "Male", "female", "Female")</f>
        <v>Male</v>
      </c>
    </row>
    <row r="1058" spans="1:17" x14ac:dyDescent="0.35">
      <c r="A1058">
        <v>19</v>
      </c>
      <c r="B1058" t="s">
        <v>13</v>
      </c>
      <c r="C1058" s="4">
        <v>5.7</v>
      </c>
      <c r="D1058" t="s">
        <v>17</v>
      </c>
      <c r="E1058" s="4">
        <v>6.4</v>
      </c>
      <c r="F1058" s="4">
        <v>0.9</v>
      </c>
      <c r="G1058">
        <v>3.57</v>
      </c>
      <c r="H1058">
        <v>1.5</v>
      </c>
      <c r="I1058" t="s">
        <v>18</v>
      </c>
      <c r="J1058">
        <v>3</v>
      </c>
      <c r="K1058">
        <v>7</v>
      </c>
      <c r="L1058">
        <v>2</v>
      </c>
      <c r="M1058">
        <v>0</v>
      </c>
      <c r="N1058">
        <f>_xlfn.IFS(rounded[[#This Row],[social_interaction_level]] = "low", 1,rounded[[#This Row],[social_interaction_level]] = "medium", 2,rounded[[#This Row],[social_interaction_level]] = "high", 3)</f>
        <v>3</v>
      </c>
      <c r="O1058">
        <f t="shared" si="16"/>
        <v>12</v>
      </c>
      <c r="P1058" t="str" cm="1">
        <f t="array" ref="P1058">_xlfn.SWITCH(rounded[[#This Row],[depression_label]], 0, "Not Depressed", 1, "Depressed")</f>
        <v>Not Depressed</v>
      </c>
      <c r="Q1058" s="45" t="str" cm="1">
        <f t="array" ref="Q1058">_xlfn.SWITCH(rounded[[#This Row],[gender]], "male", "Male", "female", "Female")</f>
        <v>Male</v>
      </c>
    </row>
    <row r="1059" spans="1:17" x14ac:dyDescent="0.35">
      <c r="A1059">
        <v>13</v>
      </c>
      <c r="B1059" t="s">
        <v>16</v>
      </c>
      <c r="C1059" s="4">
        <v>7.1</v>
      </c>
      <c r="D1059" t="s">
        <v>14</v>
      </c>
      <c r="E1059" s="4">
        <v>5.7</v>
      </c>
      <c r="F1059" s="4">
        <v>1.2</v>
      </c>
      <c r="G1059">
        <v>3.83</v>
      </c>
      <c r="H1059">
        <v>2</v>
      </c>
      <c r="I1059" t="s">
        <v>19</v>
      </c>
      <c r="J1059">
        <v>2</v>
      </c>
      <c r="K1059">
        <v>8</v>
      </c>
      <c r="L1059">
        <v>7</v>
      </c>
      <c r="M1059">
        <v>0</v>
      </c>
      <c r="N1059">
        <f>_xlfn.IFS(rounded[[#This Row],[social_interaction_level]] = "low", 1,rounded[[#This Row],[social_interaction_level]] = "medium", 2,rounded[[#This Row],[social_interaction_level]] = "high", 3)</f>
        <v>2</v>
      </c>
      <c r="O1059">
        <f t="shared" si="16"/>
        <v>17</v>
      </c>
      <c r="P1059" t="str" cm="1">
        <f t="array" ref="P1059">_xlfn.SWITCH(rounded[[#This Row],[depression_label]], 0, "Not Depressed", 1, "Depressed")</f>
        <v>Not Depressed</v>
      </c>
      <c r="Q1059" s="45" t="str" cm="1">
        <f t="array" ref="Q1059">_xlfn.SWITCH(rounded[[#This Row],[gender]], "male", "Male", "female", "Female")</f>
        <v>Female</v>
      </c>
    </row>
    <row r="1060" spans="1:17" x14ac:dyDescent="0.35">
      <c r="A1060">
        <v>13</v>
      </c>
      <c r="B1060" t="s">
        <v>16</v>
      </c>
      <c r="C1060" s="4">
        <v>1.3</v>
      </c>
      <c r="D1060" t="s">
        <v>17</v>
      </c>
      <c r="E1060" s="4">
        <v>8.6999999999999993</v>
      </c>
      <c r="F1060" s="4">
        <v>0.9</v>
      </c>
      <c r="G1060">
        <v>4</v>
      </c>
      <c r="H1060">
        <v>0.1</v>
      </c>
      <c r="I1060" t="s">
        <v>15</v>
      </c>
      <c r="J1060">
        <v>10</v>
      </c>
      <c r="K1060">
        <v>9</v>
      </c>
      <c r="L1060">
        <v>9</v>
      </c>
      <c r="M1060">
        <v>0</v>
      </c>
      <c r="N1060">
        <f>_xlfn.IFS(rounded[[#This Row],[social_interaction_level]] = "low", 1,rounded[[#This Row],[social_interaction_level]] = "medium", 2,rounded[[#This Row],[social_interaction_level]] = "high", 3)</f>
        <v>1</v>
      </c>
      <c r="O1060">
        <f t="shared" si="16"/>
        <v>28</v>
      </c>
      <c r="P1060" t="str" cm="1">
        <f t="array" ref="P1060">_xlfn.SWITCH(rounded[[#This Row],[depression_label]], 0, "Not Depressed", 1, "Depressed")</f>
        <v>Not Depressed</v>
      </c>
      <c r="Q1060" s="45" t="str" cm="1">
        <f t="array" ref="Q1060">_xlfn.SWITCH(rounded[[#This Row],[gender]], "male", "Male", "female", "Female")</f>
        <v>Female</v>
      </c>
    </row>
    <row r="1061" spans="1:17" x14ac:dyDescent="0.35">
      <c r="A1061">
        <v>13</v>
      </c>
      <c r="B1061" t="s">
        <v>16</v>
      </c>
      <c r="C1061" s="4">
        <v>1.1000000000000001</v>
      </c>
      <c r="D1061" t="s">
        <v>20</v>
      </c>
      <c r="E1061" s="4">
        <v>6.7</v>
      </c>
      <c r="F1061" s="4">
        <v>2</v>
      </c>
      <c r="G1061">
        <v>3.63</v>
      </c>
      <c r="H1061">
        <v>0.2</v>
      </c>
      <c r="I1061" t="s">
        <v>19</v>
      </c>
      <c r="J1061">
        <v>3</v>
      </c>
      <c r="K1061">
        <v>10</v>
      </c>
      <c r="L1061">
        <v>5</v>
      </c>
      <c r="M1061">
        <v>0</v>
      </c>
      <c r="N1061">
        <f>_xlfn.IFS(rounded[[#This Row],[social_interaction_level]] = "low", 1,rounded[[#This Row],[social_interaction_level]] = "medium", 2,rounded[[#This Row],[social_interaction_level]] = "high", 3)</f>
        <v>2</v>
      </c>
      <c r="O1061">
        <f t="shared" si="16"/>
        <v>18</v>
      </c>
      <c r="P1061" t="str" cm="1">
        <f t="array" ref="P1061">_xlfn.SWITCH(rounded[[#This Row],[depression_label]], 0, "Not Depressed", 1, "Depressed")</f>
        <v>Not Depressed</v>
      </c>
      <c r="Q1061" s="45" t="str" cm="1">
        <f t="array" ref="Q1061">_xlfn.SWITCH(rounded[[#This Row],[gender]], "male", "Male", "female", "Female")</f>
        <v>Female</v>
      </c>
    </row>
    <row r="1062" spans="1:17" x14ac:dyDescent="0.35">
      <c r="A1062">
        <v>13</v>
      </c>
      <c r="B1062" t="s">
        <v>16</v>
      </c>
      <c r="C1062" s="4">
        <v>3.3</v>
      </c>
      <c r="D1062" t="s">
        <v>17</v>
      </c>
      <c r="E1062" s="4">
        <v>9</v>
      </c>
      <c r="F1062" s="4">
        <v>0.7</v>
      </c>
      <c r="G1062">
        <v>2.4900000000000002</v>
      </c>
      <c r="H1062">
        <v>0.6</v>
      </c>
      <c r="I1062" t="s">
        <v>19</v>
      </c>
      <c r="J1062">
        <v>3</v>
      </c>
      <c r="K1062">
        <v>6</v>
      </c>
      <c r="L1062">
        <v>4</v>
      </c>
      <c r="M1062">
        <v>0</v>
      </c>
      <c r="N1062">
        <f>_xlfn.IFS(rounded[[#This Row],[social_interaction_level]] = "low", 1,rounded[[#This Row],[social_interaction_level]] = "medium", 2,rounded[[#This Row],[social_interaction_level]] = "high", 3)</f>
        <v>2</v>
      </c>
      <c r="O1062">
        <f t="shared" si="16"/>
        <v>13</v>
      </c>
      <c r="P1062" t="str" cm="1">
        <f t="array" ref="P1062">_xlfn.SWITCH(rounded[[#This Row],[depression_label]], 0, "Not Depressed", 1, "Depressed")</f>
        <v>Not Depressed</v>
      </c>
      <c r="Q1062" s="45" t="str" cm="1">
        <f t="array" ref="Q1062">_xlfn.SWITCH(rounded[[#This Row],[gender]], "male", "Male", "female", "Female")</f>
        <v>Female</v>
      </c>
    </row>
    <row r="1063" spans="1:17" x14ac:dyDescent="0.35">
      <c r="A1063">
        <v>16</v>
      </c>
      <c r="B1063" t="s">
        <v>13</v>
      </c>
      <c r="C1063" s="4">
        <v>7.4</v>
      </c>
      <c r="D1063" t="s">
        <v>20</v>
      </c>
      <c r="E1063" s="4">
        <v>7.2</v>
      </c>
      <c r="F1063" s="4">
        <v>1.8</v>
      </c>
      <c r="G1063">
        <v>2.11</v>
      </c>
      <c r="H1063">
        <v>1.4</v>
      </c>
      <c r="I1063" t="s">
        <v>19</v>
      </c>
      <c r="J1063">
        <v>3</v>
      </c>
      <c r="K1063">
        <v>7</v>
      </c>
      <c r="L1063">
        <v>3</v>
      </c>
      <c r="M1063">
        <v>0</v>
      </c>
      <c r="N1063">
        <f>_xlfn.IFS(rounded[[#This Row],[social_interaction_level]] = "low", 1,rounded[[#This Row],[social_interaction_level]] = "medium", 2,rounded[[#This Row],[social_interaction_level]] = "high", 3)</f>
        <v>2</v>
      </c>
      <c r="O1063">
        <f t="shared" si="16"/>
        <v>13</v>
      </c>
      <c r="P1063" t="str" cm="1">
        <f t="array" ref="P1063">_xlfn.SWITCH(rounded[[#This Row],[depression_label]], 0, "Not Depressed", 1, "Depressed")</f>
        <v>Not Depressed</v>
      </c>
      <c r="Q1063" s="45" t="str" cm="1">
        <f t="array" ref="Q1063">_xlfn.SWITCH(rounded[[#This Row],[gender]], "male", "Male", "female", "Female")</f>
        <v>Male</v>
      </c>
    </row>
    <row r="1064" spans="1:17" x14ac:dyDescent="0.35">
      <c r="A1064">
        <v>13</v>
      </c>
      <c r="B1064" t="s">
        <v>13</v>
      </c>
      <c r="C1064" s="4">
        <v>5.8</v>
      </c>
      <c r="D1064" t="s">
        <v>17</v>
      </c>
      <c r="E1064" s="4">
        <v>8.3000000000000007</v>
      </c>
      <c r="F1064" s="4">
        <v>2.8</v>
      </c>
      <c r="G1064">
        <v>2.63</v>
      </c>
      <c r="H1064">
        <v>0.6</v>
      </c>
      <c r="I1064" t="s">
        <v>18</v>
      </c>
      <c r="J1064">
        <v>5</v>
      </c>
      <c r="K1064">
        <v>3</v>
      </c>
      <c r="L1064">
        <v>7</v>
      </c>
      <c r="M1064">
        <v>0</v>
      </c>
      <c r="N1064">
        <f>_xlfn.IFS(rounded[[#This Row],[social_interaction_level]] = "low", 1,rounded[[#This Row],[social_interaction_level]] = "medium", 2,rounded[[#This Row],[social_interaction_level]] = "high", 3)</f>
        <v>3</v>
      </c>
      <c r="O1064">
        <f t="shared" si="16"/>
        <v>15</v>
      </c>
      <c r="P1064" t="str" cm="1">
        <f t="array" ref="P1064">_xlfn.SWITCH(rounded[[#This Row],[depression_label]], 0, "Not Depressed", 1, "Depressed")</f>
        <v>Not Depressed</v>
      </c>
      <c r="Q1064" s="45" t="str" cm="1">
        <f t="array" ref="Q1064">_xlfn.SWITCH(rounded[[#This Row],[gender]], "male", "Male", "female", "Female")</f>
        <v>Male</v>
      </c>
    </row>
    <row r="1065" spans="1:17" x14ac:dyDescent="0.35">
      <c r="A1065">
        <v>18</v>
      </c>
      <c r="B1065" t="s">
        <v>16</v>
      </c>
      <c r="C1065" s="4">
        <v>4.5999999999999996</v>
      </c>
      <c r="D1065" t="s">
        <v>17</v>
      </c>
      <c r="E1065" s="4">
        <v>6.8</v>
      </c>
      <c r="F1065" s="4">
        <v>1.5</v>
      </c>
      <c r="G1065">
        <v>2.4</v>
      </c>
      <c r="H1065">
        <v>1.4</v>
      </c>
      <c r="I1065" t="s">
        <v>19</v>
      </c>
      <c r="J1065">
        <v>5</v>
      </c>
      <c r="K1065">
        <v>10</v>
      </c>
      <c r="L1065">
        <v>2</v>
      </c>
      <c r="M1065">
        <v>0</v>
      </c>
      <c r="N1065">
        <f>_xlfn.IFS(rounded[[#This Row],[social_interaction_level]] = "low", 1,rounded[[#This Row],[social_interaction_level]] = "medium", 2,rounded[[#This Row],[social_interaction_level]] = "high", 3)</f>
        <v>2</v>
      </c>
      <c r="O1065">
        <f t="shared" si="16"/>
        <v>17</v>
      </c>
      <c r="P1065" t="str" cm="1">
        <f t="array" ref="P1065">_xlfn.SWITCH(rounded[[#This Row],[depression_label]], 0, "Not Depressed", 1, "Depressed")</f>
        <v>Not Depressed</v>
      </c>
      <c r="Q1065" s="45" t="str" cm="1">
        <f t="array" ref="Q1065">_xlfn.SWITCH(rounded[[#This Row],[gender]], "male", "Male", "female", "Female")</f>
        <v>Female</v>
      </c>
    </row>
    <row r="1066" spans="1:17" x14ac:dyDescent="0.35">
      <c r="A1066">
        <v>18</v>
      </c>
      <c r="B1066" t="s">
        <v>16</v>
      </c>
      <c r="C1066" s="4">
        <v>2.5</v>
      </c>
      <c r="D1066" t="s">
        <v>17</v>
      </c>
      <c r="E1066" s="4">
        <v>7.1</v>
      </c>
      <c r="F1066" s="4">
        <v>1.6</v>
      </c>
      <c r="G1066">
        <v>3.97</v>
      </c>
      <c r="H1066">
        <v>0.7</v>
      </c>
      <c r="I1066" t="s">
        <v>19</v>
      </c>
      <c r="J1066">
        <v>10</v>
      </c>
      <c r="K1066">
        <v>7</v>
      </c>
      <c r="L1066">
        <v>3</v>
      </c>
      <c r="M1066">
        <v>0</v>
      </c>
      <c r="N1066">
        <f>_xlfn.IFS(rounded[[#This Row],[social_interaction_level]] = "low", 1,rounded[[#This Row],[social_interaction_level]] = "medium", 2,rounded[[#This Row],[social_interaction_level]] = "high", 3)</f>
        <v>2</v>
      </c>
      <c r="O1066">
        <f t="shared" si="16"/>
        <v>20</v>
      </c>
      <c r="P1066" t="str" cm="1">
        <f t="array" ref="P1066">_xlfn.SWITCH(rounded[[#This Row],[depression_label]], 0, "Not Depressed", 1, "Depressed")</f>
        <v>Not Depressed</v>
      </c>
      <c r="Q1066" s="45" t="str" cm="1">
        <f t="array" ref="Q1066">_xlfn.SWITCH(rounded[[#This Row],[gender]], "male", "Male", "female", "Female")</f>
        <v>Female</v>
      </c>
    </row>
    <row r="1067" spans="1:17" x14ac:dyDescent="0.35">
      <c r="A1067">
        <v>18</v>
      </c>
      <c r="B1067" t="s">
        <v>13</v>
      </c>
      <c r="C1067" s="4">
        <v>4</v>
      </c>
      <c r="D1067" t="s">
        <v>20</v>
      </c>
      <c r="E1067" s="4">
        <v>8</v>
      </c>
      <c r="F1067" s="4">
        <v>2</v>
      </c>
      <c r="G1067">
        <v>3.04</v>
      </c>
      <c r="H1067">
        <v>1.4</v>
      </c>
      <c r="I1067" t="s">
        <v>18</v>
      </c>
      <c r="J1067">
        <v>3</v>
      </c>
      <c r="K1067">
        <v>1</v>
      </c>
      <c r="L1067">
        <v>8</v>
      </c>
      <c r="M1067">
        <v>0</v>
      </c>
      <c r="N1067">
        <f>_xlfn.IFS(rounded[[#This Row],[social_interaction_level]] = "low", 1,rounded[[#This Row],[social_interaction_level]] = "medium", 2,rounded[[#This Row],[social_interaction_level]] = "high", 3)</f>
        <v>3</v>
      </c>
      <c r="O1067">
        <f t="shared" si="16"/>
        <v>12</v>
      </c>
      <c r="P1067" t="str" cm="1">
        <f t="array" ref="P1067">_xlfn.SWITCH(rounded[[#This Row],[depression_label]], 0, "Not Depressed", 1, "Depressed")</f>
        <v>Not Depressed</v>
      </c>
      <c r="Q1067" s="45" t="str" cm="1">
        <f t="array" ref="Q1067">_xlfn.SWITCH(rounded[[#This Row],[gender]], "male", "Male", "female", "Female")</f>
        <v>Male</v>
      </c>
    </row>
    <row r="1068" spans="1:17" x14ac:dyDescent="0.35">
      <c r="A1068">
        <v>17</v>
      </c>
      <c r="B1068" t="s">
        <v>16</v>
      </c>
      <c r="C1068" s="4">
        <v>6.6</v>
      </c>
      <c r="D1068" t="s">
        <v>20</v>
      </c>
      <c r="E1068" s="4">
        <v>8</v>
      </c>
      <c r="F1068" s="4">
        <v>1.9</v>
      </c>
      <c r="G1068">
        <v>2.86</v>
      </c>
      <c r="H1068">
        <v>0.4</v>
      </c>
      <c r="I1068" t="s">
        <v>19</v>
      </c>
      <c r="J1068">
        <v>4</v>
      </c>
      <c r="K1068">
        <v>8</v>
      </c>
      <c r="L1068">
        <v>5</v>
      </c>
      <c r="M1068">
        <v>0</v>
      </c>
      <c r="N1068">
        <f>_xlfn.IFS(rounded[[#This Row],[social_interaction_level]] = "low", 1,rounded[[#This Row],[social_interaction_level]] = "medium", 2,rounded[[#This Row],[social_interaction_level]] = "high", 3)</f>
        <v>2</v>
      </c>
      <c r="O1068">
        <f t="shared" si="16"/>
        <v>17</v>
      </c>
      <c r="P1068" t="str" cm="1">
        <f t="array" ref="P1068">_xlfn.SWITCH(rounded[[#This Row],[depression_label]], 0, "Not Depressed", 1, "Depressed")</f>
        <v>Not Depressed</v>
      </c>
      <c r="Q1068" s="45" t="str" cm="1">
        <f t="array" ref="Q1068">_xlfn.SWITCH(rounded[[#This Row],[gender]], "male", "Male", "female", "Female")</f>
        <v>Female</v>
      </c>
    </row>
    <row r="1069" spans="1:17" x14ac:dyDescent="0.35">
      <c r="A1069">
        <v>14</v>
      </c>
      <c r="B1069" t="s">
        <v>16</v>
      </c>
      <c r="C1069" s="4">
        <v>2.9</v>
      </c>
      <c r="D1069" t="s">
        <v>17</v>
      </c>
      <c r="E1069" s="4">
        <v>5.8</v>
      </c>
      <c r="F1069" s="4">
        <v>1.6</v>
      </c>
      <c r="G1069">
        <v>3.34</v>
      </c>
      <c r="H1069">
        <v>1.1000000000000001</v>
      </c>
      <c r="I1069" t="s">
        <v>19</v>
      </c>
      <c r="J1069">
        <v>6</v>
      </c>
      <c r="K1069">
        <v>10</v>
      </c>
      <c r="L1069">
        <v>3</v>
      </c>
      <c r="M1069">
        <v>0</v>
      </c>
      <c r="N1069">
        <f>_xlfn.IFS(rounded[[#This Row],[social_interaction_level]] = "low", 1,rounded[[#This Row],[social_interaction_level]] = "medium", 2,rounded[[#This Row],[social_interaction_level]] = "high", 3)</f>
        <v>2</v>
      </c>
      <c r="O1069">
        <f t="shared" si="16"/>
        <v>19</v>
      </c>
      <c r="P1069" t="str" cm="1">
        <f t="array" ref="P1069">_xlfn.SWITCH(rounded[[#This Row],[depression_label]], 0, "Not Depressed", 1, "Depressed")</f>
        <v>Not Depressed</v>
      </c>
      <c r="Q1069" s="45" t="str" cm="1">
        <f t="array" ref="Q1069">_xlfn.SWITCH(rounded[[#This Row],[gender]], "male", "Male", "female", "Female")</f>
        <v>Female</v>
      </c>
    </row>
    <row r="1070" spans="1:17" x14ac:dyDescent="0.35">
      <c r="A1070">
        <v>14</v>
      </c>
      <c r="B1070" t="s">
        <v>13</v>
      </c>
      <c r="C1070" s="4">
        <v>7.2</v>
      </c>
      <c r="D1070" t="s">
        <v>17</v>
      </c>
      <c r="E1070" s="4">
        <v>5.7</v>
      </c>
      <c r="F1070" s="4">
        <v>2.7</v>
      </c>
      <c r="G1070">
        <v>2.76</v>
      </c>
      <c r="H1070">
        <v>0.4</v>
      </c>
      <c r="I1070" t="s">
        <v>15</v>
      </c>
      <c r="J1070">
        <v>7</v>
      </c>
      <c r="K1070">
        <v>3</v>
      </c>
      <c r="L1070">
        <v>7</v>
      </c>
      <c r="M1070">
        <v>0</v>
      </c>
      <c r="N1070">
        <f>_xlfn.IFS(rounded[[#This Row],[social_interaction_level]] = "low", 1,rounded[[#This Row],[social_interaction_level]] = "medium", 2,rounded[[#This Row],[social_interaction_level]] = "high", 3)</f>
        <v>1</v>
      </c>
      <c r="O1070">
        <f t="shared" si="16"/>
        <v>17</v>
      </c>
      <c r="P1070" t="str" cm="1">
        <f t="array" ref="P1070">_xlfn.SWITCH(rounded[[#This Row],[depression_label]], 0, "Not Depressed", 1, "Depressed")</f>
        <v>Not Depressed</v>
      </c>
      <c r="Q1070" s="45" t="str" cm="1">
        <f t="array" ref="Q1070">_xlfn.SWITCH(rounded[[#This Row],[gender]], "male", "Male", "female", "Female")</f>
        <v>Male</v>
      </c>
    </row>
    <row r="1071" spans="1:17" x14ac:dyDescent="0.35">
      <c r="A1071">
        <v>13</v>
      </c>
      <c r="B1071" t="s">
        <v>16</v>
      </c>
      <c r="C1071" s="4">
        <v>2.9</v>
      </c>
      <c r="D1071" t="s">
        <v>14</v>
      </c>
      <c r="E1071" s="4">
        <v>5.3</v>
      </c>
      <c r="F1071" s="4">
        <v>1</v>
      </c>
      <c r="G1071">
        <v>3.89</v>
      </c>
      <c r="H1071">
        <v>1.7</v>
      </c>
      <c r="I1071" t="s">
        <v>18</v>
      </c>
      <c r="J1071">
        <v>9</v>
      </c>
      <c r="K1071">
        <v>2</v>
      </c>
      <c r="L1071">
        <v>4</v>
      </c>
      <c r="M1071">
        <v>0</v>
      </c>
      <c r="N1071">
        <f>_xlfn.IFS(rounded[[#This Row],[social_interaction_level]] = "low", 1,rounded[[#This Row],[social_interaction_level]] = "medium", 2,rounded[[#This Row],[social_interaction_level]] = "high", 3)</f>
        <v>3</v>
      </c>
      <c r="O1071">
        <f t="shared" si="16"/>
        <v>15</v>
      </c>
      <c r="P1071" t="str" cm="1">
        <f t="array" ref="P1071">_xlfn.SWITCH(rounded[[#This Row],[depression_label]], 0, "Not Depressed", 1, "Depressed")</f>
        <v>Not Depressed</v>
      </c>
      <c r="Q1071" s="45" t="str" cm="1">
        <f t="array" ref="Q1071">_xlfn.SWITCH(rounded[[#This Row],[gender]], "male", "Male", "female", "Female")</f>
        <v>Female</v>
      </c>
    </row>
    <row r="1072" spans="1:17" x14ac:dyDescent="0.35">
      <c r="A1072">
        <v>15</v>
      </c>
      <c r="B1072" t="s">
        <v>16</v>
      </c>
      <c r="C1072" s="4">
        <v>7.3</v>
      </c>
      <c r="D1072" t="s">
        <v>20</v>
      </c>
      <c r="E1072" s="4">
        <v>5.7</v>
      </c>
      <c r="F1072" s="4">
        <v>2.9</v>
      </c>
      <c r="G1072">
        <v>3.48</v>
      </c>
      <c r="H1072">
        <v>1.8</v>
      </c>
      <c r="I1072" t="s">
        <v>19</v>
      </c>
      <c r="J1072">
        <v>2</v>
      </c>
      <c r="K1072">
        <v>7</v>
      </c>
      <c r="L1072">
        <v>8</v>
      </c>
      <c r="M1072">
        <v>0</v>
      </c>
      <c r="N1072">
        <f>_xlfn.IFS(rounded[[#This Row],[social_interaction_level]] = "low", 1,rounded[[#This Row],[social_interaction_level]] = "medium", 2,rounded[[#This Row],[social_interaction_level]] = "high", 3)</f>
        <v>2</v>
      </c>
      <c r="O1072">
        <f t="shared" si="16"/>
        <v>17</v>
      </c>
      <c r="P1072" t="str" cm="1">
        <f t="array" ref="P1072">_xlfn.SWITCH(rounded[[#This Row],[depression_label]], 0, "Not Depressed", 1, "Depressed")</f>
        <v>Not Depressed</v>
      </c>
      <c r="Q1072" s="45" t="str" cm="1">
        <f t="array" ref="Q1072">_xlfn.SWITCH(rounded[[#This Row],[gender]], "male", "Male", "female", "Female")</f>
        <v>Female</v>
      </c>
    </row>
    <row r="1073" spans="1:17" x14ac:dyDescent="0.35">
      <c r="A1073">
        <v>16</v>
      </c>
      <c r="B1073" t="s">
        <v>16</v>
      </c>
      <c r="C1073" s="4">
        <v>3.7</v>
      </c>
      <c r="D1073" t="s">
        <v>17</v>
      </c>
      <c r="E1073" s="4">
        <v>9</v>
      </c>
      <c r="F1073" s="4">
        <v>1.5</v>
      </c>
      <c r="G1073">
        <v>3.37</v>
      </c>
      <c r="H1073">
        <v>1.9</v>
      </c>
      <c r="I1073" t="s">
        <v>15</v>
      </c>
      <c r="J1073">
        <v>4</v>
      </c>
      <c r="K1073">
        <v>3</v>
      </c>
      <c r="L1073">
        <v>1</v>
      </c>
      <c r="M1073">
        <v>0</v>
      </c>
      <c r="N1073">
        <f>_xlfn.IFS(rounded[[#This Row],[social_interaction_level]] = "low", 1,rounded[[#This Row],[social_interaction_level]] = "medium", 2,rounded[[#This Row],[social_interaction_level]] = "high", 3)</f>
        <v>1</v>
      </c>
      <c r="O1073">
        <f t="shared" si="16"/>
        <v>8</v>
      </c>
      <c r="P1073" t="str" cm="1">
        <f t="array" ref="P1073">_xlfn.SWITCH(rounded[[#This Row],[depression_label]], 0, "Not Depressed", 1, "Depressed")</f>
        <v>Not Depressed</v>
      </c>
      <c r="Q1073" s="45" t="str" cm="1">
        <f t="array" ref="Q1073">_xlfn.SWITCH(rounded[[#This Row],[gender]], "male", "Male", "female", "Female")</f>
        <v>Female</v>
      </c>
    </row>
    <row r="1074" spans="1:17" x14ac:dyDescent="0.35">
      <c r="A1074">
        <v>16</v>
      </c>
      <c r="B1074" t="s">
        <v>13</v>
      </c>
      <c r="C1074" s="4">
        <v>7</v>
      </c>
      <c r="D1074" t="s">
        <v>14</v>
      </c>
      <c r="E1074" s="4">
        <v>4.8</v>
      </c>
      <c r="F1074" s="4">
        <v>1.7</v>
      </c>
      <c r="G1074">
        <v>2.9</v>
      </c>
      <c r="H1074">
        <v>0.3</v>
      </c>
      <c r="I1074" t="s">
        <v>15</v>
      </c>
      <c r="J1074">
        <v>4</v>
      </c>
      <c r="K1074">
        <v>1</v>
      </c>
      <c r="L1074">
        <v>8</v>
      </c>
      <c r="M1074">
        <v>0</v>
      </c>
      <c r="N1074">
        <f>_xlfn.IFS(rounded[[#This Row],[social_interaction_level]] = "low", 1,rounded[[#This Row],[social_interaction_level]] = "medium", 2,rounded[[#This Row],[social_interaction_level]] = "high", 3)</f>
        <v>1</v>
      </c>
      <c r="O1074">
        <f t="shared" si="16"/>
        <v>13</v>
      </c>
      <c r="P1074" t="str" cm="1">
        <f t="array" ref="P1074">_xlfn.SWITCH(rounded[[#This Row],[depression_label]], 0, "Not Depressed", 1, "Depressed")</f>
        <v>Not Depressed</v>
      </c>
      <c r="Q1074" s="45" t="str" cm="1">
        <f t="array" ref="Q1074">_xlfn.SWITCH(rounded[[#This Row],[gender]], "male", "Male", "female", "Female")</f>
        <v>Male</v>
      </c>
    </row>
    <row r="1075" spans="1:17" x14ac:dyDescent="0.35">
      <c r="A1075">
        <v>15</v>
      </c>
      <c r="B1075" t="s">
        <v>13</v>
      </c>
      <c r="C1075" s="4">
        <v>4</v>
      </c>
      <c r="D1075" t="s">
        <v>17</v>
      </c>
      <c r="E1075" s="4">
        <v>8.4</v>
      </c>
      <c r="F1075" s="4">
        <v>2.2999999999999998</v>
      </c>
      <c r="G1075">
        <v>2.52</v>
      </c>
      <c r="H1075">
        <v>0.9</v>
      </c>
      <c r="I1075" t="s">
        <v>15</v>
      </c>
      <c r="J1075">
        <v>4</v>
      </c>
      <c r="K1075">
        <v>5</v>
      </c>
      <c r="L1075">
        <v>3</v>
      </c>
      <c r="M1075">
        <v>0</v>
      </c>
      <c r="N1075">
        <f>_xlfn.IFS(rounded[[#This Row],[social_interaction_level]] = "low", 1,rounded[[#This Row],[social_interaction_level]] = "medium", 2,rounded[[#This Row],[social_interaction_level]] = "high", 3)</f>
        <v>1</v>
      </c>
      <c r="O1075">
        <f t="shared" si="16"/>
        <v>12</v>
      </c>
      <c r="P1075" t="str" cm="1">
        <f t="array" ref="P1075">_xlfn.SWITCH(rounded[[#This Row],[depression_label]], 0, "Not Depressed", 1, "Depressed")</f>
        <v>Not Depressed</v>
      </c>
      <c r="Q1075" s="45" t="str" cm="1">
        <f t="array" ref="Q1075">_xlfn.SWITCH(rounded[[#This Row],[gender]], "male", "Male", "female", "Female")</f>
        <v>Male</v>
      </c>
    </row>
    <row r="1076" spans="1:17" x14ac:dyDescent="0.35">
      <c r="A1076">
        <v>16</v>
      </c>
      <c r="B1076" t="s">
        <v>13</v>
      </c>
      <c r="C1076" s="4">
        <v>2.7</v>
      </c>
      <c r="D1076" t="s">
        <v>20</v>
      </c>
      <c r="E1076" s="4">
        <v>7.5</v>
      </c>
      <c r="F1076" s="4">
        <v>2.8</v>
      </c>
      <c r="G1076">
        <v>3.53</v>
      </c>
      <c r="H1076">
        <v>0.9</v>
      </c>
      <c r="I1076" t="s">
        <v>19</v>
      </c>
      <c r="J1076">
        <v>3</v>
      </c>
      <c r="K1076">
        <v>1</v>
      </c>
      <c r="L1076">
        <v>5</v>
      </c>
      <c r="M1076">
        <v>0</v>
      </c>
      <c r="N1076">
        <f>_xlfn.IFS(rounded[[#This Row],[social_interaction_level]] = "low", 1,rounded[[#This Row],[social_interaction_level]] = "medium", 2,rounded[[#This Row],[social_interaction_level]] = "high", 3)</f>
        <v>2</v>
      </c>
      <c r="O1076">
        <f t="shared" si="16"/>
        <v>9</v>
      </c>
      <c r="P1076" t="str" cm="1">
        <f t="array" ref="P1076">_xlfn.SWITCH(rounded[[#This Row],[depression_label]], 0, "Not Depressed", 1, "Depressed")</f>
        <v>Not Depressed</v>
      </c>
      <c r="Q1076" s="45" t="str" cm="1">
        <f t="array" ref="Q1076">_xlfn.SWITCH(rounded[[#This Row],[gender]], "male", "Male", "female", "Female")</f>
        <v>Male</v>
      </c>
    </row>
    <row r="1077" spans="1:17" x14ac:dyDescent="0.35">
      <c r="A1077">
        <v>15</v>
      </c>
      <c r="B1077" t="s">
        <v>13</v>
      </c>
      <c r="C1077" s="4">
        <v>7.2</v>
      </c>
      <c r="D1077" t="s">
        <v>20</v>
      </c>
      <c r="E1077" s="4">
        <v>5.7</v>
      </c>
      <c r="F1077" s="4">
        <v>0.7</v>
      </c>
      <c r="G1077">
        <v>3.89</v>
      </c>
      <c r="H1077">
        <v>1</v>
      </c>
      <c r="I1077" t="s">
        <v>19</v>
      </c>
      <c r="J1077">
        <v>1</v>
      </c>
      <c r="K1077">
        <v>3</v>
      </c>
      <c r="L1077">
        <v>6</v>
      </c>
      <c r="M1077">
        <v>0</v>
      </c>
      <c r="N1077">
        <f>_xlfn.IFS(rounded[[#This Row],[social_interaction_level]] = "low", 1,rounded[[#This Row],[social_interaction_level]] = "medium", 2,rounded[[#This Row],[social_interaction_level]] = "high", 3)</f>
        <v>2</v>
      </c>
      <c r="O1077">
        <f t="shared" si="16"/>
        <v>10</v>
      </c>
      <c r="P1077" t="str" cm="1">
        <f t="array" ref="P1077">_xlfn.SWITCH(rounded[[#This Row],[depression_label]], 0, "Not Depressed", 1, "Depressed")</f>
        <v>Not Depressed</v>
      </c>
      <c r="Q1077" s="45" t="str" cm="1">
        <f t="array" ref="Q1077">_xlfn.SWITCH(rounded[[#This Row],[gender]], "male", "Male", "female", "Female")</f>
        <v>Male</v>
      </c>
    </row>
    <row r="1078" spans="1:17" x14ac:dyDescent="0.35">
      <c r="A1078">
        <v>18</v>
      </c>
      <c r="B1078" t="s">
        <v>13</v>
      </c>
      <c r="C1078" s="4">
        <v>7.9</v>
      </c>
      <c r="D1078" t="s">
        <v>20</v>
      </c>
      <c r="E1078" s="4">
        <v>7</v>
      </c>
      <c r="F1078" s="4">
        <v>2.7</v>
      </c>
      <c r="G1078">
        <v>3.9</v>
      </c>
      <c r="H1078">
        <v>1</v>
      </c>
      <c r="I1078" t="s">
        <v>19</v>
      </c>
      <c r="J1078">
        <v>1</v>
      </c>
      <c r="K1078">
        <v>2</v>
      </c>
      <c r="L1078">
        <v>10</v>
      </c>
      <c r="M1078">
        <v>0</v>
      </c>
      <c r="N1078">
        <f>_xlfn.IFS(rounded[[#This Row],[social_interaction_level]] = "low", 1,rounded[[#This Row],[social_interaction_level]] = "medium", 2,rounded[[#This Row],[social_interaction_level]] = "high", 3)</f>
        <v>2</v>
      </c>
      <c r="O1078">
        <f t="shared" si="16"/>
        <v>13</v>
      </c>
      <c r="P1078" t="str" cm="1">
        <f t="array" ref="P1078">_xlfn.SWITCH(rounded[[#This Row],[depression_label]], 0, "Not Depressed", 1, "Depressed")</f>
        <v>Not Depressed</v>
      </c>
      <c r="Q1078" s="45" t="str" cm="1">
        <f t="array" ref="Q1078">_xlfn.SWITCH(rounded[[#This Row],[gender]], "male", "Male", "female", "Female")</f>
        <v>Male</v>
      </c>
    </row>
    <row r="1079" spans="1:17" x14ac:dyDescent="0.35">
      <c r="A1079">
        <v>14</v>
      </c>
      <c r="B1079" t="s">
        <v>16</v>
      </c>
      <c r="C1079" s="4">
        <v>5.0999999999999996</v>
      </c>
      <c r="D1079" t="s">
        <v>14</v>
      </c>
      <c r="E1079" s="4">
        <v>5.3</v>
      </c>
      <c r="F1079" s="4">
        <v>2.2999999999999998</v>
      </c>
      <c r="G1079">
        <v>2.31</v>
      </c>
      <c r="H1079">
        <v>0.2</v>
      </c>
      <c r="I1079" t="s">
        <v>18</v>
      </c>
      <c r="J1079">
        <v>3</v>
      </c>
      <c r="K1079">
        <v>3</v>
      </c>
      <c r="L1079">
        <v>6</v>
      </c>
      <c r="M1079">
        <v>0</v>
      </c>
      <c r="N1079">
        <f>_xlfn.IFS(rounded[[#This Row],[social_interaction_level]] = "low", 1,rounded[[#This Row],[social_interaction_level]] = "medium", 2,rounded[[#This Row],[social_interaction_level]] = "high", 3)</f>
        <v>3</v>
      </c>
      <c r="O1079">
        <f t="shared" si="16"/>
        <v>12</v>
      </c>
      <c r="P1079" t="str" cm="1">
        <f t="array" ref="P1079">_xlfn.SWITCH(rounded[[#This Row],[depression_label]], 0, "Not Depressed", 1, "Depressed")</f>
        <v>Not Depressed</v>
      </c>
      <c r="Q1079" s="45" t="str" cm="1">
        <f t="array" ref="Q1079">_xlfn.SWITCH(rounded[[#This Row],[gender]], "male", "Male", "female", "Female")</f>
        <v>Female</v>
      </c>
    </row>
    <row r="1080" spans="1:17" x14ac:dyDescent="0.35">
      <c r="A1080">
        <v>15</v>
      </c>
      <c r="B1080" t="s">
        <v>16</v>
      </c>
      <c r="C1080" s="4">
        <v>6.4</v>
      </c>
      <c r="D1080" t="s">
        <v>20</v>
      </c>
      <c r="E1080" s="4">
        <v>7.7</v>
      </c>
      <c r="F1080" s="4">
        <v>0.7</v>
      </c>
      <c r="G1080">
        <v>3.86</v>
      </c>
      <c r="H1080">
        <v>1.5</v>
      </c>
      <c r="I1080" t="s">
        <v>18</v>
      </c>
      <c r="J1080">
        <v>10</v>
      </c>
      <c r="K1080">
        <v>2</v>
      </c>
      <c r="L1080">
        <v>7</v>
      </c>
      <c r="M1080">
        <v>0</v>
      </c>
      <c r="N1080">
        <f>_xlfn.IFS(rounded[[#This Row],[social_interaction_level]] = "low", 1,rounded[[#This Row],[social_interaction_level]] = "medium", 2,rounded[[#This Row],[social_interaction_level]] = "high", 3)</f>
        <v>3</v>
      </c>
      <c r="O1080">
        <f t="shared" si="16"/>
        <v>19</v>
      </c>
      <c r="P1080" t="str" cm="1">
        <f t="array" ref="P1080">_xlfn.SWITCH(rounded[[#This Row],[depression_label]], 0, "Not Depressed", 1, "Depressed")</f>
        <v>Not Depressed</v>
      </c>
      <c r="Q1080" s="45" t="str" cm="1">
        <f t="array" ref="Q1080">_xlfn.SWITCH(rounded[[#This Row],[gender]], "male", "Male", "female", "Female")</f>
        <v>Female</v>
      </c>
    </row>
    <row r="1081" spans="1:17" x14ac:dyDescent="0.35">
      <c r="A1081">
        <v>16</v>
      </c>
      <c r="B1081" t="s">
        <v>16</v>
      </c>
      <c r="C1081" s="4">
        <v>4.4000000000000004</v>
      </c>
      <c r="D1081" t="s">
        <v>20</v>
      </c>
      <c r="E1081" s="4">
        <v>4.2</v>
      </c>
      <c r="F1081" s="4">
        <v>2</v>
      </c>
      <c r="G1081">
        <v>3.89</v>
      </c>
      <c r="H1081">
        <v>1.1000000000000001</v>
      </c>
      <c r="I1081" t="s">
        <v>19</v>
      </c>
      <c r="J1081">
        <v>2</v>
      </c>
      <c r="K1081">
        <v>9</v>
      </c>
      <c r="L1081">
        <v>8</v>
      </c>
      <c r="M1081">
        <v>0</v>
      </c>
      <c r="N1081">
        <f>_xlfn.IFS(rounded[[#This Row],[social_interaction_level]] = "low", 1,rounded[[#This Row],[social_interaction_level]] = "medium", 2,rounded[[#This Row],[social_interaction_level]] = "high", 3)</f>
        <v>2</v>
      </c>
      <c r="O1081">
        <f t="shared" si="16"/>
        <v>19</v>
      </c>
      <c r="P1081" t="str" cm="1">
        <f t="array" ref="P1081">_xlfn.SWITCH(rounded[[#This Row],[depression_label]], 0, "Not Depressed", 1, "Depressed")</f>
        <v>Not Depressed</v>
      </c>
      <c r="Q1081" s="45" t="str" cm="1">
        <f t="array" ref="Q1081">_xlfn.SWITCH(rounded[[#This Row],[gender]], "male", "Male", "female", "Female")</f>
        <v>Female</v>
      </c>
    </row>
    <row r="1082" spans="1:17" x14ac:dyDescent="0.35">
      <c r="A1082">
        <v>16</v>
      </c>
      <c r="B1082" t="s">
        <v>13</v>
      </c>
      <c r="C1082" s="4">
        <v>7</v>
      </c>
      <c r="D1082" t="s">
        <v>17</v>
      </c>
      <c r="E1082" s="4">
        <v>7.4</v>
      </c>
      <c r="F1082" s="4">
        <v>2.6</v>
      </c>
      <c r="G1082">
        <v>2.92</v>
      </c>
      <c r="H1082">
        <v>1</v>
      </c>
      <c r="I1082" t="s">
        <v>19</v>
      </c>
      <c r="J1082">
        <v>10</v>
      </c>
      <c r="K1082">
        <v>6</v>
      </c>
      <c r="L1082">
        <v>3</v>
      </c>
      <c r="M1082">
        <v>0</v>
      </c>
      <c r="N1082">
        <f>_xlfn.IFS(rounded[[#This Row],[social_interaction_level]] = "low", 1,rounded[[#This Row],[social_interaction_level]] = "medium", 2,rounded[[#This Row],[social_interaction_level]] = "high", 3)</f>
        <v>2</v>
      </c>
      <c r="O1082">
        <f t="shared" si="16"/>
        <v>19</v>
      </c>
      <c r="P1082" t="str" cm="1">
        <f t="array" ref="P1082">_xlfn.SWITCH(rounded[[#This Row],[depression_label]], 0, "Not Depressed", 1, "Depressed")</f>
        <v>Not Depressed</v>
      </c>
      <c r="Q1082" s="45" t="str" cm="1">
        <f t="array" ref="Q1082">_xlfn.SWITCH(rounded[[#This Row],[gender]], "male", "Male", "female", "Female")</f>
        <v>Male</v>
      </c>
    </row>
    <row r="1083" spans="1:17" x14ac:dyDescent="0.35">
      <c r="A1083">
        <v>17</v>
      </c>
      <c r="B1083" t="s">
        <v>16</v>
      </c>
      <c r="C1083" s="4">
        <v>7.8</v>
      </c>
      <c r="D1083" t="s">
        <v>17</v>
      </c>
      <c r="E1083" s="4">
        <v>5.7</v>
      </c>
      <c r="F1083" s="4">
        <v>1.2</v>
      </c>
      <c r="G1083">
        <v>3.72</v>
      </c>
      <c r="H1083">
        <v>1.2</v>
      </c>
      <c r="I1083" t="s">
        <v>18</v>
      </c>
      <c r="J1083">
        <v>10</v>
      </c>
      <c r="K1083">
        <v>2</v>
      </c>
      <c r="L1083">
        <v>6</v>
      </c>
      <c r="M1083">
        <v>0</v>
      </c>
      <c r="N1083">
        <f>_xlfn.IFS(rounded[[#This Row],[social_interaction_level]] = "low", 1,rounded[[#This Row],[social_interaction_level]] = "medium", 2,rounded[[#This Row],[social_interaction_level]] = "high", 3)</f>
        <v>3</v>
      </c>
      <c r="O1083">
        <f t="shared" si="16"/>
        <v>18</v>
      </c>
      <c r="P1083" t="str" cm="1">
        <f t="array" ref="P1083">_xlfn.SWITCH(rounded[[#This Row],[depression_label]], 0, "Not Depressed", 1, "Depressed")</f>
        <v>Not Depressed</v>
      </c>
      <c r="Q1083" s="45" t="str" cm="1">
        <f t="array" ref="Q1083">_xlfn.SWITCH(rounded[[#This Row],[gender]], "male", "Male", "female", "Female")</f>
        <v>Female</v>
      </c>
    </row>
    <row r="1084" spans="1:17" x14ac:dyDescent="0.35">
      <c r="A1084">
        <v>14</v>
      </c>
      <c r="B1084" t="s">
        <v>16</v>
      </c>
      <c r="C1084" s="4">
        <v>5</v>
      </c>
      <c r="D1084" t="s">
        <v>14</v>
      </c>
      <c r="E1084" s="4">
        <v>6.2</v>
      </c>
      <c r="F1084" s="4">
        <v>1</v>
      </c>
      <c r="G1084">
        <v>2</v>
      </c>
      <c r="H1084">
        <v>1.5</v>
      </c>
      <c r="I1084" t="s">
        <v>15</v>
      </c>
      <c r="J1084">
        <v>5</v>
      </c>
      <c r="K1084">
        <v>6</v>
      </c>
      <c r="L1084">
        <v>1</v>
      </c>
      <c r="M1084">
        <v>0</v>
      </c>
      <c r="N1084">
        <f>_xlfn.IFS(rounded[[#This Row],[social_interaction_level]] = "low", 1,rounded[[#This Row],[social_interaction_level]] = "medium", 2,rounded[[#This Row],[social_interaction_level]] = "high", 3)</f>
        <v>1</v>
      </c>
      <c r="O1084">
        <f t="shared" si="16"/>
        <v>12</v>
      </c>
      <c r="P1084" t="str" cm="1">
        <f t="array" ref="P1084">_xlfn.SWITCH(rounded[[#This Row],[depression_label]], 0, "Not Depressed", 1, "Depressed")</f>
        <v>Not Depressed</v>
      </c>
      <c r="Q1084" s="45" t="str" cm="1">
        <f t="array" ref="Q1084">_xlfn.SWITCH(rounded[[#This Row],[gender]], "male", "Male", "female", "Female")</f>
        <v>Female</v>
      </c>
    </row>
    <row r="1085" spans="1:17" x14ac:dyDescent="0.35">
      <c r="A1085">
        <v>17</v>
      </c>
      <c r="B1085" t="s">
        <v>13</v>
      </c>
      <c r="C1085" s="4">
        <v>6.6</v>
      </c>
      <c r="D1085" t="s">
        <v>17</v>
      </c>
      <c r="E1085" s="4">
        <v>5.3</v>
      </c>
      <c r="F1085" s="4">
        <v>1.1000000000000001</v>
      </c>
      <c r="G1085">
        <v>3.5</v>
      </c>
      <c r="H1085">
        <v>1.7</v>
      </c>
      <c r="I1085" t="s">
        <v>19</v>
      </c>
      <c r="J1085">
        <v>1</v>
      </c>
      <c r="K1085">
        <v>10</v>
      </c>
      <c r="L1085">
        <v>7</v>
      </c>
      <c r="M1085">
        <v>0</v>
      </c>
      <c r="N1085">
        <f>_xlfn.IFS(rounded[[#This Row],[social_interaction_level]] = "low", 1,rounded[[#This Row],[social_interaction_level]] = "medium", 2,rounded[[#This Row],[social_interaction_level]] = "high", 3)</f>
        <v>2</v>
      </c>
      <c r="O1085">
        <f t="shared" si="16"/>
        <v>18</v>
      </c>
      <c r="P1085" t="str" cm="1">
        <f t="array" ref="P1085">_xlfn.SWITCH(rounded[[#This Row],[depression_label]], 0, "Not Depressed", 1, "Depressed")</f>
        <v>Not Depressed</v>
      </c>
      <c r="Q1085" s="45" t="str" cm="1">
        <f t="array" ref="Q1085">_xlfn.SWITCH(rounded[[#This Row],[gender]], "male", "Male", "female", "Female")</f>
        <v>Male</v>
      </c>
    </row>
    <row r="1086" spans="1:17" x14ac:dyDescent="0.35">
      <c r="A1086">
        <v>18</v>
      </c>
      <c r="B1086" t="s">
        <v>13</v>
      </c>
      <c r="C1086" s="4">
        <v>2.6</v>
      </c>
      <c r="D1086" t="s">
        <v>20</v>
      </c>
      <c r="E1086" s="4">
        <v>8.6</v>
      </c>
      <c r="F1086" s="4">
        <v>2.7</v>
      </c>
      <c r="G1086">
        <v>3.28</v>
      </c>
      <c r="H1086">
        <v>0.8</v>
      </c>
      <c r="I1086" t="s">
        <v>18</v>
      </c>
      <c r="J1086">
        <v>5</v>
      </c>
      <c r="K1086">
        <v>4</v>
      </c>
      <c r="L1086">
        <v>6</v>
      </c>
      <c r="M1086">
        <v>0</v>
      </c>
      <c r="N1086">
        <f>_xlfn.IFS(rounded[[#This Row],[social_interaction_level]] = "low", 1,rounded[[#This Row],[social_interaction_level]] = "medium", 2,rounded[[#This Row],[social_interaction_level]] = "high", 3)</f>
        <v>3</v>
      </c>
      <c r="O1086">
        <f t="shared" si="16"/>
        <v>15</v>
      </c>
      <c r="P1086" t="str" cm="1">
        <f t="array" ref="P1086">_xlfn.SWITCH(rounded[[#This Row],[depression_label]], 0, "Not Depressed", 1, "Depressed")</f>
        <v>Not Depressed</v>
      </c>
      <c r="Q1086" s="45" t="str" cm="1">
        <f t="array" ref="Q1086">_xlfn.SWITCH(rounded[[#This Row],[gender]], "male", "Male", "female", "Female")</f>
        <v>Male</v>
      </c>
    </row>
    <row r="1087" spans="1:17" x14ac:dyDescent="0.35">
      <c r="A1087">
        <v>13</v>
      </c>
      <c r="B1087" t="s">
        <v>16</v>
      </c>
      <c r="C1087" s="4">
        <v>5.8</v>
      </c>
      <c r="D1087" t="s">
        <v>14</v>
      </c>
      <c r="E1087" s="4">
        <v>4.4000000000000004</v>
      </c>
      <c r="F1087" s="4">
        <v>1.8</v>
      </c>
      <c r="G1087">
        <v>3.8</v>
      </c>
      <c r="H1087">
        <v>1</v>
      </c>
      <c r="I1087" t="s">
        <v>18</v>
      </c>
      <c r="J1087">
        <v>2</v>
      </c>
      <c r="K1087">
        <v>2</v>
      </c>
      <c r="L1087">
        <v>1</v>
      </c>
      <c r="M1087">
        <v>0</v>
      </c>
      <c r="N1087">
        <f>_xlfn.IFS(rounded[[#This Row],[social_interaction_level]] = "low", 1,rounded[[#This Row],[social_interaction_level]] = "medium", 2,rounded[[#This Row],[social_interaction_level]] = "high", 3)</f>
        <v>3</v>
      </c>
      <c r="O1087">
        <f t="shared" si="16"/>
        <v>5</v>
      </c>
      <c r="P1087" t="str" cm="1">
        <f t="array" ref="P1087">_xlfn.SWITCH(rounded[[#This Row],[depression_label]], 0, "Not Depressed", 1, "Depressed")</f>
        <v>Not Depressed</v>
      </c>
      <c r="Q1087" s="45" t="str" cm="1">
        <f t="array" ref="Q1087">_xlfn.SWITCH(rounded[[#This Row],[gender]], "male", "Male", "female", "Female")</f>
        <v>Female</v>
      </c>
    </row>
    <row r="1088" spans="1:17" x14ac:dyDescent="0.35">
      <c r="A1088">
        <v>14</v>
      </c>
      <c r="B1088" t="s">
        <v>16</v>
      </c>
      <c r="C1088" s="4">
        <v>5.6</v>
      </c>
      <c r="D1088" t="s">
        <v>17</v>
      </c>
      <c r="E1088" s="4">
        <v>6.8</v>
      </c>
      <c r="F1088" s="4">
        <v>2.2999999999999998</v>
      </c>
      <c r="G1088">
        <v>2.66</v>
      </c>
      <c r="H1088">
        <v>1.1000000000000001</v>
      </c>
      <c r="I1088" t="s">
        <v>18</v>
      </c>
      <c r="J1088">
        <v>7</v>
      </c>
      <c r="K1088">
        <v>6</v>
      </c>
      <c r="L1088">
        <v>2</v>
      </c>
      <c r="M1088">
        <v>0</v>
      </c>
      <c r="N1088">
        <f>_xlfn.IFS(rounded[[#This Row],[social_interaction_level]] = "low", 1,rounded[[#This Row],[social_interaction_level]] = "medium", 2,rounded[[#This Row],[social_interaction_level]] = "high", 3)</f>
        <v>3</v>
      </c>
      <c r="O1088">
        <f t="shared" si="16"/>
        <v>15</v>
      </c>
      <c r="P1088" t="str" cm="1">
        <f t="array" ref="P1088">_xlfn.SWITCH(rounded[[#This Row],[depression_label]], 0, "Not Depressed", 1, "Depressed")</f>
        <v>Not Depressed</v>
      </c>
      <c r="Q1088" s="45" t="str" cm="1">
        <f t="array" ref="Q1088">_xlfn.SWITCH(rounded[[#This Row],[gender]], "male", "Male", "female", "Female")</f>
        <v>Female</v>
      </c>
    </row>
    <row r="1089" spans="1:17" x14ac:dyDescent="0.35">
      <c r="A1089">
        <v>18</v>
      </c>
      <c r="B1089" t="s">
        <v>13</v>
      </c>
      <c r="C1089" s="4">
        <v>4.5999999999999996</v>
      </c>
      <c r="D1089" t="s">
        <v>20</v>
      </c>
      <c r="E1089" s="4">
        <v>4.3</v>
      </c>
      <c r="F1089" s="4">
        <v>2.9</v>
      </c>
      <c r="G1089">
        <v>2.95</v>
      </c>
      <c r="H1089">
        <v>0.6</v>
      </c>
      <c r="I1089" t="s">
        <v>19</v>
      </c>
      <c r="J1089">
        <v>7</v>
      </c>
      <c r="K1089">
        <v>9</v>
      </c>
      <c r="L1089">
        <v>8</v>
      </c>
      <c r="M1089">
        <v>0</v>
      </c>
      <c r="N1089">
        <f>_xlfn.IFS(rounded[[#This Row],[social_interaction_level]] = "low", 1,rounded[[#This Row],[social_interaction_level]] = "medium", 2,rounded[[#This Row],[social_interaction_level]] = "high", 3)</f>
        <v>2</v>
      </c>
      <c r="O1089">
        <f t="shared" si="16"/>
        <v>24</v>
      </c>
      <c r="P1089" t="str" cm="1">
        <f t="array" ref="P1089">_xlfn.SWITCH(rounded[[#This Row],[depression_label]], 0, "Not Depressed", 1, "Depressed")</f>
        <v>Not Depressed</v>
      </c>
      <c r="Q1089" s="45" t="str" cm="1">
        <f t="array" ref="Q1089">_xlfn.SWITCH(rounded[[#This Row],[gender]], "male", "Male", "female", "Female")</f>
        <v>Male</v>
      </c>
    </row>
    <row r="1090" spans="1:17" x14ac:dyDescent="0.35">
      <c r="A1090">
        <v>19</v>
      </c>
      <c r="B1090" t="s">
        <v>13</v>
      </c>
      <c r="C1090" s="4">
        <v>1.4</v>
      </c>
      <c r="D1090" t="s">
        <v>20</v>
      </c>
      <c r="E1090" s="4">
        <v>4.7</v>
      </c>
      <c r="F1090" s="4">
        <v>0.5</v>
      </c>
      <c r="G1090">
        <v>3.57</v>
      </c>
      <c r="H1090">
        <v>1.7</v>
      </c>
      <c r="I1090" t="s">
        <v>18</v>
      </c>
      <c r="J1090">
        <v>1</v>
      </c>
      <c r="K1090">
        <v>5</v>
      </c>
      <c r="L1090">
        <v>6</v>
      </c>
      <c r="M1090">
        <v>0</v>
      </c>
      <c r="N1090">
        <f>_xlfn.IFS(rounded[[#This Row],[social_interaction_level]] = "low", 1,rounded[[#This Row],[social_interaction_level]] = "medium", 2,rounded[[#This Row],[social_interaction_level]] = "high", 3)</f>
        <v>3</v>
      </c>
      <c r="O1090">
        <f t="shared" ref="O1090:O1153" si="17">SUM(J1090+K1090+L1090)</f>
        <v>12</v>
      </c>
      <c r="P1090" t="str" cm="1">
        <f t="array" ref="P1090">_xlfn.SWITCH(rounded[[#This Row],[depression_label]], 0, "Not Depressed", 1, "Depressed")</f>
        <v>Not Depressed</v>
      </c>
      <c r="Q1090" s="45" t="str" cm="1">
        <f t="array" ref="Q1090">_xlfn.SWITCH(rounded[[#This Row],[gender]], "male", "Male", "female", "Female")</f>
        <v>Male</v>
      </c>
    </row>
    <row r="1091" spans="1:17" x14ac:dyDescent="0.35">
      <c r="A1091">
        <v>13</v>
      </c>
      <c r="B1091" t="s">
        <v>16</v>
      </c>
      <c r="C1091" s="4">
        <v>2.9</v>
      </c>
      <c r="D1091" t="s">
        <v>20</v>
      </c>
      <c r="E1091" s="4">
        <v>8.1999999999999993</v>
      </c>
      <c r="F1091" s="4">
        <v>2.2999999999999998</v>
      </c>
      <c r="G1091">
        <v>2.48</v>
      </c>
      <c r="H1091">
        <v>0.9</v>
      </c>
      <c r="I1091" t="s">
        <v>15</v>
      </c>
      <c r="J1091">
        <v>5</v>
      </c>
      <c r="K1091">
        <v>8</v>
      </c>
      <c r="L1091">
        <v>9</v>
      </c>
      <c r="M1091">
        <v>0</v>
      </c>
      <c r="N1091">
        <f>_xlfn.IFS(rounded[[#This Row],[social_interaction_level]] = "low", 1,rounded[[#This Row],[social_interaction_level]] = "medium", 2,rounded[[#This Row],[social_interaction_level]] = "high", 3)</f>
        <v>1</v>
      </c>
      <c r="O1091">
        <f t="shared" si="17"/>
        <v>22</v>
      </c>
      <c r="P1091" t="str" cm="1">
        <f t="array" ref="P1091">_xlfn.SWITCH(rounded[[#This Row],[depression_label]], 0, "Not Depressed", 1, "Depressed")</f>
        <v>Not Depressed</v>
      </c>
      <c r="Q1091" s="45" t="str" cm="1">
        <f t="array" ref="Q1091">_xlfn.SWITCH(rounded[[#This Row],[gender]], "male", "Male", "female", "Female")</f>
        <v>Female</v>
      </c>
    </row>
    <row r="1092" spans="1:17" x14ac:dyDescent="0.35">
      <c r="A1092">
        <v>16</v>
      </c>
      <c r="B1092" t="s">
        <v>16</v>
      </c>
      <c r="C1092" s="4">
        <v>7.9</v>
      </c>
      <c r="D1092" t="s">
        <v>14</v>
      </c>
      <c r="E1092" s="4">
        <v>6.3</v>
      </c>
      <c r="F1092" s="4">
        <v>2.7</v>
      </c>
      <c r="G1092">
        <v>2.88</v>
      </c>
      <c r="H1092">
        <v>0.2</v>
      </c>
      <c r="I1092" t="s">
        <v>18</v>
      </c>
      <c r="J1092">
        <v>2</v>
      </c>
      <c r="K1092">
        <v>7</v>
      </c>
      <c r="L1092">
        <v>5</v>
      </c>
      <c r="M1092">
        <v>0</v>
      </c>
      <c r="N1092">
        <f>_xlfn.IFS(rounded[[#This Row],[social_interaction_level]] = "low", 1,rounded[[#This Row],[social_interaction_level]] = "medium", 2,rounded[[#This Row],[social_interaction_level]] = "high", 3)</f>
        <v>3</v>
      </c>
      <c r="O1092">
        <f t="shared" si="17"/>
        <v>14</v>
      </c>
      <c r="P1092" t="str" cm="1">
        <f t="array" ref="P1092">_xlfn.SWITCH(rounded[[#This Row],[depression_label]], 0, "Not Depressed", 1, "Depressed")</f>
        <v>Not Depressed</v>
      </c>
      <c r="Q1092" s="45" t="str" cm="1">
        <f t="array" ref="Q1092">_xlfn.SWITCH(rounded[[#This Row],[gender]], "male", "Male", "female", "Female")</f>
        <v>Female</v>
      </c>
    </row>
    <row r="1093" spans="1:17" x14ac:dyDescent="0.35">
      <c r="A1093">
        <v>13</v>
      </c>
      <c r="B1093" t="s">
        <v>13</v>
      </c>
      <c r="C1093" s="4">
        <v>3.5</v>
      </c>
      <c r="D1093" t="s">
        <v>20</v>
      </c>
      <c r="E1093" s="4">
        <v>6.8</v>
      </c>
      <c r="F1093" s="4">
        <v>2.2999999999999998</v>
      </c>
      <c r="G1093">
        <v>2.2799999999999998</v>
      </c>
      <c r="H1093">
        <v>1</v>
      </c>
      <c r="I1093" t="s">
        <v>15</v>
      </c>
      <c r="J1093">
        <v>7</v>
      </c>
      <c r="K1093">
        <v>2</v>
      </c>
      <c r="L1093">
        <v>6</v>
      </c>
      <c r="M1093">
        <v>0</v>
      </c>
      <c r="N1093">
        <f>_xlfn.IFS(rounded[[#This Row],[social_interaction_level]] = "low", 1,rounded[[#This Row],[social_interaction_level]] = "medium", 2,rounded[[#This Row],[social_interaction_level]] = "high", 3)</f>
        <v>1</v>
      </c>
      <c r="O1093">
        <f t="shared" si="17"/>
        <v>15</v>
      </c>
      <c r="P1093" t="str" cm="1">
        <f t="array" ref="P1093">_xlfn.SWITCH(rounded[[#This Row],[depression_label]], 0, "Not Depressed", 1, "Depressed")</f>
        <v>Not Depressed</v>
      </c>
      <c r="Q1093" s="45" t="str" cm="1">
        <f t="array" ref="Q1093">_xlfn.SWITCH(rounded[[#This Row],[gender]], "male", "Male", "female", "Female")</f>
        <v>Male</v>
      </c>
    </row>
    <row r="1094" spans="1:17" x14ac:dyDescent="0.35">
      <c r="A1094">
        <v>14</v>
      </c>
      <c r="B1094" t="s">
        <v>16</v>
      </c>
      <c r="C1094" s="4">
        <v>3.8</v>
      </c>
      <c r="D1094" t="s">
        <v>14</v>
      </c>
      <c r="E1094" s="4">
        <v>7.9</v>
      </c>
      <c r="F1094" s="4">
        <v>1.2</v>
      </c>
      <c r="G1094">
        <v>3.24</v>
      </c>
      <c r="H1094">
        <v>1.6</v>
      </c>
      <c r="I1094" t="s">
        <v>18</v>
      </c>
      <c r="J1094">
        <v>6</v>
      </c>
      <c r="K1094">
        <v>10</v>
      </c>
      <c r="L1094">
        <v>5</v>
      </c>
      <c r="M1094">
        <v>0</v>
      </c>
      <c r="N1094">
        <f>_xlfn.IFS(rounded[[#This Row],[social_interaction_level]] = "low", 1,rounded[[#This Row],[social_interaction_level]] = "medium", 2,rounded[[#This Row],[social_interaction_level]] = "high", 3)</f>
        <v>3</v>
      </c>
      <c r="O1094">
        <f t="shared" si="17"/>
        <v>21</v>
      </c>
      <c r="P1094" t="str" cm="1">
        <f t="array" ref="P1094">_xlfn.SWITCH(rounded[[#This Row],[depression_label]], 0, "Not Depressed", 1, "Depressed")</f>
        <v>Not Depressed</v>
      </c>
      <c r="Q1094" s="45" t="str" cm="1">
        <f t="array" ref="Q1094">_xlfn.SWITCH(rounded[[#This Row],[gender]], "male", "Male", "female", "Female")</f>
        <v>Female</v>
      </c>
    </row>
    <row r="1095" spans="1:17" x14ac:dyDescent="0.35">
      <c r="A1095">
        <v>19</v>
      </c>
      <c r="B1095" t="s">
        <v>13</v>
      </c>
      <c r="C1095" s="4">
        <v>2.9</v>
      </c>
      <c r="D1095" t="s">
        <v>14</v>
      </c>
      <c r="E1095" s="4">
        <v>8.6999999999999993</v>
      </c>
      <c r="F1095" s="4">
        <v>0.9</v>
      </c>
      <c r="G1095">
        <v>2.99</v>
      </c>
      <c r="H1095">
        <v>0.8</v>
      </c>
      <c r="I1095" t="s">
        <v>19</v>
      </c>
      <c r="J1095">
        <v>7</v>
      </c>
      <c r="K1095">
        <v>8</v>
      </c>
      <c r="L1095">
        <v>2</v>
      </c>
      <c r="M1095">
        <v>0</v>
      </c>
      <c r="N1095">
        <f>_xlfn.IFS(rounded[[#This Row],[social_interaction_level]] = "low", 1,rounded[[#This Row],[social_interaction_level]] = "medium", 2,rounded[[#This Row],[social_interaction_level]] = "high", 3)</f>
        <v>2</v>
      </c>
      <c r="O1095">
        <f t="shared" si="17"/>
        <v>17</v>
      </c>
      <c r="P1095" t="str" cm="1">
        <f t="array" ref="P1095">_xlfn.SWITCH(rounded[[#This Row],[depression_label]], 0, "Not Depressed", 1, "Depressed")</f>
        <v>Not Depressed</v>
      </c>
      <c r="Q1095" s="45" t="str" cm="1">
        <f t="array" ref="Q1095">_xlfn.SWITCH(rounded[[#This Row],[gender]], "male", "Male", "female", "Female")</f>
        <v>Male</v>
      </c>
    </row>
    <row r="1096" spans="1:17" x14ac:dyDescent="0.35">
      <c r="A1096">
        <v>17</v>
      </c>
      <c r="B1096" t="s">
        <v>13</v>
      </c>
      <c r="C1096" s="4">
        <v>3.5</v>
      </c>
      <c r="D1096" t="s">
        <v>20</v>
      </c>
      <c r="E1096" s="4">
        <v>4.5999999999999996</v>
      </c>
      <c r="F1096" s="4">
        <v>0.7</v>
      </c>
      <c r="G1096">
        <v>3.9</v>
      </c>
      <c r="H1096">
        <v>0.6</v>
      </c>
      <c r="I1096" t="s">
        <v>18</v>
      </c>
      <c r="J1096">
        <v>7</v>
      </c>
      <c r="K1096">
        <v>3</v>
      </c>
      <c r="L1096">
        <v>1</v>
      </c>
      <c r="M1096">
        <v>0</v>
      </c>
      <c r="N1096">
        <f>_xlfn.IFS(rounded[[#This Row],[social_interaction_level]] = "low", 1,rounded[[#This Row],[social_interaction_level]] = "medium", 2,rounded[[#This Row],[social_interaction_level]] = "high", 3)</f>
        <v>3</v>
      </c>
      <c r="O1096">
        <f t="shared" si="17"/>
        <v>11</v>
      </c>
      <c r="P1096" t="str" cm="1">
        <f t="array" ref="P1096">_xlfn.SWITCH(rounded[[#This Row],[depression_label]], 0, "Not Depressed", 1, "Depressed")</f>
        <v>Not Depressed</v>
      </c>
      <c r="Q1096" s="45" t="str" cm="1">
        <f t="array" ref="Q1096">_xlfn.SWITCH(rounded[[#This Row],[gender]], "male", "Male", "female", "Female")</f>
        <v>Male</v>
      </c>
    </row>
    <row r="1097" spans="1:17" x14ac:dyDescent="0.35">
      <c r="A1097">
        <v>16</v>
      </c>
      <c r="B1097" t="s">
        <v>13</v>
      </c>
      <c r="C1097" s="4">
        <v>4.8</v>
      </c>
      <c r="D1097" t="s">
        <v>14</v>
      </c>
      <c r="E1097" s="4">
        <v>8.6</v>
      </c>
      <c r="F1097" s="4">
        <v>1.8</v>
      </c>
      <c r="G1097">
        <v>2.44</v>
      </c>
      <c r="H1097">
        <v>1.7</v>
      </c>
      <c r="I1097" t="s">
        <v>18</v>
      </c>
      <c r="J1097">
        <v>8</v>
      </c>
      <c r="K1097">
        <v>7</v>
      </c>
      <c r="L1097">
        <v>3</v>
      </c>
      <c r="M1097">
        <v>0</v>
      </c>
      <c r="N1097">
        <f>_xlfn.IFS(rounded[[#This Row],[social_interaction_level]] = "low", 1,rounded[[#This Row],[social_interaction_level]] = "medium", 2,rounded[[#This Row],[social_interaction_level]] = "high", 3)</f>
        <v>3</v>
      </c>
      <c r="O1097">
        <f t="shared" si="17"/>
        <v>18</v>
      </c>
      <c r="P1097" t="str" cm="1">
        <f t="array" ref="P1097">_xlfn.SWITCH(rounded[[#This Row],[depression_label]], 0, "Not Depressed", 1, "Depressed")</f>
        <v>Not Depressed</v>
      </c>
      <c r="Q1097" s="45" t="str" cm="1">
        <f t="array" ref="Q1097">_xlfn.SWITCH(rounded[[#This Row],[gender]], "male", "Male", "female", "Female")</f>
        <v>Male</v>
      </c>
    </row>
    <row r="1098" spans="1:17" x14ac:dyDescent="0.35">
      <c r="A1098">
        <v>13</v>
      </c>
      <c r="B1098" t="s">
        <v>13</v>
      </c>
      <c r="C1098" s="4">
        <v>5.8</v>
      </c>
      <c r="D1098" t="s">
        <v>17</v>
      </c>
      <c r="E1098" s="4">
        <v>7.2</v>
      </c>
      <c r="F1098" s="4">
        <v>1.1000000000000001</v>
      </c>
      <c r="G1098">
        <v>2.69</v>
      </c>
      <c r="H1098">
        <v>0.4</v>
      </c>
      <c r="I1098" t="s">
        <v>15</v>
      </c>
      <c r="J1098">
        <v>7</v>
      </c>
      <c r="K1098">
        <v>3</v>
      </c>
      <c r="L1098">
        <v>7</v>
      </c>
      <c r="M1098">
        <v>0</v>
      </c>
      <c r="N1098">
        <f>_xlfn.IFS(rounded[[#This Row],[social_interaction_level]] = "low", 1,rounded[[#This Row],[social_interaction_level]] = "medium", 2,rounded[[#This Row],[social_interaction_level]] = "high", 3)</f>
        <v>1</v>
      </c>
      <c r="O1098">
        <f t="shared" si="17"/>
        <v>17</v>
      </c>
      <c r="P1098" t="str" cm="1">
        <f t="array" ref="P1098">_xlfn.SWITCH(rounded[[#This Row],[depression_label]], 0, "Not Depressed", 1, "Depressed")</f>
        <v>Not Depressed</v>
      </c>
      <c r="Q1098" s="45" t="str" cm="1">
        <f t="array" ref="Q1098">_xlfn.SWITCH(rounded[[#This Row],[gender]], "male", "Male", "female", "Female")</f>
        <v>Male</v>
      </c>
    </row>
    <row r="1099" spans="1:17" x14ac:dyDescent="0.35">
      <c r="A1099">
        <v>16</v>
      </c>
      <c r="B1099" t="s">
        <v>16</v>
      </c>
      <c r="C1099" s="4">
        <v>6.1</v>
      </c>
      <c r="D1099" t="s">
        <v>20</v>
      </c>
      <c r="E1099" s="4">
        <v>7.5</v>
      </c>
      <c r="F1099" s="4">
        <v>2.5</v>
      </c>
      <c r="G1099">
        <v>3.14</v>
      </c>
      <c r="H1099">
        <v>0.5</v>
      </c>
      <c r="I1099" t="s">
        <v>15</v>
      </c>
      <c r="J1099">
        <v>9</v>
      </c>
      <c r="K1099">
        <v>6</v>
      </c>
      <c r="L1099">
        <v>10</v>
      </c>
      <c r="M1099">
        <v>0</v>
      </c>
      <c r="N1099">
        <f>_xlfn.IFS(rounded[[#This Row],[social_interaction_level]] = "low", 1,rounded[[#This Row],[social_interaction_level]] = "medium", 2,rounded[[#This Row],[social_interaction_level]] = "high", 3)</f>
        <v>1</v>
      </c>
      <c r="O1099">
        <f t="shared" si="17"/>
        <v>25</v>
      </c>
      <c r="P1099" t="str" cm="1">
        <f t="array" ref="P1099">_xlfn.SWITCH(rounded[[#This Row],[depression_label]], 0, "Not Depressed", 1, "Depressed")</f>
        <v>Not Depressed</v>
      </c>
      <c r="Q1099" s="45" t="str" cm="1">
        <f t="array" ref="Q1099">_xlfn.SWITCH(rounded[[#This Row],[gender]], "male", "Male", "female", "Female")</f>
        <v>Female</v>
      </c>
    </row>
    <row r="1100" spans="1:17" x14ac:dyDescent="0.35">
      <c r="A1100">
        <v>14</v>
      </c>
      <c r="B1100" t="s">
        <v>16</v>
      </c>
      <c r="C1100" s="4">
        <v>4.3</v>
      </c>
      <c r="D1100" t="s">
        <v>20</v>
      </c>
      <c r="E1100" s="4">
        <v>7.8</v>
      </c>
      <c r="F1100" s="4">
        <v>0.5</v>
      </c>
      <c r="G1100">
        <v>3.92</v>
      </c>
      <c r="H1100">
        <v>0.7</v>
      </c>
      <c r="I1100" t="s">
        <v>18</v>
      </c>
      <c r="J1100">
        <v>3</v>
      </c>
      <c r="K1100">
        <v>4</v>
      </c>
      <c r="L1100">
        <v>8</v>
      </c>
      <c r="M1100">
        <v>0</v>
      </c>
      <c r="N1100">
        <f>_xlfn.IFS(rounded[[#This Row],[social_interaction_level]] = "low", 1,rounded[[#This Row],[social_interaction_level]] = "medium", 2,rounded[[#This Row],[social_interaction_level]] = "high", 3)</f>
        <v>3</v>
      </c>
      <c r="O1100">
        <f t="shared" si="17"/>
        <v>15</v>
      </c>
      <c r="P1100" t="str" cm="1">
        <f t="array" ref="P1100">_xlfn.SWITCH(rounded[[#This Row],[depression_label]], 0, "Not Depressed", 1, "Depressed")</f>
        <v>Not Depressed</v>
      </c>
      <c r="Q1100" s="45" t="str" cm="1">
        <f t="array" ref="Q1100">_xlfn.SWITCH(rounded[[#This Row],[gender]], "male", "Male", "female", "Female")</f>
        <v>Female</v>
      </c>
    </row>
    <row r="1101" spans="1:17" x14ac:dyDescent="0.35">
      <c r="A1101">
        <v>15</v>
      </c>
      <c r="B1101" t="s">
        <v>16</v>
      </c>
      <c r="C1101" s="4">
        <v>7.8</v>
      </c>
      <c r="D1101" t="s">
        <v>14</v>
      </c>
      <c r="E1101" s="4">
        <v>4.5999999999999996</v>
      </c>
      <c r="F1101" s="4">
        <v>3</v>
      </c>
      <c r="G1101">
        <v>2.44</v>
      </c>
      <c r="H1101">
        <v>1.4</v>
      </c>
      <c r="I1101" t="s">
        <v>19</v>
      </c>
      <c r="J1101">
        <v>8</v>
      </c>
      <c r="K1101">
        <v>10</v>
      </c>
      <c r="L1101">
        <v>6</v>
      </c>
      <c r="M1101">
        <v>1</v>
      </c>
      <c r="N1101">
        <f>_xlfn.IFS(rounded[[#This Row],[social_interaction_level]] = "low", 1,rounded[[#This Row],[social_interaction_level]] = "medium", 2,rounded[[#This Row],[social_interaction_level]] = "high", 3)</f>
        <v>2</v>
      </c>
      <c r="O1101">
        <f t="shared" si="17"/>
        <v>24</v>
      </c>
      <c r="P1101" t="str" cm="1">
        <f t="array" ref="P1101">_xlfn.SWITCH(rounded[[#This Row],[depression_label]], 0, "Not Depressed", 1, "Depressed")</f>
        <v>Depressed</v>
      </c>
      <c r="Q1101" s="45" t="str" cm="1">
        <f t="array" ref="Q1101">_xlfn.SWITCH(rounded[[#This Row],[gender]], "male", "Male", "female", "Female")</f>
        <v>Female</v>
      </c>
    </row>
    <row r="1102" spans="1:17" x14ac:dyDescent="0.35">
      <c r="A1102">
        <v>15</v>
      </c>
      <c r="B1102" t="s">
        <v>16</v>
      </c>
      <c r="C1102" s="4">
        <v>5.2</v>
      </c>
      <c r="D1102" t="s">
        <v>17</v>
      </c>
      <c r="E1102" s="4">
        <v>7.5</v>
      </c>
      <c r="F1102" s="4">
        <v>1.1000000000000001</v>
      </c>
      <c r="G1102">
        <v>3.61</v>
      </c>
      <c r="H1102">
        <v>0.1</v>
      </c>
      <c r="I1102" t="s">
        <v>15</v>
      </c>
      <c r="J1102">
        <v>4</v>
      </c>
      <c r="K1102">
        <v>6</v>
      </c>
      <c r="L1102">
        <v>7</v>
      </c>
      <c r="M1102">
        <v>0</v>
      </c>
      <c r="N1102">
        <f>_xlfn.IFS(rounded[[#This Row],[social_interaction_level]] = "low", 1,rounded[[#This Row],[social_interaction_level]] = "medium", 2,rounded[[#This Row],[social_interaction_level]] = "high", 3)</f>
        <v>1</v>
      </c>
      <c r="O1102">
        <f t="shared" si="17"/>
        <v>17</v>
      </c>
      <c r="P1102" t="str" cm="1">
        <f t="array" ref="P1102">_xlfn.SWITCH(rounded[[#This Row],[depression_label]], 0, "Not Depressed", 1, "Depressed")</f>
        <v>Not Depressed</v>
      </c>
      <c r="Q1102" s="45" t="str" cm="1">
        <f t="array" ref="Q1102">_xlfn.SWITCH(rounded[[#This Row],[gender]], "male", "Male", "female", "Female")</f>
        <v>Female</v>
      </c>
    </row>
    <row r="1103" spans="1:17" x14ac:dyDescent="0.35">
      <c r="A1103">
        <v>17</v>
      </c>
      <c r="B1103" t="s">
        <v>13</v>
      </c>
      <c r="C1103" s="4">
        <v>3.5</v>
      </c>
      <c r="D1103" t="s">
        <v>14</v>
      </c>
      <c r="E1103" s="4">
        <v>4.3</v>
      </c>
      <c r="F1103" s="4">
        <v>2.2000000000000002</v>
      </c>
      <c r="G1103">
        <v>3.19</v>
      </c>
      <c r="H1103">
        <v>1</v>
      </c>
      <c r="I1103" t="s">
        <v>18</v>
      </c>
      <c r="J1103">
        <v>4</v>
      </c>
      <c r="K1103">
        <v>5</v>
      </c>
      <c r="L1103">
        <v>9</v>
      </c>
      <c r="M1103">
        <v>0</v>
      </c>
      <c r="N1103">
        <f>_xlfn.IFS(rounded[[#This Row],[social_interaction_level]] = "low", 1,rounded[[#This Row],[social_interaction_level]] = "medium", 2,rounded[[#This Row],[social_interaction_level]] = "high", 3)</f>
        <v>3</v>
      </c>
      <c r="O1103">
        <f t="shared" si="17"/>
        <v>18</v>
      </c>
      <c r="P1103" t="str" cm="1">
        <f t="array" ref="P1103">_xlfn.SWITCH(rounded[[#This Row],[depression_label]], 0, "Not Depressed", 1, "Depressed")</f>
        <v>Not Depressed</v>
      </c>
      <c r="Q1103" s="45" t="str" cm="1">
        <f t="array" ref="Q1103">_xlfn.SWITCH(rounded[[#This Row],[gender]], "male", "Male", "female", "Female")</f>
        <v>Male</v>
      </c>
    </row>
    <row r="1104" spans="1:17" x14ac:dyDescent="0.35">
      <c r="A1104">
        <v>16</v>
      </c>
      <c r="B1104" t="s">
        <v>16</v>
      </c>
      <c r="C1104" s="4">
        <v>6.5</v>
      </c>
      <c r="D1104" t="s">
        <v>17</v>
      </c>
      <c r="E1104" s="4">
        <v>4.5999999999999996</v>
      </c>
      <c r="F1104" s="4">
        <v>1.8</v>
      </c>
      <c r="G1104">
        <v>2.2000000000000002</v>
      </c>
      <c r="H1104">
        <v>1.2</v>
      </c>
      <c r="I1104" t="s">
        <v>15</v>
      </c>
      <c r="J1104">
        <v>7</v>
      </c>
      <c r="K1104">
        <v>4</v>
      </c>
      <c r="L1104">
        <v>4</v>
      </c>
      <c r="M1104">
        <v>0</v>
      </c>
      <c r="N1104">
        <f>_xlfn.IFS(rounded[[#This Row],[social_interaction_level]] = "low", 1,rounded[[#This Row],[social_interaction_level]] = "medium", 2,rounded[[#This Row],[social_interaction_level]] = "high", 3)</f>
        <v>1</v>
      </c>
      <c r="O1104">
        <f t="shared" si="17"/>
        <v>15</v>
      </c>
      <c r="P1104" t="str" cm="1">
        <f t="array" ref="P1104">_xlfn.SWITCH(rounded[[#This Row],[depression_label]], 0, "Not Depressed", 1, "Depressed")</f>
        <v>Not Depressed</v>
      </c>
      <c r="Q1104" s="45" t="str" cm="1">
        <f t="array" ref="Q1104">_xlfn.SWITCH(rounded[[#This Row],[gender]], "male", "Male", "female", "Female")</f>
        <v>Female</v>
      </c>
    </row>
    <row r="1105" spans="1:17" x14ac:dyDescent="0.35">
      <c r="A1105">
        <v>17</v>
      </c>
      <c r="B1105" t="s">
        <v>13</v>
      </c>
      <c r="C1105" s="4">
        <v>4.7</v>
      </c>
      <c r="D1105" t="s">
        <v>17</v>
      </c>
      <c r="E1105" s="4">
        <v>7.2</v>
      </c>
      <c r="F1105" s="4">
        <v>2.7</v>
      </c>
      <c r="G1105">
        <v>2.06</v>
      </c>
      <c r="H1105">
        <v>1.4</v>
      </c>
      <c r="I1105" t="s">
        <v>15</v>
      </c>
      <c r="J1105">
        <v>3</v>
      </c>
      <c r="K1105">
        <v>1</v>
      </c>
      <c r="L1105">
        <v>4</v>
      </c>
      <c r="M1105">
        <v>0</v>
      </c>
      <c r="N1105">
        <f>_xlfn.IFS(rounded[[#This Row],[social_interaction_level]] = "low", 1,rounded[[#This Row],[social_interaction_level]] = "medium", 2,rounded[[#This Row],[social_interaction_level]] = "high", 3)</f>
        <v>1</v>
      </c>
      <c r="O1105">
        <f t="shared" si="17"/>
        <v>8</v>
      </c>
      <c r="P1105" t="str" cm="1">
        <f t="array" ref="P1105">_xlfn.SWITCH(rounded[[#This Row],[depression_label]], 0, "Not Depressed", 1, "Depressed")</f>
        <v>Not Depressed</v>
      </c>
      <c r="Q1105" s="45" t="str" cm="1">
        <f t="array" ref="Q1105">_xlfn.SWITCH(rounded[[#This Row],[gender]], "male", "Male", "female", "Female")</f>
        <v>Male</v>
      </c>
    </row>
    <row r="1106" spans="1:17" x14ac:dyDescent="0.35">
      <c r="A1106">
        <v>13</v>
      </c>
      <c r="B1106" t="s">
        <v>13</v>
      </c>
      <c r="C1106" s="4">
        <v>2.5</v>
      </c>
      <c r="D1106" t="s">
        <v>14</v>
      </c>
      <c r="E1106" s="4">
        <v>6.3</v>
      </c>
      <c r="F1106" s="4">
        <v>1.8</v>
      </c>
      <c r="G1106">
        <v>2.2000000000000002</v>
      </c>
      <c r="H1106">
        <v>0.1</v>
      </c>
      <c r="I1106" t="s">
        <v>18</v>
      </c>
      <c r="J1106">
        <v>9</v>
      </c>
      <c r="K1106">
        <v>3</v>
      </c>
      <c r="L1106">
        <v>9</v>
      </c>
      <c r="M1106">
        <v>0</v>
      </c>
      <c r="N1106">
        <f>_xlfn.IFS(rounded[[#This Row],[social_interaction_level]] = "low", 1,rounded[[#This Row],[social_interaction_level]] = "medium", 2,rounded[[#This Row],[social_interaction_level]] = "high", 3)</f>
        <v>3</v>
      </c>
      <c r="O1106">
        <f t="shared" si="17"/>
        <v>21</v>
      </c>
      <c r="P1106" t="str" cm="1">
        <f t="array" ref="P1106">_xlfn.SWITCH(rounded[[#This Row],[depression_label]], 0, "Not Depressed", 1, "Depressed")</f>
        <v>Not Depressed</v>
      </c>
      <c r="Q1106" s="45" t="str" cm="1">
        <f t="array" ref="Q1106">_xlfn.SWITCH(rounded[[#This Row],[gender]], "male", "Male", "female", "Female")</f>
        <v>Male</v>
      </c>
    </row>
    <row r="1107" spans="1:17" x14ac:dyDescent="0.35">
      <c r="A1107">
        <v>19</v>
      </c>
      <c r="B1107" t="s">
        <v>16</v>
      </c>
      <c r="C1107" s="4">
        <v>5.5</v>
      </c>
      <c r="D1107" t="s">
        <v>17</v>
      </c>
      <c r="E1107" s="4">
        <v>7.4</v>
      </c>
      <c r="F1107" s="4">
        <v>2</v>
      </c>
      <c r="G1107">
        <v>2.8</v>
      </c>
      <c r="H1107">
        <v>1.8</v>
      </c>
      <c r="I1107" t="s">
        <v>18</v>
      </c>
      <c r="J1107">
        <v>9</v>
      </c>
      <c r="K1107">
        <v>8</v>
      </c>
      <c r="L1107">
        <v>10</v>
      </c>
      <c r="M1107">
        <v>0</v>
      </c>
      <c r="N1107">
        <f>_xlfn.IFS(rounded[[#This Row],[social_interaction_level]] = "low", 1,rounded[[#This Row],[social_interaction_level]] = "medium", 2,rounded[[#This Row],[social_interaction_level]] = "high", 3)</f>
        <v>3</v>
      </c>
      <c r="O1107">
        <f t="shared" si="17"/>
        <v>27</v>
      </c>
      <c r="P1107" t="str" cm="1">
        <f t="array" ref="P1107">_xlfn.SWITCH(rounded[[#This Row],[depression_label]], 0, "Not Depressed", 1, "Depressed")</f>
        <v>Not Depressed</v>
      </c>
      <c r="Q1107" s="45" t="str" cm="1">
        <f t="array" ref="Q1107">_xlfn.SWITCH(rounded[[#This Row],[gender]], "male", "Male", "female", "Female")</f>
        <v>Female</v>
      </c>
    </row>
    <row r="1108" spans="1:17" x14ac:dyDescent="0.35">
      <c r="A1108">
        <v>15</v>
      </c>
      <c r="B1108" t="s">
        <v>16</v>
      </c>
      <c r="C1108" s="4">
        <v>3.5</v>
      </c>
      <c r="D1108" t="s">
        <v>14</v>
      </c>
      <c r="E1108" s="4">
        <v>8</v>
      </c>
      <c r="F1108" s="4">
        <v>1.9</v>
      </c>
      <c r="G1108">
        <v>3.45</v>
      </c>
      <c r="H1108">
        <v>1.5</v>
      </c>
      <c r="I1108" t="s">
        <v>18</v>
      </c>
      <c r="J1108">
        <v>10</v>
      </c>
      <c r="K1108">
        <v>4</v>
      </c>
      <c r="L1108">
        <v>1</v>
      </c>
      <c r="M1108">
        <v>0</v>
      </c>
      <c r="N1108">
        <f>_xlfn.IFS(rounded[[#This Row],[social_interaction_level]] = "low", 1,rounded[[#This Row],[social_interaction_level]] = "medium", 2,rounded[[#This Row],[social_interaction_level]] = "high", 3)</f>
        <v>3</v>
      </c>
      <c r="O1108">
        <f t="shared" si="17"/>
        <v>15</v>
      </c>
      <c r="P1108" t="str" cm="1">
        <f t="array" ref="P1108">_xlfn.SWITCH(rounded[[#This Row],[depression_label]], 0, "Not Depressed", 1, "Depressed")</f>
        <v>Not Depressed</v>
      </c>
      <c r="Q1108" s="45" t="str" cm="1">
        <f t="array" ref="Q1108">_xlfn.SWITCH(rounded[[#This Row],[gender]], "male", "Male", "female", "Female")</f>
        <v>Female</v>
      </c>
    </row>
    <row r="1109" spans="1:17" x14ac:dyDescent="0.35">
      <c r="A1109">
        <v>14</v>
      </c>
      <c r="B1109" t="s">
        <v>16</v>
      </c>
      <c r="C1109" s="4">
        <v>4.5999999999999996</v>
      </c>
      <c r="D1109" t="s">
        <v>17</v>
      </c>
      <c r="E1109" s="4">
        <v>7</v>
      </c>
      <c r="F1109" s="4">
        <v>1.6</v>
      </c>
      <c r="G1109">
        <v>2.74</v>
      </c>
      <c r="H1109">
        <v>0.9</v>
      </c>
      <c r="I1109" t="s">
        <v>15</v>
      </c>
      <c r="J1109">
        <v>3</v>
      </c>
      <c r="K1109">
        <v>2</v>
      </c>
      <c r="L1109">
        <v>9</v>
      </c>
      <c r="M1109">
        <v>0</v>
      </c>
      <c r="N1109">
        <f>_xlfn.IFS(rounded[[#This Row],[social_interaction_level]] = "low", 1,rounded[[#This Row],[social_interaction_level]] = "medium", 2,rounded[[#This Row],[social_interaction_level]] = "high", 3)</f>
        <v>1</v>
      </c>
      <c r="O1109">
        <f t="shared" si="17"/>
        <v>14</v>
      </c>
      <c r="P1109" t="str" cm="1">
        <f t="array" ref="P1109">_xlfn.SWITCH(rounded[[#This Row],[depression_label]], 0, "Not Depressed", 1, "Depressed")</f>
        <v>Not Depressed</v>
      </c>
      <c r="Q1109" s="45" t="str" cm="1">
        <f t="array" ref="Q1109">_xlfn.SWITCH(rounded[[#This Row],[gender]], "male", "Male", "female", "Female")</f>
        <v>Female</v>
      </c>
    </row>
    <row r="1110" spans="1:17" x14ac:dyDescent="0.35">
      <c r="A1110">
        <v>13</v>
      </c>
      <c r="B1110" t="s">
        <v>16</v>
      </c>
      <c r="C1110" s="4">
        <v>3.5</v>
      </c>
      <c r="D1110" t="s">
        <v>14</v>
      </c>
      <c r="E1110" s="4">
        <v>6.9</v>
      </c>
      <c r="F1110" s="4">
        <v>1.6</v>
      </c>
      <c r="G1110">
        <v>2.08</v>
      </c>
      <c r="H1110">
        <v>0.7</v>
      </c>
      <c r="I1110" t="s">
        <v>15</v>
      </c>
      <c r="J1110">
        <v>9</v>
      </c>
      <c r="K1110">
        <v>9</v>
      </c>
      <c r="L1110">
        <v>9</v>
      </c>
      <c r="M1110">
        <v>0</v>
      </c>
      <c r="N1110">
        <f>_xlfn.IFS(rounded[[#This Row],[social_interaction_level]] = "low", 1,rounded[[#This Row],[social_interaction_level]] = "medium", 2,rounded[[#This Row],[social_interaction_level]] = "high", 3)</f>
        <v>1</v>
      </c>
      <c r="O1110">
        <f t="shared" si="17"/>
        <v>27</v>
      </c>
      <c r="P1110" t="str" cm="1">
        <f t="array" ref="P1110">_xlfn.SWITCH(rounded[[#This Row],[depression_label]], 0, "Not Depressed", 1, "Depressed")</f>
        <v>Not Depressed</v>
      </c>
      <c r="Q1110" s="45" t="str" cm="1">
        <f t="array" ref="Q1110">_xlfn.SWITCH(rounded[[#This Row],[gender]], "male", "Male", "female", "Female")</f>
        <v>Female</v>
      </c>
    </row>
    <row r="1111" spans="1:17" x14ac:dyDescent="0.35">
      <c r="A1111">
        <v>19</v>
      </c>
      <c r="B1111" t="s">
        <v>13</v>
      </c>
      <c r="C1111" s="4">
        <v>1.6</v>
      </c>
      <c r="D1111" t="s">
        <v>17</v>
      </c>
      <c r="E1111" s="4">
        <v>8.6</v>
      </c>
      <c r="F1111" s="4">
        <v>1.4</v>
      </c>
      <c r="G1111">
        <v>2.69</v>
      </c>
      <c r="H1111">
        <v>1.6</v>
      </c>
      <c r="I1111" t="s">
        <v>19</v>
      </c>
      <c r="J1111">
        <v>4</v>
      </c>
      <c r="K1111">
        <v>3</v>
      </c>
      <c r="L1111">
        <v>4</v>
      </c>
      <c r="M1111">
        <v>0</v>
      </c>
      <c r="N1111">
        <f>_xlfn.IFS(rounded[[#This Row],[social_interaction_level]] = "low", 1,rounded[[#This Row],[social_interaction_level]] = "medium", 2,rounded[[#This Row],[social_interaction_level]] = "high", 3)</f>
        <v>2</v>
      </c>
      <c r="O1111">
        <f t="shared" si="17"/>
        <v>11</v>
      </c>
      <c r="P1111" t="str" cm="1">
        <f t="array" ref="P1111">_xlfn.SWITCH(rounded[[#This Row],[depression_label]], 0, "Not Depressed", 1, "Depressed")</f>
        <v>Not Depressed</v>
      </c>
      <c r="Q1111" s="45" t="str" cm="1">
        <f t="array" ref="Q1111">_xlfn.SWITCH(rounded[[#This Row],[gender]], "male", "Male", "female", "Female")</f>
        <v>Male</v>
      </c>
    </row>
    <row r="1112" spans="1:17" x14ac:dyDescent="0.35">
      <c r="A1112">
        <v>13</v>
      </c>
      <c r="B1112" t="s">
        <v>16</v>
      </c>
      <c r="C1112" s="4">
        <v>3.2</v>
      </c>
      <c r="D1112" t="s">
        <v>20</v>
      </c>
      <c r="E1112" s="4">
        <v>5.9</v>
      </c>
      <c r="F1112" s="4">
        <v>0.7</v>
      </c>
      <c r="G1112">
        <v>3.98</v>
      </c>
      <c r="H1112">
        <v>0.8</v>
      </c>
      <c r="I1112" t="s">
        <v>15</v>
      </c>
      <c r="J1112">
        <v>6</v>
      </c>
      <c r="K1112">
        <v>8</v>
      </c>
      <c r="L1112">
        <v>1</v>
      </c>
      <c r="M1112">
        <v>0</v>
      </c>
      <c r="N1112">
        <f>_xlfn.IFS(rounded[[#This Row],[social_interaction_level]] = "low", 1,rounded[[#This Row],[social_interaction_level]] = "medium", 2,rounded[[#This Row],[social_interaction_level]] = "high", 3)</f>
        <v>1</v>
      </c>
      <c r="O1112">
        <f t="shared" si="17"/>
        <v>15</v>
      </c>
      <c r="P1112" t="str" cm="1">
        <f t="array" ref="P1112">_xlfn.SWITCH(rounded[[#This Row],[depression_label]], 0, "Not Depressed", 1, "Depressed")</f>
        <v>Not Depressed</v>
      </c>
      <c r="Q1112" s="45" t="str" cm="1">
        <f t="array" ref="Q1112">_xlfn.SWITCH(rounded[[#This Row],[gender]], "male", "Male", "female", "Female")</f>
        <v>Female</v>
      </c>
    </row>
    <row r="1113" spans="1:17" x14ac:dyDescent="0.35">
      <c r="A1113">
        <v>19</v>
      </c>
      <c r="B1113" t="s">
        <v>16</v>
      </c>
      <c r="C1113" s="4">
        <v>1.7</v>
      </c>
      <c r="D1113" t="s">
        <v>20</v>
      </c>
      <c r="E1113" s="4">
        <v>7</v>
      </c>
      <c r="F1113" s="4">
        <v>2.7</v>
      </c>
      <c r="G1113">
        <v>2.0699999999999998</v>
      </c>
      <c r="H1113">
        <v>0.5</v>
      </c>
      <c r="I1113" t="s">
        <v>18</v>
      </c>
      <c r="J1113">
        <v>6</v>
      </c>
      <c r="K1113">
        <v>4</v>
      </c>
      <c r="L1113">
        <v>10</v>
      </c>
      <c r="M1113">
        <v>0</v>
      </c>
      <c r="N1113">
        <f>_xlfn.IFS(rounded[[#This Row],[social_interaction_level]] = "low", 1,rounded[[#This Row],[social_interaction_level]] = "medium", 2,rounded[[#This Row],[social_interaction_level]] = "high", 3)</f>
        <v>3</v>
      </c>
      <c r="O1113">
        <f t="shared" si="17"/>
        <v>20</v>
      </c>
      <c r="P1113" t="str" cm="1">
        <f t="array" ref="P1113">_xlfn.SWITCH(rounded[[#This Row],[depression_label]], 0, "Not Depressed", 1, "Depressed")</f>
        <v>Not Depressed</v>
      </c>
      <c r="Q1113" s="45" t="str" cm="1">
        <f t="array" ref="Q1113">_xlfn.SWITCH(rounded[[#This Row],[gender]], "male", "Male", "female", "Female")</f>
        <v>Female</v>
      </c>
    </row>
    <row r="1114" spans="1:17" x14ac:dyDescent="0.35">
      <c r="A1114">
        <v>14</v>
      </c>
      <c r="B1114" t="s">
        <v>13</v>
      </c>
      <c r="C1114" s="4">
        <v>6.4</v>
      </c>
      <c r="D1114" t="s">
        <v>14</v>
      </c>
      <c r="E1114" s="4">
        <v>4.3</v>
      </c>
      <c r="F1114" s="4">
        <v>2.2999999999999998</v>
      </c>
      <c r="G1114">
        <v>3.99</v>
      </c>
      <c r="H1114">
        <v>1.1000000000000001</v>
      </c>
      <c r="I1114" t="s">
        <v>15</v>
      </c>
      <c r="J1114">
        <v>7</v>
      </c>
      <c r="K1114">
        <v>4</v>
      </c>
      <c r="L1114">
        <v>3</v>
      </c>
      <c r="M1114">
        <v>0</v>
      </c>
      <c r="N1114">
        <f>_xlfn.IFS(rounded[[#This Row],[social_interaction_level]] = "low", 1,rounded[[#This Row],[social_interaction_level]] = "medium", 2,rounded[[#This Row],[social_interaction_level]] = "high", 3)</f>
        <v>1</v>
      </c>
      <c r="O1114">
        <f t="shared" si="17"/>
        <v>14</v>
      </c>
      <c r="P1114" t="str" cm="1">
        <f t="array" ref="P1114">_xlfn.SWITCH(rounded[[#This Row],[depression_label]], 0, "Not Depressed", 1, "Depressed")</f>
        <v>Not Depressed</v>
      </c>
      <c r="Q1114" s="45" t="str" cm="1">
        <f t="array" ref="Q1114">_xlfn.SWITCH(rounded[[#This Row],[gender]], "male", "Male", "female", "Female")</f>
        <v>Male</v>
      </c>
    </row>
    <row r="1115" spans="1:17" x14ac:dyDescent="0.35">
      <c r="A1115">
        <v>13</v>
      </c>
      <c r="B1115" t="s">
        <v>16</v>
      </c>
      <c r="C1115" s="4">
        <v>3.3</v>
      </c>
      <c r="D1115" t="s">
        <v>17</v>
      </c>
      <c r="E1115" s="4">
        <v>6.4</v>
      </c>
      <c r="F1115" s="4">
        <v>1</v>
      </c>
      <c r="G1115">
        <v>2.4900000000000002</v>
      </c>
      <c r="H1115">
        <v>1</v>
      </c>
      <c r="I1115" t="s">
        <v>15</v>
      </c>
      <c r="J1115">
        <v>9</v>
      </c>
      <c r="K1115">
        <v>2</v>
      </c>
      <c r="L1115">
        <v>4</v>
      </c>
      <c r="M1115">
        <v>0</v>
      </c>
      <c r="N1115">
        <f>_xlfn.IFS(rounded[[#This Row],[social_interaction_level]] = "low", 1,rounded[[#This Row],[social_interaction_level]] = "medium", 2,rounded[[#This Row],[social_interaction_level]] = "high", 3)</f>
        <v>1</v>
      </c>
      <c r="O1115">
        <f t="shared" si="17"/>
        <v>15</v>
      </c>
      <c r="P1115" t="str" cm="1">
        <f t="array" ref="P1115">_xlfn.SWITCH(rounded[[#This Row],[depression_label]], 0, "Not Depressed", 1, "Depressed")</f>
        <v>Not Depressed</v>
      </c>
      <c r="Q1115" s="45" t="str" cm="1">
        <f t="array" ref="Q1115">_xlfn.SWITCH(rounded[[#This Row],[gender]], "male", "Male", "female", "Female")</f>
        <v>Female</v>
      </c>
    </row>
    <row r="1116" spans="1:17" x14ac:dyDescent="0.35">
      <c r="A1116">
        <v>18</v>
      </c>
      <c r="B1116" t="s">
        <v>13</v>
      </c>
      <c r="C1116" s="4">
        <v>1.2</v>
      </c>
      <c r="D1116" t="s">
        <v>20</v>
      </c>
      <c r="E1116" s="4">
        <v>6.8</v>
      </c>
      <c r="F1116" s="4">
        <v>2.6</v>
      </c>
      <c r="G1116">
        <v>2.85</v>
      </c>
      <c r="H1116">
        <v>1.8</v>
      </c>
      <c r="I1116" t="s">
        <v>19</v>
      </c>
      <c r="J1116">
        <v>4</v>
      </c>
      <c r="K1116">
        <v>3</v>
      </c>
      <c r="L1116">
        <v>9</v>
      </c>
      <c r="M1116">
        <v>0</v>
      </c>
      <c r="N1116">
        <f>_xlfn.IFS(rounded[[#This Row],[social_interaction_level]] = "low", 1,rounded[[#This Row],[social_interaction_level]] = "medium", 2,rounded[[#This Row],[social_interaction_level]] = "high", 3)</f>
        <v>2</v>
      </c>
      <c r="O1116">
        <f t="shared" si="17"/>
        <v>16</v>
      </c>
      <c r="P1116" t="str" cm="1">
        <f t="array" ref="P1116">_xlfn.SWITCH(rounded[[#This Row],[depression_label]], 0, "Not Depressed", 1, "Depressed")</f>
        <v>Not Depressed</v>
      </c>
      <c r="Q1116" s="45" t="str" cm="1">
        <f t="array" ref="Q1116">_xlfn.SWITCH(rounded[[#This Row],[gender]], "male", "Male", "female", "Female")</f>
        <v>Male</v>
      </c>
    </row>
    <row r="1117" spans="1:17" x14ac:dyDescent="0.35">
      <c r="A1117">
        <v>13</v>
      </c>
      <c r="B1117" t="s">
        <v>16</v>
      </c>
      <c r="C1117" s="4">
        <v>2.5</v>
      </c>
      <c r="D1117" t="s">
        <v>20</v>
      </c>
      <c r="E1117" s="4">
        <v>7.8</v>
      </c>
      <c r="F1117" s="4">
        <v>1.4</v>
      </c>
      <c r="G1117">
        <v>3.43</v>
      </c>
      <c r="H1117">
        <v>0.9</v>
      </c>
      <c r="I1117" t="s">
        <v>19</v>
      </c>
      <c r="J1117">
        <v>1</v>
      </c>
      <c r="K1117">
        <v>4</v>
      </c>
      <c r="L1117">
        <v>6</v>
      </c>
      <c r="M1117">
        <v>0</v>
      </c>
      <c r="N1117">
        <f>_xlfn.IFS(rounded[[#This Row],[social_interaction_level]] = "low", 1,rounded[[#This Row],[social_interaction_level]] = "medium", 2,rounded[[#This Row],[social_interaction_level]] = "high", 3)</f>
        <v>2</v>
      </c>
      <c r="O1117">
        <f t="shared" si="17"/>
        <v>11</v>
      </c>
      <c r="P1117" t="str" cm="1">
        <f t="array" ref="P1117">_xlfn.SWITCH(rounded[[#This Row],[depression_label]], 0, "Not Depressed", 1, "Depressed")</f>
        <v>Not Depressed</v>
      </c>
      <c r="Q1117" s="45" t="str" cm="1">
        <f t="array" ref="Q1117">_xlfn.SWITCH(rounded[[#This Row],[gender]], "male", "Male", "female", "Female")</f>
        <v>Female</v>
      </c>
    </row>
    <row r="1118" spans="1:17" x14ac:dyDescent="0.35">
      <c r="A1118">
        <v>16</v>
      </c>
      <c r="B1118" t="s">
        <v>13</v>
      </c>
      <c r="C1118" s="4">
        <v>2.2000000000000002</v>
      </c>
      <c r="D1118" t="s">
        <v>17</v>
      </c>
      <c r="E1118" s="4">
        <v>5.0999999999999996</v>
      </c>
      <c r="F1118" s="4">
        <v>2.2999999999999998</v>
      </c>
      <c r="G1118">
        <v>3.6</v>
      </c>
      <c r="H1118">
        <v>1</v>
      </c>
      <c r="I1118" t="s">
        <v>18</v>
      </c>
      <c r="J1118">
        <v>4</v>
      </c>
      <c r="K1118">
        <v>7</v>
      </c>
      <c r="L1118">
        <v>6</v>
      </c>
      <c r="M1118">
        <v>0</v>
      </c>
      <c r="N1118">
        <f>_xlfn.IFS(rounded[[#This Row],[social_interaction_level]] = "low", 1,rounded[[#This Row],[social_interaction_level]] = "medium", 2,rounded[[#This Row],[social_interaction_level]] = "high", 3)</f>
        <v>3</v>
      </c>
      <c r="O1118">
        <f t="shared" si="17"/>
        <v>17</v>
      </c>
      <c r="P1118" t="str" cm="1">
        <f t="array" ref="P1118">_xlfn.SWITCH(rounded[[#This Row],[depression_label]], 0, "Not Depressed", 1, "Depressed")</f>
        <v>Not Depressed</v>
      </c>
      <c r="Q1118" s="45" t="str" cm="1">
        <f t="array" ref="Q1118">_xlfn.SWITCH(rounded[[#This Row],[gender]], "male", "Male", "female", "Female")</f>
        <v>Male</v>
      </c>
    </row>
    <row r="1119" spans="1:17" x14ac:dyDescent="0.35">
      <c r="A1119">
        <v>18</v>
      </c>
      <c r="B1119" t="s">
        <v>16</v>
      </c>
      <c r="C1119" s="4">
        <v>5.2</v>
      </c>
      <c r="D1119" t="s">
        <v>20</v>
      </c>
      <c r="E1119" s="4">
        <v>7.1</v>
      </c>
      <c r="F1119" s="4">
        <v>1.9</v>
      </c>
      <c r="G1119">
        <v>2.87</v>
      </c>
      <c r="H1119">
        <v>1.7</v>
      </c>
      <c r="I1119" t="s">
        <v>19</v>
      </c>
      <c r="J1119">
        <v>5</v>
      </c>
      <c r="K1119">
        <v>8</v>
      </c>
      <c r="L1119">
        <v>6</v>
      </c>
      <c r="M1119">
        <v>0</v>
      </c>
      <c r="N1119">
        <f>_xlfn.IFS(rounded[[#This Row],[social_interaction_level]] = "low", 1,rounded[[#This Row],[social_interaction_level]] = "medium", 2,rounded[[#This Row],[social_interaction_level]] = "high", 3)</f>
        <v>2</v>
      </c>
      <c r="O1119">
        <f t="shared" si="17"/>
        <v>19</v>
      </c>
      <c r="P1119" t="str" cm="1">
        <f t="array" ref="P1119">_xlfn.SWITCH(rounded[[#This Row],[depression_label]], 0, "Not Depressed", 1, "Depressed")</f>
        <v>Not Depressed</v>
      </c>
      <c r="Q1119" s="45" t="str" cm="1">
        <f t="array" ref="Q1119">_xlfn.SWITCH(rounded[[#This Row],[gender]], "male", "Male", "female", "Female")</f>
        <v>Female</v>
      </c>
    </row>
    <row r="1120" spans="1:17" x14ac:dyDescent="0.35">
      <c r="A1120">
        <v>16</v>
      </c>
      <c r="B1120" t="s">
        <v>13</v>
      </c>
      <c r="C1120" s="4">
        <v>7.9</v>
      </c>
      <c r="D1120" t="s">
        <v>14</v>
      </c>
      <c r="E1120" s="4">
        <v>8.6999999999999993</v>
      </c>
      <c r="F1120" s="4">
        <v>2.5</v>
      </c>
      <c r="G1120">
        <v>2.29</v>
      </c>
      <c r="H1120">
        <v>0.7</v>
      </c>
      <c r="I1120" t="s">
        <v>18</v>
      </c>
      <c r="J1120">
        <v>7</v>
      </c>
      <c r="K1120">
        <v>7</v>
      </c>
      <c r="L1120">
        <v>4</v>
      </c>
      <c r="M1120">
        <v>0</v>
      </c>
      <c r="N1120">
        <f>_xlfn.IFS(rounded[[#This Row],[social_interaction_level]] = "low", 1,rounded[[#This Row],[social_interaction_level]] = "medium", 2,rounded[[#This Row],[social_interaction_level]] = "high", 3)</f>
        <v>3</v>
      </c>
      <c r="O1120">
        <f t="shared" si="17"/>
        <v>18</v>
      </c>
      <c r="P1120" t="str" cm="1">
        <f t="array" ref="P1120">_xlfn.SWITCH(rounded[[#This Row],[depression_label]], 0, "Not Depressed", 1, "Depressed")</f>
        <v>Not Depressed</v>
      </c>
      <c r="Q1120" s="45" t="str" cm="1">
        <f t="array" ref="Q1120">_xlfn.SWITCH(rounded[[#This Row],[gender]], "male", "Male", "female", "Female")</f>
        <v>Male</v>
      </c>
    </row>
    <row r="1121" spans="1:17" x14ac:dyDescent="0.35">
      <c r="A1121">
        <v>18</v>
      </c>
      <c r="B1121" t="s">
        <v>13</v>
      </c>
      <c r="C1121" s="4">
        <v>5.6</v>
      </c>
      <c r="D1121" t="s">
        <v>20</v>
      </c>
      <c r="E1121" s="4">
        <v>8</v>
      </c>
      <c r="F1121" s="4">
        <v>2.4</v>
      </c>
      <c r="G1121">
        <v>2.95</v>
      </c>
      <c r="H1121">
        <v>0</v>
      </c>
      <c r="I1121" t="s">
        <v>15</v>
      </c>
      <c r="J1121">
        <v>2</v>
      </c>
      <c r="K1121">
        <v>10</v>
      </c>
      <c r="L1121">
        <v>3</v>
      </c>
      <c r="M1121">
        <v>0</v>
      </c>
      <c r="N1121">
        <f>_xlfn.IFS(rounded[[#This Row],[social_interaction_level]] = "low", 1,rounded[[#This Row],[social_interaction_level]] = "medium", 2,rounded[[#This Row],[social_interaction_level]] = "high", 3)</f>
        <v>1</v>
      </c>
      <c r="O1121">
        <f t="shared" si="17"/>
        <v>15</v>
      </c>
      <c r="P1121" t="str" cm="1">
        <f t="array" ref="P1121">_xlfn.SWITCH(rounded[[#This Row],[depression_label]], 0, "Not Depressed", 1, "Depressed")</f>
        <v>Not Depressed</v>
      </c>
      <c r="Q1121" s="45" t="str" cm="1">
        <f t="array" ref="Q1121">_xlfn.SWITCH(rounded[[#This Row],[gender]], "male", "Male", "female", "Female")</f>
        <v>Male</v>
      </c>
    </row>
    <row r="1122" spans="1:17" x14ac:dyDescent="0.35">
      <c r="A1122">
        <v>16</v>
      </c>
      <c r="B1122" t="s">
        <v>13</v>
      </c>
      <c r="C1122" s="4">
        <v>3.9</v>
      </c>
      <c r="D1122" t="s">
        <v>17</v>
      </c>
      <c r="E1122" s="4">
        <v>4.2</v>
      </c>
      <c r="F1122" s="4">
        <v>2.1</v>
      </c>
      <c r="G1122">
        <v>2.2799999999999998</v>
      </c>
      <c r="H1122">
        <v>1.1000000000000001</v>
      </c>
      <c r="I1122" t="s">
        <v>19</v>
      </c>
      <c r="J1122">
        <v>6</v>
      </c>
      <c r="K1122">
        <v>5</v>
      </c>
      <c r="L1122">
        <v>7</v>
      </c>
      <c r="M1122">
        <v>0</v>
      </c>
      <c r="N1122">
        <f>_xlfn.IFS(rounded[[#This Row],[social_interaction_level]] = "low", 1,rounded[[#This Row],[social_interaction_level]] = "medium", 2,rounded[[#This Row],[social_interaction_level]] = "high", 3)</f>
        <v>2</v>
      </c>
      <c r="O1122">
        <f t="shared" si="17"/>
        <v>18</v>
      </c>
      <c r="P1122" t="str" cm="1">
        <f t="array" ref="P1122">_xlfn.SWITCH(rounded[[#This Row],[depression_label]], 0, "Not Depressed", 1, "Depressed")</f>
        <v>Not Depressed</v>
      </c>
      <c r="Q1122" s="45" t="str" cm="1">
        <f t="array" ref="Q1122">_xlfn.SWITCH(rounded[[#This Row],[gender]], "male", "Male", "female", "Female")</f>
        <v>Male</v>
      </c>
    </row>
    <row r="1123" spans="1:17" x14ac:dyDescent="0.35">
      <c r="A1123">
        <v>18</v>
      </c>
      <c r="B1123" t="s">
        <v>16</v>
      </c>
      <c r="C1123" s="4">
        <v>1.8</v>
      </c>
      <c r="D1123" t="s">
        <v>17</v>
      </c>
      <c r="E1123" s="4">
        <v>6.1</v>
      </c>
      <c r="F1123" s="4">
        <v>2.7</v>
      </c>
      <c r="G1123">
        <v>2.86</v>
      </c>
      <c r="H1123">
        <v>1.1000000000000001</v>
      </c>
      <c r="I1123" t="s">
        <v>15</v>
      </c>
      <c r="J1123">
        <v>4</v>
      </c>
      <c r="K1123">
        <v>2</v>
      </c>
      <c r="L1123">
        <v>4</v>
      </c>
      <c r="M1123">
        <v>0</v>
      </c>
      <c r="N1123">
        <f>_xlfn.IFS(rounded[[#This Row],[social_interaction_level]] = "low", 1,rounded[[#This Row],[social_interaction_level]] = "medium", 2,rounded[[#This Row],[social_interaction_level]] = "high", 3)</f>
        <v>1</v>
      </c>
      <c r="O1123">
        <f t="shared" si="17"/>
        <v>10</v>
      </c>
      <c r="P1123" t="str" cm="1">
        <f t="array" ref="P1123">_xlfn.SWITCH(rounded[[#This Row],[depression_label]], 0, "Not Depressed", 1, "Depressed")</f>
        <v>Not Depressed</v>
      </c>
      <c r="Q1123" s="45" t="str" cm="1">
        <f t="array" ref="Q1123">_xlfn.SWITCH(rounded[[#This Row],[gender]], "male", "Male", "female", "Female")</f>
        <v>Female</v>
      </c>
    </row>
    <row r="1124" spans="1:17" x14ac:dyDescent="0.35">
      <c r="A1124">
        <v>18</v>
      </c>
      <c r="B1124" t="s">
        <v>16</v>
      </c>
      <c r="C1124" s="4">
        <v>5.8</v>
      </c>
      <c r="D1124" t="s">
        <v>20</v>
      </c>
      <c r="E1124" s="4">
        <v>5.0999999999999996</v>
      </c>
      <c r="F1124" s="4">
        <v>1.2</v>
      </c>
      <c r="G1124">
        <v>3.24</v>
      </c>
      <c r="H1124">
        <v>0.4</v>
      </c>
      <c r="I1124" t="s">
        <v>18</v>
      </c>
      <c r="J1124">
        <v>5</v>
      </c>
      <c r="K1124">
        <v>9</v>
      </c>
      <c r="L1124">
        <v>2</v>
      </c>
      <c r="M1124">
        <v>0</v>
      </c>
      <c r="N1124">
        <f>_xlfn.IFS(rounded[[#This Row],[social_interaction_level]] = "low", 1,rounded[[#This Row],[social_interaction_level]] = "medium", 2,rounded[[#This Row],[social_interaction_level]] = "high", 3)</f>
        <v>3</v>
      </c>
      <c r="O1124">
        <f t="shared" si="17"/>
        <v>16</v>
      </c>
      <c r="P1124" t="str" cm="1">
        <f t="array" ref="P1124">_xlfn.SWITCH(rounded[[#This Row],[depression_label]], 0, "Not Depressed", 1, "Depressed")</f>
        <v>Not Depressed</v>
      </c>
      <c r="Q1124" s="45" t="str" cm="1">
        <f t="array" ref="Q1124">_xlfn.SWITCH(rounded[[#This Row],[gender]], "male", "Male", "female", "Female")</f>
        <v>Female</v>
      </c>
    </row>
    <row r="1125" spans="1:17" x14ac:dyDescent="0.35">
      <c r="A1125">
        <v>18</v>
      </c>
      <c r="B1125" t="s">
        <v>16</v>
      </c>
      <c r="C1125" s="4">
        <v>2.2000000000000002</v>
      </c>
      <c r="D1125" t="s">
        <v>14</v>
      </c>
      <c r="E1125" s="4">
        <v>4.4000000000000004</v>
      </c>
      <c r="F1125" s="4">
        <v>1.7</v>
      </c>
      <c r="G1125">
        <v>2.86</v>
      </c>
      <c r="H1125">
        <v>1.1000000000000001</v>
      </c>
      <c r="I1125" t="s">
        <v>18</v>
      </c>
      <c r="J1125">
        <v>8</v>
      </c>
      <c r="K1125">
        <v>9</v>
      </c>
      <c r="L1125">
        <v>7</v>
      </c>
      <c r="M1125">
        <v>0</v>
      </c>
      <c r="N1125">
        <f>_xlfn.IFS(rounded[[#This Row],[social_interaction_level]] = "low", 1,rounded[[#This Row],[social_interaction_level]] = "medium", 2,rounded[[#This Row],[social_interaction_level]] = "high", 3)</f>
        <v>3</v>
      </c>
      <c r="O1125">
        <f t="shared" si="17"/>
        <v>24</v>
      </c>
      <c r="P1125" t="str" cm="1">
        <f t="array" ref="P1125">_xlfn.SWITCH(rounded[[#This Row],[depression_label]], 0, "Not Depressed", 1, "Depressed")</f>
        <v>Not Depressed</v>
      </c>
      <c r="Q1125" s="45" t="str" cm="1">
        <f t="array" ref="Q1125">_xlfn.SWITCH(rounded[[#This Row],[gender]], "male", "Male", "female", "Female")</f>
        <v>Female</v>
      </c>
    </row>
    <row r="1126" spans="1:17" x14ac:dyDescent="0.35">
      <c r="A1126">
        <v>17</v>
      </c>
      <c r="B1126" t="s">
        <v>13</v>
      </c>
      <c r="C1126" s="4">
        <v>6.9</v>
      </c>
      <c r="D1126" t="s">
        <v>20</v>
      </c>
      <c r="E1126" s="4">
        <v>4.5999999999999996</v>
      </c>
      <c r="F1126" s="4">
        <v>2.5</v>
      </c>
      <c r="G1126">
        <v>2.04</v>
      </c>
      <c r="H1126">
        <v>0.8</v>
      </c>
      <c r="I1126" t="s">
        <v>18</v>
      </c>
      <c r="J1126">
        <v>10</v>
      </c>
      <c r="K1126">
        <v>9</v>
      </c>
      <c r="L1126">
        <v>2</v>
      </c>
      <c r="M1126">
        <v>1</v>
      </c>
      <c r="N1126">
        <f>_xlfn.IFS(rounded[[#This Row],[social_interaction_level]] = "low", 1,rounded[[#This Row],[social_interaction_level]] = "medium", 2,rounded[[#This Row],[social_interaction_level]] = "high", 3)</f>
        <v>3</v>
      </c>
      <c r="O1126">
        <f t="shared" si="17"/>
        <v>21</v>
      </c>
      <c r="P1126" t="str" cm="1">
        <f t="array" ref="P1126">_xlfn.SWITCH(rounded[[#This Row],[depression_label]], 0, "Not Depressed", 1, "Depressed")</f>
        <v>Depressed</v>
      </c>
      <c r="Q1126" s="45" t="str" cm="1">
        <f t="array" ref="Q1126">_xlfn.SWITCH(rounded[[#This Row],[gender]], "male", "Male", "female", "Female")</f>
        <v>Male</v>
      </c>
    </row>
    <row r="1127" spans="1:17" x14ac:dyDescent="0.35">
      <c r="A1127">
        <v>14</v>
      </c>
      <c r="B1127" t="s">
        <v>16</v>
      </c>
      <c r="C1127" s="4">
        <v>5.7</v>
      </c>
      <c r="D1127" t="s">
        <v>14</v>
      </c>
      <c r="E1127" s="4">
        <v>6.7</v>
      </c>
      <c r="F1127" s="4">
        <v>2.6</v>
      </c>
      <c r="G1127">
        <v>2.35</v>
      </c>
      <c r="H1127">
        <v>1.8</v>
      </c>
      <c r="I1127" t="s">
        <v>18</v>
      </c>
      <c r="J1127">
        <v>10</v>
      </c>
      <c r="K1127">
        <v>10</v>
      </c>
      <c r="L1127">
        <v>7</v>
      </c>
      <c r="M1127">
        <v>0</v>
      </c>
      <c r="N1127">
        <f>_xlfn.IFS(rounded[[#This Row],[social_interaction_level]] = "low", 1,rounded[[#This Row],[social_interaction_level]] = "medium", 2,rounded[[#This Row],[social_interaction_level]] = "high", 3)</f>
        <v>3</v>
      </c>
      <c r="O1127">
        <f t="shared" si="17"/>
        <v>27</v>
      </c>
      <c r="P1127" t="str" cm="1">
        <f t="array" ref="P1127">_xlfn.SWITCH(rounded[[#This Row],[depression_label]], 0, "Not Depressed", 1, "Depressed")</f>
        <v>Not Depressed</v>
      </c>
      <c r="Q1127" s="45" t="str" cm="1">
        <f t="array" ref="Q1127">_xlfn.SWITCH(rounded[[#This Row],[gender]], "male", "Male", "female", "Female")</f>
        <v>Female</v>
      </c>
    </row>
    <row r="1128" spans="1:17" x14ac:dyDescent="0.35">
      <c r="A1128">
        <v>17</v>
      </c>
      <c r="B1128" t="s">
        <v>13</v>
      </c>
      <c r="C1128" s="4">
        <v>7.5</v>
      </c>
      <c r="D1128" t="s">
        <v>17</v>
      </c>
      <c r="E1128" s="4">
        <v>5.6</v>
      </c>
      <c r="F1128" s="4">
        <v>2.2999999999999998</v>
      </c>
      <c r="G1128">
        <v>2.37</v>
      </c>
      <c r="H1128">
        <v>0</v>
      </c>
      <c r="I1128" t="s">
        <v>18</v>
      </c>
      <c r="J1128">
        <v>3</v>
      </c>
      <c r="K1128">
        <v>10</v>
      </c>
      <c r="L1128">
        <v>8</v>
      </c>
      <c r="M1128">
        <v>0</v>
      </c>
      <c r="N1128">
        <f>_xlfn.IFS(rounded[[#This Row],[social_interaction_level]] = "low", 1,rounded[[#This Row],[social_interaction_level]] = "medium", 2,rounded[[#This Row],[social_interaction_level]] = "high", 3)</f>
        <v>3</v>
      </c>
      <c r="O1128">
        <f t="shared" si="17"/>
        <v>21</v>
      </c>
      <c r="P1128" t="str" cm="1">
        <f t="array" ref="P1128">_xlfn.SWITCH(rounded[[#This Row],[depression_label]], 0, "Not Depressed", 1, "Depressed")</f>
        <v>Not Depressed</v>
      </c>
      <c r="Q1128" s="45" t="str" cm="1">
        <f t="array" ref="Q1128">_xlfn.SWITCH(rounded[[#This Row],[gender]], "male", "Male", "female", "Female")</f>
        <v>Male</v>
      </c>
    </row>
    <row r="1129" spans="1:17" x14ac:dyDescent="0.35">
      <c r="A1129">
        <v>13</v>
      </c>
      <c r="B1129" t="s">
        <v>13</v>
      </c>
      <c r="C1129" s="4">
        <v>5.2</v>
      </c>
      <c r="D1129" t="s">
        <v>20</v>
      </c>
      <c r="E1129" s="4">
        <v>6.4</v>
      </c>
      <c r="F1129" s="4">
        <v>2.5</v>
      </c>
      <c r="G1129">
        <v>3.13</v>
      </c>
      <c r="H1129">
        <v>0.3</v>
      </c>
      <c r="I1129" t="s">
        <v>19</v>
      </c>
      <c r="J1129">
        <v>8</v>
      </c>
      <c r="K1129">
        <v>6</v>
      </c>
      <c r="L1129">
        <v>7</v>
      </c>
      <c r="M1129">
        <v>0</v>
      </c>
      <c r="N1129">
        <f>_xlfn.IFS(rounded[[#This Row],[social_interaction_level]] = "low", 1,rounded[[#This Row],[social_interaction_level]] = "medium", 2,rounded[[#This Row],[social_interaction_level]] = "high", 3)</f>
        <v>2</v>
      </c>
      <c r="O1129">
        <f t="shared" si="17"/>
        <v>21</v>
      </c>
      <c r="P1129" t="str" cm="1">
        <f t="array" ref="P1129">_xlfn.SWITCH(rounded[[#This Row],[depression_label]], 0, "Not Depressed", 1, "Depressed")</f>
        <v>Not Depressed</v>
      </c>
      <c r="Q1129" s="45" t="str" cm="1">
        <f t="array" ref="Q1129">_xlfn.SWITCH(rounded[[#This Row],[gender]], "male", "Male", "female", "Female")</f>
        <v>Male</v>
      </c>
    </row>
    <row r="1130" spans="1:17" x14ac:dyDescent="0.35">
      <c r="A1130">
        <v>16</v>
      </c>
      <c r="B1130" t="s">
        <v>13</v>
      </c>
      <c r="C1130" s="4">
        <v>7.2</v>
      </c>
      <c r="D1130" t="s">
        <v>20</v>
      </c>
      <c r="E1130" s="4">
        <v>6.9</v>
      </c>
      <c r="F1130" s="4">
        <v>2.1</v>
      </c>
      <c r="G1130">
        <v>2.3199999999999998</v>
      </c>
      <c r="H1130">
        <v>1.1000000000000001</v>
      </c>
      <c r="I1130" t="s">
        <v>15</v>
      </c>
      <c r="J1130">
        <v>3</v>
      </c>
      <c r="K1130">
        <v>4</v>
      </c>
      <c r="L1130">
        <v>10</v>
      </c>
      <c r="M1130">
        <v>0</v>
      </c>
      <c r="N1130">
        <f>_xlfn.IFS(rounded[[#This Row],[social_interaction_level]] = "low", 1,rounded[[#This Row],[social_interaction_level]] = "medium", 2,rounded[[#This Row],[social_interaction_level]] = "high", 3)</f>
        <v>1</v>
      </c>
      <c r="O1130">
        <f t="shared" si="17"/>
        <v>17</v>
      </c>
      <c r="P1130" t="str" cm="1">
        <f t="array" ref="P1130">_xlfn.SWITCH(rounded[[#This Row],[depression_label]], 0, "Not Depressed", 1, "Depressed")</f>
        <v>Not Depressed</v>
      </c>
      <c r="Q1130" s="45" t="str" cm="1">
        <f t="array" ref="Q1130">_xlfn.SWITCH(rounded[[#This Row],[gender]], "male", "Male", "female", "Female")</f>
        <v>Male</v>
      </c>
    </row>
    <row r="1131" spans="1:17" x14ac:dyDescent="0.35">
      <c r="A1131">
        <v>19</v>
      </c>
      <c r="B1131" t="s">
        <v>13</v>
      </c>
      <c r="C1131" s="4">
        <v>2</v>
      </c>
      <c r="D1131" t="s">
        <v>17</v>
      </c>
      <c r="E1131" s="4">
        <v>4.3</v>
      </c>
      <c r="F1131" s="4">
        <v>0.8</v>
      </c>
      <c r="G1131">
        <v>3.4</v>
      </c>
      <c r="H1131">
        <v>0.7</v>
      </c>
      <c r="I1131" t="s">
        <v>15</v>
      </c>
      <c r="J1131">
        <v>8</v>
      </c>
      <c r="K1131">
        <v>1</v>
      </c>
      <c r="L1131">
        <v>1</v>
      </c>
      <c r="M1131">
        <v>0</v>
      </c>
      <c r="N1131">
        <f>_xlfn.IFS(rounded[[#This Row],[social_interaction_level]] = "low", 1,rounded[[#This Row],[social_interaction_level]] = "medium", 2,rounded[[#This Row],[social_interaction_level]] = "high", 3)</f>
        <v>1</v>
      </c>
      <c r="O1131">
        <f t="shared" si="17"/>
        <v>10</v>
      </c>
      <c r="P1131" t="str" cm="1">
        <f t="array" ref="P1131">_xlfn.SWITCH(rounded[[#This Row],[depression_label]], 0, "Not Depressed", 1, "Depressed")</f>
        <v>Not Depressed</v>
      </c>
      <c r="Q1131" s="45" t="str" cm="1">
        <f t="array" ref="Q1131">_xlfn.SWITCH(rounded[[#This Row],[gender]], "male", "Male", "female", "Female")</f>
        <v>Male</v>
      </c>
    </row>
    <row r="1132" spans="1:17" x14ac:dyDescent="0.35">
      <c r="A1132">
        <v>13</v>
      </c>
      <c r="B1132" t="s">
        <v>16</v>
      </c>
      <c r="C1132" s="4">
        <v>4.7</v>
      </c>
      <c r="D1132" t="s">
        <v>20</v>
      </c>
      <c r="E1132" s="4">
        <v>6.8</v>
      </c>
      <c r="F1132" s="4">
        <v>1.4</v>
      </c>
      <c r="G1132">
        <v>3.91</v>
      </c>
      <c r="H1132">
        <v>0.8</v>
      </c>
      <c r="I1132" t="s">
        <v>18</v>
      </c>
      <c r="J1132">
        <v>10</v>
      </c>
      <c r="K1132">
        <v>6</v>
      </c>
      <c r="L1132">
        <v>9</v>
      </c>
      <c r="M1132">
        <v>0</v>
      </c>
      <c r="N1132">
        <f>_xlfn.IFS(rounded[[#This Row],[social_interaction_level]] = "low", 1,rounded[[#This Row],[social_interaction_level]] = "medium", 2,rounded[[#This Row],[social_interaction_level]] = "high", 3)</f>
        <v>3</v>
      </c>
      <c r="O1132">
        <f t="shared" si="17"/>
        <v>25</v>
      </c>
      <c r="P1132" t="str" cm="1">
        <f t="array" ref="P1132">_xlfn.SWITCH(rounded[[#This Row],[depression_label]], 0, "Not Depressed", 1, "Depressed")</f>
        <v>Not Depressed</v>
      </c>
      <c r="Q1132" s="45" t="str" cm="1">
        <f t="array" ref="Q1132">_xlfn.SWITCH(rounded[[#This Row],[gender]], "male", "Male", "female", "Female")</f>
        <v>Female</v>
      </c>
    </row>
    <row r="1133" spans="1:17" x14ac:dyDescent="0.35">
      <c r="A1133">
        <v>14</v>
      </c>
      <c r="B1133" t="s">
        <v>13</v>
      </c>
      <c r="C1133" s="4">
        <v>5.6</v>
      </c>
      <c r="D1133" t="s">
        <v>20</v>
      </c>
      <c r="E1133" s="4">
        <v>4.5</v>
      </c>
      <c r="F1133" s="4">
        <v>1.4</v>
      </c>
      <c r="G1133">
        <v>2.44</v>
      </c>
      <c r="H1133">
        <v>1.2</v>
      </c>
      <c r="I1133" t="s">
        <v>15</v>
      </c>
      <c r="J1133">
        <v>5</v>
      </c>
      <c r="K1133">
        <v>10</v>
      </c>
      <c r="L1133">
        <v>9</v>
      </c>
      <c r="M1133">
        <v>0</v>
      </c>
      <c r="N1133">
        <f>_xlfn.IFS(rounded[[#This Row],[social_interaction_level]] = "low", 1,rounded[[#This Row],[social_interaction_level]] = "medium", 2,rounded[[#This Row],[social_interaction_level]] = "high", 3)</f>
        <v>1</v>
      </c>
      <c r="O1133">
        <f t="shared" si="17"/>
        <v>24</v>
      </c>
      <c r="P1133" t="str" cm="1">
        <f t="array" ref="P1133">_xlfn.SWITCH(rounded[[#This Row],[depression_label]], 0, "Not Depressed", 1, "Depressed")</f>
        <v>Not Depressed</v>
      </c>
      <c r="Q1133" s="45" t="str" cm="1">
        <f t="array" ref="Q1133">_xlfn.SWITCH(rounded[[#This Row],[gender]], "male", "Male", "female", "Female")</f>
        <v>Male</v>
      </c>
    </row>
    <row r="1134" spans="1:17" x14ac:dyDescent="0.35">
      <c r="A1134">
        <v>18</v>
      </c>
      <c r="B1134" t="s">
        <v>16</v>
      </c>
      <c r="C1134" s="4">
        <v>4.5</v>
      </c>
      <c r="D1134" t="s">
        <v>14</v>
      </c>
      <c r="E1134" s="4">
        <v>4</v>
      </c>
      <c r="F1134" s="4">
        <v>2.9</v>
      </c>
      <c r="G1134">
        <v>3.15</v>
      </c>
      <c r="H1134">
        <v>1.9</v>
      </c>
      <c r="I1134" t="s">
        <v>19</v>
      </c>
      <c r="J1134">
        <v>8</v>
      </c>
      <c r="K1134">
        <v>6</v>
      </c>
      <c r="L1134">
        <v>5</v>
      </c>
      <c r="M1134">
        <v>0</v>
      </c>
      <c r="N1134">
        <f>_xlfn.IFS(rounded[[#This Row],[social_interaction_level]] = "low", 1,rounded[[#This Row],[social_interaction_level]] = "medium", 2,rounded[[#This Row],[social_interaction_level]] = "high", 3)</f>
        <v>2</v>
      </c>
      <c r="O1134">
        <f t="shared" si="17"/>
        <v>19</v>
      </c>
      <c r="P1134" t="str" cm="1">
        <f t="array" ref="P1134">_xlfn.SWITCH(rounded[[#This Row],[depression_label]], 0, "Not Depressed", 1, "Depressed")</f>
        <v>Not Depressed</v>
      </c>
      <c r="Q1134" s="45" t="str" cm="1">
        <f t="array" ref="Q1134">_xlfn.SWITCH(rounded[[#This Row],[gender]], "male", "Male", "female", "Female")</f>
        <v>Female</v>
      </c>
    </row>
    <row r="1135" spans="1:17" x14ac:dyDescent="0.35">
      <c r="A1135">
        <v>15</v>
      </c>
      <c r="B1135" t="s">
        <v>16</v>
      </c>
      <c r="C1135" s="4">
        <v>1.1000000000000001</v>
      </c>
      <c r="D1135" t="s">
        <v>14</v>
      </c>
      <c r="E1135" s="4">
        <v>9</v>
      </c>
      <c r="F1135" s="4">
        <v>1.2</v>
      </c>
      <c r="G1135">
        <v>2.9</v>
      </c>
      <c r="H1135">
        <v>1.8</v>
      </c>
      <c r="I1135" t="s">
        <v>19</v>
      </c>
      <c r="J1135">
        <v>5</v>
      </c>
      <c r="K1135">
        <v>10</v>
      </c>
      <c r="L1135">
        <v>2</v>
      </c>
      <c r="M1135">
        <v>0</v>
      </c>
      <c r="N1135">
        <f>_xlfn.IFS(rounded[[#This Row],[social_interaction_level]] = "low", 1,rounded[[#This Row],[social_interaction_level]] = "medium", 2,rounded[[#This Row],[social_interaction_level]] = "high", 3)</f>
        <v>2</v>
      </c>
      <c r="O1135">
        <f t="shared" si="17"/>
        <v>17</v>
      </c>
      <c r="P1135" t="str" cm="1">
        <f t="array" ref="P1135">_xlfn.SWITCH(rounded[[#This Row],[depression_label]], 0, "Not Depressed", 1, "Depressed")</f>
        <v>Not Depressed</v>
      </c>
      <c r="Q1135" s="45" t="str" cm="1">
        <f t="array" ref="Q1135">_xlfn.SWITCH(rounded[[#This Row],[gender]], "male", "Male", "female", "Female")</f>
        <v>Female</v>
      </c>
    </row>
    <row r="1136" spans="1:17" x14ac:dyDescent="0.35">
      <c r="A1136">
        <v>18</v>
      </c>
      <c r="B1136" t="s">
        <v>16</v>
      </c>
      <c r="C1136" s="4">
        <v>5.3</v>
      </c>
      <c r="D1136" t="s">
        <v>20</v>
      </c>
      <c r="E1136" s="4">
        <v>4.5999999999999996</v>
      </c>
      <c r="F1136" s="4">
        <v>1.5</v>
      </c>
      <c r="G1136">
        <v>2.54</v>
      </c>
      <c r="H1136">
        <v>0.6</v>
      </c>
      <c r="I1136" t="s">
        <v>19</v>
      </c>
      <c r="J1136">
        <v>4</v>
      </c>
      <c r="K1136">
        <v>3</v>
      </c>
      <c r="L1136">
        <v>4</v>
      </c>
      <c r="M1136">
        <v>0</v>
      </c>
      <c r="N1136">
        <f>_xlfn.IFS(rounded[[#This Row],[social_interaction_level]] = "low", 1,rounded[[#This Row],[social_interaction_level]] = "medium", 2,rounded[[#This Row],[social_interaction_level]] = "high", 3)</f>
        <v>2</v>
      </c>
      <c r="O1136">
        <f t="shared" si="17"/>
        <v>11</v>
      </c>
      <c r="P1136" t="str" cm="1">
        <f t="array" ref="P1136">_xlfn.SWITCH(rounded[[#This Row],[depression_label]], 0, "Not Depressed", 1, "Depressed")</f>
        <v>Not Depressed</v>
      </c>
      <c r="Q1136" s="45" t="str" cm="1">
        <f t="array" ref="Q1136">_xlfn.SWITCH(rounded[[#This Row],[gender]], "male", "Male", "female", "Female")</f>
        <v>Female</v>
      </c>
    </row>
    <row r="1137" spans="1:17" x14ac:dyDescent="0.35">
      <c r="A1137">
        <v>14</v>
      </c>
      <c r="B1137" t="s">
        <v>16</v>
      </c>
      <c r="C1137" s="4">
        <v>3.5</v>
      </c>
      <c r="D1137" t="s">
        <v>20</v>
      </c>
      <c r="E1137" s="4">
        <v>5.3</v>
      </c>
      <c r="F1137" s="4">
        <v>2.5</v>
      </c>
      <c r="G1137">
        <v>2.29</v>
      </c>
      <c r="H1137">
        <v>0.7</v>
      </c>
      <c r="I1137" t="s">
        <v>15</v>
      </c>
      <c r="J1137">
        <v>1</v>
      </c>
      <c r="K1137">
        <v>10</v>
      </c>
      <c r="L1137">
        <v>3</v>
      </c>
      <c r="M1137">
        <v>0</v>
      </c>
      <c r="N1137">
        <f>_xlfn.IFS(rounded[[#This Row],[social_interaction_level]] = "low", 1,rounded[[#This Row],[social_interaction_level]] = "medium", 2,rounded[[#This Row],[social_interaction_level]] = "high", 3)</f>
        <v>1</v>
      </c>
      <c r="O1137">
        <f t="shared" si="17"/>
        <v>14</v>
      </c>
      <c r="P1137" t="str" cm="1">
        <f t="array" ref="P1137">_xlfn.SWITCH(rounded[[#This Row],[depression_label]], 0, "Not Depressed", 1, "Depressed")</f>
        <v>Not Depressed</v>
      </c>
      <c r="Q1137" s="45" t="str" cm="1">
        <f t="array" ref="Q1137">_xlfn.SWITCH(rounded[[#This Row],[gender]], "male", "Male", "female", "Female")</f>
        <v>Female</v>
      </c>
    </row>
    <row r="1138" spans="1:17" x14ac:dyDescent="0.35">
      <c r="A1138">
        <v>15</v>
      </c>
      <c r="B1138" t="s">
        <v>13</v>
      </c>
      <c r="C1138" s="4">
        <v>6.5</v>
      </c>
      <c r="D1138" t="s">
        <v>20</v>
      </c>
      <c r="E1138" s="4">
        <v>6.2</v>
      </c>
      <c r="F1138" s="4">
        <v>1.2</v>
      </c>
      <c r="G1138">
        <v>3.19</v>
      </c>
      <c r="H1138">
        <v>0</v>
      </c>
      <c r="I1138" t="s">
        <v>19</v>
      </c>
      <c r="J1138">
        <v>6</v>
      </c>
      <c r="K1138">
        <v>5</v>
      </c>
      <c r="L1138">
        <v>2</v>
      </c>
      <c r="M1138">
        <v>0</v>
      </c>
      <c r="N1138">
        <f>_xlfn.IFS(rounded[[#This Row],[social_interaction_level]] = "low", 1,rounded[[#This Row],[social_interaction_level]] = "medium", 2,rounded[[#This Row],[social_interaction_level]] = "high", 3)</f>
        <v>2</v>
      </c>
      <c r="O1138">
        <f t="shared" si="17"/>
        <v>13</v>
      </c>
      <c r="P1138" t="str" cm="1">
        <f t="array" ref="P1138">_xlfn.SWITCH(rounded[[#This Row],[depression_label]], 0, "Not Depressed", 1, "Depressed")</f>
        <v>Not Depressed</v>
      </c>
      <c r="Q1138" s="45" t="str" cm="1">
        <f t="array" ref="Q1138">_xlfn.SWITCH(rounded[[#This Row],[gender]], "male", "Male", "female", "Female")</f>
        <v>Male</v>
      </c>
    </row>
    <row r="1139" spans="1:17" x14ac:dyDescent="0.35">
      <c r="A1139">
        <v>14</v>
      </c>
      <c r="B1139" t="s">
        <v>13</v>
      </c>
      <c r="C1139" s="4">
        <v>7</v>
      </c>
      <c r="D1139" t="s">
        <v>20</v>
      </c>
      <c r="E1139" s="4">
        <v>6.7</v>
      </c>
      <c r="F1139" s="4">
        <v>1.9</v>
      </c>
      <c r="G1139">
        <v>2.48</v>
      </c>
      <c r="H1139">
        <v>1.3</v>
      </c>
      <c r="I1139" t="s">
        <v>15</v>
      </c>
      <c r="J1139">
        <v>7</v>
      </c>
      <c r="K1139">
        <v>1</v>
      </c>
      <c r="L1139">
        <v>5</v>
      </c>
      <c r="M1139">
        <v>0</v>
      </c>
      <c r="N1139">
        <f>_xlfn.IFS(rounded[[#This Row],[social_interaction_level]] = "low", 1,rounded[[#This Row],[social_interaction_level]] = "medium", 2,rounded[[#This Row],[social_interaction_level]] = "high", 3)</f>
        <v>1</v>
      </c>
      <c r="O1139">
        <f t="shared" si="17"/>
        <v>13</v>
      </c>
      <c r="P1139" t="str" cm="1">
        <f t="array" ref="P1139">_xlfn.SWITCH(rounded[[#This Row],[depression_label]], 0, "Not Depressed", 1, "Depressed")</f>
        <v>Not Depressed</v>
      </c>
      <c r="Q1139" s="45" t="str" cm="1">
        <f t="array" ref="Q1139">_xlfn.SWITCH(rounded[[#This Row],[gender]], "male", "Male", "female", "Female")</f>
        <v>Male</v>
      </c>
    </row>
    <row r="1140" spans="1:17" x14ac:dyDescent="0.35">
      <c r="A1140">
        <v>14</v>
      </c>
      <c r="B1140" t="s">
        <v>16</v>
      </c>
      <c r="C1140" s="4">
        <v>4</v>
      </c>
      <c r="D1140" t="s">
        <v>17</v>
      </c>
      <c r="E1140" s="4">
        <v>4.0999999999999996</v>
      </c>
      <c r="F1140" s="4">
        <v>0.9</v>
      </c>
      <c r="G1140">
        <v>2.99</v>
      </c>
      <c r="H1140">
        <v>1.9</v>
      </c>
      <c r="I1140" t="s">
        <v>15</v>
      </c>
      <c r="J1140">
        <v>2</v>
      </c>
      <c r="K1140">
        <v>9</v>
      </c>
      <c r="L1140">
        <v>10</v>
      </c>
      <c r="M1140">
        <v>0</v>
      </c>
      <c r="N1140">
        <f>_xlfn.IFS(rounded[[#This Row],[social_interaction_level]] = "low", 1,rounded[[#This Row],[social_interaction_level]] = "medium", 2,rounded[[#This Row],[social_interaction_level]] = "high", 3)</f>
        <v>1</v>
      </c>
      <c r="O1140">
        <f t="shared" si="17"/>
        <v>21</v>
      </c>
      <c r="P1140" t="str" cm="1">
        <f t="array" ref="P1140">_xlfn.SWITCH(rounded[[#This Row],[depression_label]], 0, "Not Depressed", 1, "Depressed")</f>
        <v>Not Depressed</v>
      </c>
      <c r="Q1140" s="45" t="str" cm="1">
        <f t="array" ref="Q1140">_xlfn.SWITCH(rounded[[#This Row],[gender]], "male", "Male", "female", "Female")</f>
        <v>Female</v>
      </c>
    </row>
    <row r="1141" spans="1:17" x14ac:dyDescent="0.35">
      <c r="A1141">
        <v>15</v>
      </c>
      <c r="B1141" t="s">
        <v>16</v>
      </c>
      <c r="C1141" s="4">
        <v>1.7</v>
      </c>
      <c r="D1141" t="s">
        <v>14</v>
      </c>
      <c r="E1141" s="4">
        <v>5.3</v>
      </c>
      <c r="F1141" s="4">
        <v>1.5</v>
      </c>
      <c r="G1141">
        <v>3.6</v>
      </c>
      <c r="H1141">
        <v>1.5</v>
      </c>
      <c r="I1141" t="s">
        <v>18</v>
      </c>
      <c r="J1141">
        <v>6</v>
      </c>
      <c r="K1141">
        <v>4</v>
      </c>
      <c r="L1141">
        <v>3</v>
      </c>
      <c r="M1141">
        <v>0</v>
      </c>
      <c r="N1141">
        <f>_xlfn.IFS(rounded[[#This Row],[social_interaction_level]] = "low", 1,rounded[[#This Row],[social_interaction_level]] = "medium", 2,rounded[[#This Row],[social_interaction_level]] = "high", 3)</f>
        <v>3</v>
      </c>
      <c r="O1141">
        <f t="shared" si="17"/>
        <v>13</v>
      </c>
      <c r="P1141" t="str" cm="1">
        <f t="array" ref="P1141">_xlfn.SWITCH(rounded[[#This Row],[depression_label]], 0, "Not Depressed", 1, "Depressed")</f>
        <v>Not Depressed</v>
      </c>
      <c r="Q1141" s="45" t="str" cm="1">
        <f t="array" ref="Q1141">_xlfn.SWITCH(rounded[[#This Row],[gender]], "male", "Male", "female", "Female")</f>
        <v>Female</v>
      </c>
    </row>
    <row r="1142" spans="1:17" x14ac:dyDescent="0.35">
      <c r="A1142">
        <v>14</v>
      </c>
      <c r="B1142" t="s">
        <v>16</v>
      </c>
      <c r="C1142" s="4">
        <v>7.8</v>
      </c>
      <c r="D1142" t="s">
        <v>17</v>
      </c>
      <c r="E1142" s="4">
        <v>4.7</v>
      </c>
      <c r="F1142" s="4">
        <v>2.2000000000000002</v>
      </c>
      <c r="G1142">
        <v>3.53</v>
      </c>
      <c r="H1142">
        <v>0.6</v>
      </c>
      <c r="I1142" t="s">
        <v>15</v>
      </c>
      <c r="J1142">
        <v>5</v>
      </c>
      <c r="K1142">
        <v>8</v>
      </c>
      <c r="L1142">
        <v>2</v>
      </c>
      <c r="M1142">
        <v>0</v>
      </c>
      <c r="N1142">
        <f>_xlfn.IFS(rounded[[#This Row],[social_interaction_level]] = "low", 1,rounded[[#This Row],[social_interaction_level]] = "medium", 2,rounded[[#This Row],[social_interaction_level]] = "high", 3)</f>
        <v>1</v>
      </c>
      <c r="O1142">
        <f t="shared" si="17"/>
        <v>15</v>
      </c>
      <c r="P1142" t="str" cm="1">
        <f t="array" ref="P1142">_xlfn.SWITCH(rounded[[#This Row],[depression_label]], 0, "Not Depressed", 1, "Depressed")</f>
        <v>Not Depressed</v>
      </c>
      <c r="Q1142" s="45" t="str" cm="1">
        <f t="array" ref="Q1142">_xlfn.SWITCH(rounded[[#This Row],[gender]], "male", "Male", "female", "Female")</f>
        <v>Female</v>
      </c>
    </row>
    <row r="1143" spans="1:17" x14ac:dyDescent="0.35">
      <c r="A1143">
        <v>15</v>
      </c>
      <c r="B1143" t="s">
        <v>16</v>
      </c>
      <c r="C1143" s="4">
        <v>5.2</v>
      </c>
      <c r="D1143" t="s">
        <v>14</v>
      </c>
      <c r="E1143" s="4">
        <v>6.7</v>
      </c>
      <c r="F1143" s="4">
        <v>3</v>
      </c>
      <c r="G1143">
        <v>3.18</v>
      </c>
      <c r="H1143">
        <v>0.6</v>
      </c>
      <c r="I1143" t="s">
        <v>15</v>
      </c>
      <c r="J1143">
        <v>9</v>
      </c>
      <c r="K1143">
        <v>7</v>
      </c>
      <c r="L1143">
        <v>9</v>
      </c>
      <c r="M1143">
        <v>0</v>
      </c>
      <c r="N1143">
        <f>_xlfn.IFS(rounded[[#This Row],[social_interaction_level]] = "low", 1,rounded[[#This Row],[social_interaction_level]] = "medium", 2,rounded[[#This Row],[social_interaction_level]] = "high", 3)</f>
        <v>1</v>
      </c>
      <c r="O1143">
        <f t="shared" si="17"/>
        <v>25</v>
      </c>
      <c r="P1143" t="str" cm="1">
        <f t="array" ref="P1143">_xlfn.SWITCH(rounded[[#This Row],[depression_label]], 0, "Not Depressed", 1, "Depressed")</f>
        <v>Not Depressed</v>
      </c>
      <c r="Q1143" s="45" t="str" cm="1">
        <f t="array" ref="Q1143">_xlfn.SWITCH(rounded[[#This Row],[gender]], "male", "Male", "female", "Female")</f>
        <v>Female</v>
      </c>
    </row>
    <row r="1144" spans="1:17" x14ac:dyDescent="0.35">
      <c r="A1144">
        <v>19</v>
      </c>
      <c r="B1144" t="s">
        <v>16</v>
      </c>
      <c r="C1144" s="4">
        <v>7.9</v>
      </c>
      <c r="D1144" t="s">
        <v>17</v>
      </c>
      <c r="E1144" s="4">
        <v>5.8</v>
      </c>
      <c r="F1144" s="4">
        <v>2.1</v>
      </c>
      <c r="G1144">
        <v>3.91</v>
      </c>
      <c r="H1144">
        <v>1.4</v>
      </c>
      <c r="I1144" t="s">
        <v>18</v>
      </c>
      <c r="J1144">
        <v>7</v>
      </c>
      <c r="K1144">
        <v>1</v>
      </c>
      <c r="L1144">
        <v>10</v>
      </c>
      <c r="M1144">
        <v>0</v>
      </c>
      <c r="N1144">
        <f>_xlfn.IFS(rounded[[#This Row],[social_interaction_level]] = "low", 1,rounded[[#This Row],[social_interaction_level]] = "medium", 2,rounded[[#This Row],[social_interaction_level]] = "high", 3)</f>
        <v>3</v>
      </c>
      <c r="O1144">
        <f t="shared" si="17"/>
        <v>18</v>
      </c>
      <c r="P1144" t="str" cm="1">
        <f t="array" ref="P1144">_xlfn.SWITCH(rounded[[#This Row],[depression_label]], 0, "Not Depressed", 1, "Depressed")</f>
        <v>Not Depressed</v>
      </c>
      <c r="Q1144" s="45" t="str" cm="1">
        <f t="array" ref="Q1144">_xlfn.SWITCH(rounded[[#This Row],[gender]], "male", "Male", "female", "Female")</f>
        <v>Female</v>
      </c>
    </row>
    <row r="1145" spans="1:17" x14ac:dyDescent="0.35">
      <c r="A1145">
        <v>17</v>
      </c>
      <c r="B1145" t="s">
        <v>13</v>
      </c>
      <c r="C1145" s="4">
        <v>5.9</v>
      </c>
      <c r="D1145" t="s">
        <v>20</v>
      </c>
      <c r="E1145" s="4">
        <v>6.6</v>
      </c>
      <c r="F1145" s="4">
        <v>1.3</v>
      </c>
      <c r="G1145">
        <v>2.11</v>
      </c>
      <c r="H1145">
        <v>1.4</v>
      </c>
      <c r="I1145" t="s">
        <v>15</v>
      </c>
      <c r="J1145">
        <v>10</v>
      </c>
      <c r="K1145">
        <v>4</v>
      </c>
      <c r="L1145">
        <v>9</v>
      </c>
      <c r="M1145">
        <v>0</v>
      </c>
      <c r="N1145">
        <f>_xlfn.IFS(rounded[[#This Row],[social_interaction_level]] = "low", 1,rounded[[#This Row],[social_interaction_level]] = "medium", 2,rounded[[#This Row],[social_interaction_level]] = "high", 3)</f>
        <v>1</v>
      </c>
      <c r="O1145">
        <f t="shared" si="17"/>
        <v>23</v>
      </c>
      <c r="P1145" t="str" cm="1">
        <f t="array" ref="P1145">_xlfn.SWITCH(rounded[[#This Row],[depression_label]], 0, "Not Depressed", 1, "Depressed")</f>
        <v>Not Depressed</v>
      </c>
      <c r="Q1145" s="45" t="str" cm="1">
        <f t="array" ref="Q1145">_xlfn.SWITCH(rounded[[#This Row],[gender]], "male", "Male", "female", "Female")</f>
        <v>Male</v>
      </c>
    </row>
    <row r="1146" spans="1:17" x14ac:dyDescent="0.35">
      <c r="A1146">
        <v>13</v>
      </c>
      <c r="B1146" t="s">
        <v>16</v>
      </c>
      <c r="C1146" s="4">
        <v>2.6</v>
      </c>
      <c r="D1146" t="s">
        <v>17</v>
      </c>
      <c r="E1146" s="4">
        <v>8.5</v>
      </c>
      <c r="F1146" s="4">
        <v>1.9</v>
      </c>
      <c r="G1146">
        <v>3.06</v>
      </c>
      <c r="H1146">
        <v>1.9</v>
      </c>
      <c r="I1146" t="s">
        <v>18</v>
      </c>
      <c r="J1146">
        <v>5</v>
      </c>
      <c r="K1146">
        <v>7</v>
      </c>
      <c r="L1146">
        <v>6</v>
      </c>
      <c r="M1146">
        <v>0</v>
      </c>
      <c r="N1146">
        <f>_xlfn.IFS(rounded[[#This Row],[social_interaction_level]] = "low", 1,rounded[[#This Row],[social_interaction_level]] = "medium", 2,rounded[[#This Row],[social_interaction_level]] = "high", 3)</f>
        <v>3</v>
      </c>
      <c r="O1146">
        <f t="shared" si="17"/>
        <v>18</v>
      </c>
      <c r="P1146" t="str" cm="1">
        <f t="array" ref="P1146">_xlfn.SWITCH(rounded[[#This Row],[depression_label]], 0, "Not Depressed", 1, "Depressed")</f>
        <v>Not Depressed</v>
      </c>
      <c r="Q1146" s="45" t="str" cm="1">
        <f t="array" ref="Q1146">_xlfn.SWITCH(rounded[[#This Row],[gender]], "male", "Male", "female", "Female")</f>
        <v>Female</v>
      </c>
    </row>
    <row r="1147" spans="1:17" x14ac:dyDescent="0.35">
      <c r="A1147">
        <v>18</v>
      </c>
      <c r="B1147" t="s">
        <v>16</v>
      </c>
      <c r="C1147" s="4">
        <v>6.3</v>
      </c>
      <c r="D1147" t="s">
        <v>17</v>
      </c>
      <c r="E1147" s="4">
        <v>4.8</v>
      </c>
      <c r="F1147" s="4">
        <v>1.2</v>
      </c>
      <c r="G1147">
        <v>2.91</v>
      </c>
      <c r="H1147">
        <v>1.3</v>
      </c>
      <c r="I1147" t="s">
        <v>19</v>
      </c>
      <c r="J1147">
        <v>9</v>
      </c>
      <c r="K1147">
        <v>10</v>
      </c>
      <c r="L1147">
        <v>3</v>
      </c>
      <c r="M1147">
        <v>1</v>
      </c>
      <c r="N1147">
        <f>_xlfn.IFS(rounded[[#This Row],[social_interaction_level]] = "low", 1,rounded[[#This Row],[social_interaction_level]] = "medium", 2,rounded[[#This Row],[social_interaction_level]] = "high", 3)</f>
        <v>2</v>
      </c>
      <c r="O1147">
        <f t="shared" si="17"/>
        <v>22</v>
      </c>
      <c r="P1147" t="str" cm="1">
        <f t="array" ref="P1147">_xlfn.SWITCH(rounded[[#This Row],[depression_label]], 0, "Not Depressed", 1, "Depressed")</f>
        <v>Depressed</v>
      </c>
      <c r="Q1147" s="45" t="str" cm="1">
        <f t="array" ref="Q1147">_xlfn.SWITCH(rounded[[#This Row],[gender]], "male", "Male", "female", "Female")</f>
        <v>Female</v>
      </c>
    </row>
    <row r="1148" spans="1:17" x14ac:dyDescent="0.35">
      <c r="A1148">
        <v>19</v>
      </c>
      <c r="B1148" t="s">
        <v>16</v>
      </c>
      <c r="C1148" s="4">
        <v>4.5</v>
      </c>
      <c r="D1148" t="s">
        <v>17</v>
      </c>
      <c r="E1148" s="4">
        <v>8.4</v>
      </c>
      <c r="F1148" s="4">
        <v>2.1</v>
      </c>
      <c r="G1148">
        <v>2.62</v>
      </c>
      <c r="H1148">
        <v>2</v>
      </c>
      <c r="I1148" t="s">
        <v>15</v>
      </c>
      <c r="J1148">
        <v>5</v>
      </c>
      <c r="K1148">
        <v>10</v>
      </c>
      <c r="L1148">
        <v>5</v>
      </c>
      <c r="M1148">
        <v>0</v>
      </c>
      <c r="N1148">
        <f>_xlfn.IFS(rounded[[#This Row],[social_interaction_level]] = "low", 1,rounded[[#This Row],[social_interaction_level]] = "medium", 2,rounded[[#This Row],[social_interaction_level]] = "high", 3)</f>
        <v>1</v>
      </c>
      <c r="O1148">
        <f t="shared" si="17"/>
        <v>20</v>
      </c>
      <c r="P1148" t="str" cm="1">
        <f t="array" ref="P1148">_xlfn.SWITCH(rounded[[#This Row],[depression_label]], 0, "Not Depressed", 1, "Depressed")</f>
        <v>Not Depressed</v>
      </c>
      <c r="Q1148" s="45" t="str" cm="1">
        <f t="array" ref="Q1148">_xlfn.SWITCH(rounded[[#This Row],[gender]], "male", "Male", "female", "Female")</f>
        <v>Female</v>
      </c>
    </row>
    <row r="1149" spans="1:17" x14ac:dyDescent="0.35">
      <c r="A1149">
        <v>19</v>
      </c>
      <c r="B1149" t="s">
        <v>13</v>
      </c>
      <c r="C1149" s="4">
        <v>5.3</v>
      </c>
      <c r="D1149" t="s">
        <v>14</v>
      </c>
      <c r="E1149" s="4">
        <v>4.7</v>
      </c>
      <c r="F1149" s="4">
        <v>2.8</v>
      </c>
      <c r="G1149">
        <v>2.82</v>
      </c>
      <c r="H1149">
        <v>0.3</v>
      </c>
      <c r="I1149" t="s">
        <v>18</v>
      </c>
      <c r="J1149">
        <v>1</v>
      </c>
      <c r="K1149">
        <v>9</v>
      </c>
      <c r="L1149">
        <v>6</v>
      </c>
      <c r="M1149">
        <v>0</v>
      </c>
      <c r="N1149">
        <f>_xlfn.IFS(rounded[[#This Row],[social_interaction_level]] = "low", 1,rounded[[#This Row],[social_interaction_level]] = "medium", 2,rounded[[#This Row],[social_interaction_level]] = "high", 3)</f>
        <v>3</v>
      </c>
      <c r="O1149">
        <f t="shared" si="17"/>
        <v>16</v>
      </c>
      <c r="P1149" t="str" cm="1">
        <f t="array" ref="P1149">_xlfn.SWITCH(rounded[[#This Row],[depression_label]], 0, "Not Depressed", 1, "Depressed")</f>
        <v>Not Depressed</v>
      </c>
      <c r="Q1149" s="45" t="str" cm="1">
        <f t="array" ref="Q1149">_xlfn.SWITCH(rounded[[#This Row],[gender]], "male", "Male", "female", "Female")</f>
        <v>Male</v>
      </c>
    </row>
    <row r="1150" spans="1:17" x14ac:dyDescent="0.35">
      <c r="A1150">
        <v>13</v>
      </c>
      <c r="B1150" t="s">
        <v>16</v>
      </c>
      <c r="C1150" s="4">
        <v>5.2</v>
      </c>
      <c r="D1150" t="s">
        <v>20</v>
      </c>
      <c r="E1150" s="4">
        <v>7.4</v>
      </c>
      <c r="F1150" s="4">
        <v>2.5</v>
      </c>
      <c r="G1150">
        <v>3.93</v>
      </c>
      <c r="H1150">
        <v>0.8</v>
      </c>
      <c r="I1150" t="s">
        <v>15</v>
      </c>
      <c r="J1150">
        <v>4</v>
      </c>
      <c r="K1150">
        <v>4</v>
      </c>
      <c r="L1150">
        <v>8</v>
      </c>
      <c r="M1150">
        <v>0</v>
      </c>
      <c r="N1150">
        <f>_xlfn.IFS(rounded[[#This Row],[social_interaction_level]] = "low", 1,rounded[[#This Row],[social_interaction_level]] = "medium", 2,rounded[[#This Row],[social_interaction_level]] = "high", 3)</f>
        <v>1</v>
      </c>
      <c r="O1150">
        <f t="shared" si="17"/>
        <v>16</v>
      </c>
      <c r="P1150" t="str" cm="1">
        <f t="array" ref="P1150">_xlfn.SWITCH(rounded[[#This Row],[depression_label]], 0, "Not Depressed", 1, "Depressed")</f>
        <v>Not Depressed</v>
      </c>
      <c r="Q1150" s="45" t="str" cm="1">
        <f t="array" ref="Q1150">_xlfn.SWITCH(rounded[[#This Row],[gender]], "male", "Male", "female", "Female")</f>
        <v>Female</v>
      </c>
    </row>
    <row r="1151" spans="1:17" x14ac:dyDescent="0.35">
      <c r="A1151">
        <v>15</v>
      </c>
      <c r="B1151" t="s">
        <v>13</v>
      </c>
      <c r="C1151" s="4">
        <v>3.3</v>
      </c>
      <c r="D1151" t="s">
        <v>20</v>
      </c>
      <c r="E1151" s="4">
        <v>6.1</v>
      </c>
      <c r="F1151" s="4">
        <v>1.2</v>
      </c>
      <c r="G1151">
        <v>2.56</v>
      </c>
      <c r="H1151">
        <v>1.4</v>
      </c>
      <c r="I1151" t="s">
        <v>15</v>
      </c>
      <c r="J1151">
        <v>8</v>
      </c>
      <c r="K1151">
        <v>6</v>
      </c>
      <c r="L1151">
        <v>3</v>
      </c>
      <c r="M1151">
        <v>0</v>
      </c>
      <c r="N1151">
        <f>_xlfn.IFS(rounded[[#This Row],[social_interaction_level]] = "low", 1,rounded[[#This Row],[social_interaction_level]] = "medium", 2,rounded[[#This Row],[social_interaction_level]] = "high", 3)</f>
        <v>1</v>
      </c>
      <c r="O1151">
        <f t="shared" si="17"/>
        <v>17</v>
      </c>
      <c r="P1151" t="str" cm="1">
        <f t="array" ref="P1151">_xlfn.SWITCH(rounded[[#This Row],[depression_label]], 0, "Not Depressed", 1, "Depressed")</f>
        <v>Not Depressed</v>
      </c>
      <c r="Q1151" s="45" t="str" cm="1">
        <f t="array" ref="Q1151">_xlfn.SWITCH(rounded[[#This Row],[gender]], "male", "Male", "female", "Female")</f>
        <v>Male</v>
      </c>
    </row>
    <row r="1152" spans="1:17" x14ac:dyDescent="0.35">
      <c r="A1152">
        <v>14</v>
      </c>
      <c r="B1152" t="s">
        <v>16</v>
      </c>
      <c r="C1152" s="4">
        <v>1.1000000000000001</v>
      </c>
      <c r="D1152" t="s">
        <v>20</v>
      </c>
      <c r="E1152" s="4">
        <v>5.4</v>
      </c>
      <c r="F1152" s="4">
        <v>1.6</v>
      </c>
      <c r="G1152">
        <v>3.34</v>
      </c>
      <c r="H1152">
        <v>1.5</v>
      </c>
      <c r="I1152" t="s">
        <v>19</v>
      </c>
      <c r="J1152">
        <v>4</v>
      </c>
      <c r="K1152">
        <v>5</v>
      </c>
      <c r="L1152">
        <v>8</v>
      </c>
      <c r="M1152">
        <v>0</v>
      </c>
      <c r="N1152">
        <f>_xlfn.IFS(rounded[[#This Row],[social_interaction_level]] = "low", 1,rounded[[#This Row],[social_interaction_level]] = "medium", 2,rounded[[#This Row],[social_interaction_level]] = "high", 3)</f>
        <v>2</v>
      </c>
      <c r="O1152">
        <f t="shared" si="17"/>
        <v>17</v>
      </c>
      <c r="P1152" t="str" cm="1">
        <f t="array" ref="P1152">_xlfn.SWITCH(rounded[[#This Row],[depression_label]], 0, "Not Depressed", 1, "Depressed")</f>
        <v>Not Depressed</v>
      </c>
      <c r="Q1152" s="45" t="str" cm="1">
        <f t="array" ref="Q1152">_xlfn.SWITCH(rounded[[#This Row],[gender]], "male", "Male", "female", "Female")</f>
        <v>Female</v>
      </c>
    </row>
    <row r="1153" spans="1:17" x14ac:dyDescent="0.35">
      <c r="A1153">
        <v>17</v>
      </c>
      <c r="B1153" t="s">
        <v>16</v>
      </c>
      <c r="C1153" s="4">
        <v>5</v>
      </c>
      <c r="D1153" t="s">
        <v>14</v>
      </c>
      <c r="E1153" s="4">
        <v>7.3</v>
      </c>
      <c r="F1153" s="4">
        <v>1.2</v>
      </c>
      <c r="G1153">
        <v>3.39</v>
      </c>
      <c r="H1153">
        <v>0.7</v>
      </c>
      <c r="I1153" t="s">
        <v>19</v>
      </c>
      <c r="J1153">
        <v>9</v>
      </c>
      <c r="K1153">
        <v>10</v>
      </c>
      <c r="L1153">
        <v>8</v>
      </c>
      <c r="M1153">
        <v>0</v>
      </c>
      <c r="N1153">
        <f>_xlfn.IFS(rounded[[#This Row],[social_interaction_level]] = "low", 1,rounded[[#This Row],[social_interaction_level]] = "medium", 2,rounded[[#This Row],[social_interaction_level]] = "high", 3)</f>
        <v>2</v>
      </c>
      <c r="O1153">
        <f t="shared" si="17"/>
        <v>27</v>
      </c>
      <c r="P1153" t="str" cm="1">
        <f t="array" ref="P1153">_xlfn.SWITCH(rounded[[#This Row],[depression_label]], 0, "Not Depressed", 1, "Depressed")</f>
        <v>Not Depressed</v>
      </c>
      <c r="Q1153" s="45" t="str" cm="1">
        <f t="array" ref="Q1153">_xlfn.SWITCH(rounded[[#This Row],[gender]], "male", "Male", "female", "Female")</f>
        <v>Female</v>
      </c>
    </row>
    <row r="1154" spans="1:17" x14ac:dyDescent="0.35">
      <c r="A1154">
        <v>15</v>
      </c>
      <c r="B1154" t="s">
        <v>16</v>
      </c>
      <c r="C1154" s="4">
        <v>7.4</v>
      </c>
      <c r="D1154" t="s">
        <v>17</v>
      </c>
      <c r="E1154" s="4">
        <v>8.6</v>
      </c>
      <c r="F1154" s="4">
        <v>1.4</v>
      </c>
      <c r="G1154">
        <v>2.19</v>
      </c>
      <c r="H1154">
        <v>1.8</v>
      </c>
      <c r="I1154" t="s">
        <v>15</v>
      </c>
      <c r="J1154">
        <v>10</v>
      </c>
      <c r="K1154">
        <v>10</v>
      </c>
      <c r="L1154">
        <v>1</v>
      </c>
      <c r="M1154">
        <v>0</v>
      </c>
      <c r="N1154">
        <f>_xlfn.IFS(rounded[[#This Row],[social_interaction_level]] = "low", 1,rounded[[#This Row],[social_interaction_level]] = "medium", 2,rounded[[#This Row],[social_interaction_level]] = "high", 3)</f>
        <v>1</v>
      </c>
      <c r="O1154">
        <f t="shared" ref="O1154:O1201" si="18">SUM(J1154+K1154+L1154)</f>
        <v>21</v>
      </c>
      <c r="P1154" t="str" cm="1">
        <f t="array" ref="P1154">_xlfn.SWITCH(rounded[[#This Row],[depression_label]], 0, "Not Depressed", 1, "Depressed")</f>
        <v>Not Depressed</v>
      </c>
      <c r="Q1154" s="45" t="str" cm="1">
        <f t="array" ref="Q1154">_xlfn.SWITCH(rounded[[#This Row],[gender]], "male", "Male", "female", "Female")</f>
        <v>Female</v>
      </c>
    </row>
    <row r="1155" spans="1:17" x14ac:dyDescent="0.35">
      <c r="A1155">
        <v>15</v>
      </c>
      <c r="B1155" t="s">
        <v>16</v>
      </c>
      <c r="C1155" s="4">
        <v>7.4</v>
      </c>
      <c r="D1155" t="s">
        <v>17</v>
      </c>
      <c r="E1155" s="4">
        <v>8.9</v>
      </c>
      <c r="F1155" s="4">
        <v>2.9</v>
      </c>
      <c r="G1155">
        <v>3.39</v>
      </c>
      <c r="H1155">
        <v>1.1000000000000001</v>
      </c>
      <c r="I1155" t="s">
        <v>18</v>
      </c>
      <c r="J1155">
        <v>4</v>
      </c>
      <c r="K1155">
        <v>9</v>
      </c>
      <c r="L1155">
        <v>1</v>
      </c>
      <c r="M1155">
        <v>0</v>
      </c>
      <c r="N1155">
        <f>_xlfn.IFS(rounded[[#This Row],[social_interaction_level]] = "low", 1,rounded[[#This Row],[social_interaction_level]] = "medium", 2,rounded[[#This Row],[social_interaction_level]] = "high", 3)</f>
        <v>3</v>
      </c>
      <c r="O1155">
        <f t="shared" si="18"/>
        <v>14</v>
      </c>
      <c r="P1155" t="str" cm="1">
        <f t="array" ref="P1155">_xlfn.SWITCH(rounded[[#This Row],[depression_label]], 0, "Not Depressed", 1, "Depressed")</f>
        <v>Not Depressed</v>
      </c>
      <c r="Q1155" s="45" t="str" cm="1">
        <f t="array" ref="Q1155">_xlfn.SWITCH(rounded[[#This Row],[gender]], "male", "Male", "female", "Female")</f>
        <v>Female</v>
      </c>
    </row>
    <row r="1156" spans="1:17" x14ac:dyDescent="0.35">
      <c r="A1156">
        <v>17</v>
      </c>
      <c r="B1156" t="s">
        <v>13</v>
      </c>
      <c r="C1156" s="4">
        <v>6.6</v>
      </c>
      <c r="D1156" t="s">
        <v>17</v>
      </c>
      <c r="E1156" s="4">
        <v>5.2</v>
      </c>
      <c r="F1156" s="4">
        <v>2.2000000000000002</v>
      </c>
      <c r="G1156">
        <v>2.98</v>
      </c>
      <c r="H1156">
        <v>0.8</v>
      </c>
      <c r="I1156" t="s">
        <v>18</v>
      </c>
      <c r="J1156">
        <v>6</v>
      </c>
      <c r="K1156">
        <v>8</v>
      </c>
      <c r="L1156">
        <v>7</v>
      </c>
      <c r="M1156">
        <v>0</v>
      </c>
      <c r="N1156">
        <f>_xlfn.IFS(rounded[[#This Row],[social_interaction_level]] = "low", 1,rounded[[#This Row],[social_interaction_level]] = "medium", 2,rounded[[#This Row],[social_interaction_level]] = "high", 3)</f>
        <v>3</v>
      </c>
      <c r="O1156">
        <f t="shared" si="18"/>
        <v>21</v>
      </c>
      <c r="P1156" t="str" cm="1">
        <f t="array" ref="P1156">_xlfn.SWITCH(rounded[[#This Row],[depression_label]], 0, "Not Depressed", 1, "Depressed")</f>
        <v>Not Depressed</v>
      </c>
      <c r="Q1156" s="45" t="str" cm="1">
        <f t="array" ref="Q1156">_xlfn.SWITCH(rounded[[#This Row],[gender]], "male", "Male", "female", "Female")</f>
        <v>Male</v>
      </c>
    </row>
    <row r="1157" spans="1:17" x14ac:dyDescent="0.35">
      <c r="A1157">
        <v>13</v>
      </c>
      <c r="B1157" t="s">
        <v>16</v>
      </c>
      <c r="C1157" s="4">
        <v>7.1</v>
      </c>
      <c r="D1157" t="s">
        <v>20</v>
      </c>
      <c r="E1157" s="4">
        <v>7.2</v>
      </c>
      <c r="F1157" s="4">
        <v>1.1000000000000001</v>
      </c>
      <c r="G1157">
        <v>3.69</v>
      </c>
      <c r="H1157">
        <v>1</v>
      </c>
      <c r="I1157" t="s">
        <v>15</v>
      </c>
      <c r="J1157">
        <v>4</v>
      </c>
      <c r="K1157">
        <v>6</v>
      </c>
      <c r="L1157">
        <v>3</v>
      </c>
      <c r="M1157">
        <v>0</v>
      </c>
      <c r="N1157">
        <f>_xlfn.IFS(rounded[[#This Row],[social_interaction_level]] = "low", 1,rounded[[#This Row],[social_interaction_level]] = "medium", 2,rounded[[#This Row],[social_interaction_level]] = "high", 3)</f>
        <v>1</v>
      </c>
      <c r="O1157">
        <f t="shared" si="18"/>
        <v>13</v>
      </c>
      <c r="P1157" t="str" cm="1">
        <f t="array" ref="P1157">_xlfn.SWITCH(rounded[[#This Row],[depression_label]], 0, "Not Depressed", 1, "Depressed")</f>
        <v>Not Depressed</v>
      </c>
      <c r="Q1157" s="45" t="str" cm="1">
        <f t="array" ref="Q1157">_xlfn.SWITCH(rounded[[#This Row],[gender]], "male", "Male", "female", "Female")</f>
        <v>Female</v>
      </c>
    </row>
    <row r="1158" spans="1:17" x14ac:dyDescent="0.35">
      <c r="A1158">
        <v>15</v>
      </c>
      <c r="B1158" t="s">
        <v>16</v>
      </c>
      <c r="C1158" s="4">
        <v>1.1000000000000001</v>
      </c>
      <c r="D1158" t="s">
        <v>17</v>
      </c>
      <c r="E1158" s="4">
        <v>8.6</v>
      </c>
      <c r="F1158" s="4">
        <v>2.2999999999999998</v>
      </c>
      <c r="G1158">
        <v>3.68</v>
      </c>
      <c r="H1158">
        <v>0.5</v>
      </c>
      <c r="I1158" t="s">
        <v>15</v>
      </c>
      <c r="J1158">
        <v>1</v>
      </c>
      <c r="K1158">
        <v>2</v>
      </c>
      <c r="L1158">
        <v>7</v>
      </c>
      <c r="M1158">
        <v>0</v>
      </c>
      <c r="N1158">
        <f>_xlfn.IFS(rounded[[#This Row],[social_interaction_level]] = "low", 1,rounded[[#This Row],[social_interaction_level]] = "medium", 2,rounded[[#This Row],[social_interaction_level]] = "high", 3)</f>
        <v>1</v>
      </c>
      <c r="O1158">
        <f t="shared" si="18"/>
        <v>10</v>
      </c>
      <c r="P1158" t="str" cm="1">
        <f t="array" ref="P1158">_xlfn.SWITCH(rounded[[#This Row],[depression_label]], 0, "Not Depressed", 1, "Depressed")</f>
        <v>Not Depressed</v>
      </c>
      <c r="Q1158" s="45" t="str" cm="1">
        <f t="array" ref="Q1158">_xlfn.SWITCH(rounded[[#This Row],[gender]], "male", "Male", "female", "Female")</f>
        <v>Female</v>
      </c>
    </row>
    <row r="1159" spans="1:17" x14ac:dyDescent="0.35">
      <c r="A1159">
        <v>13</v>
      </c>
      <c r="B1159" t="s">
        <v>16</v>
      </c>
      <c r="C1159" s="4">
        <v>3.6</v>
      </c>
      <c r="D1159" t="s">
        <v>17</v>
      </c>
      <c r="E1159" s="4">
        <v>8.6999999999999993</v>
      </c>
      <c r="F1159" s="4">
        <v>0.8</v>
      </c>
      <c r="G1159">
        <v>2.41</v>
      </c>
      <c r="H1159">
        <v>1.3</v>
      </c>
      <c r="I1159" t="s">
        <v>15</v>
      </c>
      <c r="J1159">
        <v>4</v>
      </c>
      <c r="K1159">
        <v>6</v>
      </c>
      <c r="L1159">
        <v>8</v>
      </c>
      <c r="M1159">
        <v>0</v>
      </c>
      <c r="N1159">
        <f>_xlfn.IFS(rounded[[#This Row],[social_interaction_level]] = "low", 1,rounded[[#This Row],[social_interaction_level]] = "medium", 2,rounded[[#This Row],[social_interaction_level]] = "high", 3)</f>
        <v>1</v>
      </c>
      <c r="O1159">
        <f t="shared" si="18"/>
        <v>18</v>
      </c>
      <c r="P1159" t="str" cm="1">
        <f t="array" ref="P1159">_xlfn.SWITCH(rounded[[#This Row],[depression_label]], 0, "Not Depressed", 1, "Depressed")</f>
        <v>Not Depressed</v>
      </c>
      <c r="Q1159" s="45" t="str" cm="1">
        <f t="array" ref="Q1159">_xlfn.SWITCH(rounded[[#This Row],[gender]], "male", "Male", "female", "Female")</f>
        <v>Female</v>
      </c>
    </row>
    <row r="1160" spans="1:17" x14ac:dyDescent="0.35">
      <c r="A1160">
        <v>16</v>
      </c>
      <c r="B1160" t="s">
        <v>13</v>
      </c>
      <c r="C1160" s="4">
        <v>5.0999999999999996</v>
      </c>
      <c r="D1160" t="s">
        <v>17</v>
      </c>
      <c r="E1160" s="4">
        <v>4.5999999999999996</v>
      </c>
      <c r="F1160" s="4">
        <v>1.1000000000000001</v>
      </c>
      <c r="G1160">
        <v>2.75</v>
      </c>
      <c r="H1160">
        <v>1.5</v>
      </c>
      <c r="I1160" t="s">
        <v>19</v>
      </c>
      <c r="J1160">
        <v>6</v>
      </c>
      <c r="K1160">
        <v>3</v>
      </c>
      <c r="L1160">
        <v>6</v>
      </c>
      <c r="M1160">
        <v>0</v>
      </c>
      <c r="N1160">
        <f>_xlfn.IFS(rounded[[#This Row],[social_interaction_level]] = "low", 1,rounded[[#This Row],[social_interaction_level]] = "medium", 2,rounded[[#This Row],[social_interaction_level]] = "high", 3)</f>
        <v>2</v>
      </c>
      <c r="O1160">
        <f t="shared" si="18"/>
        <v>15</v>
      </c>
      <c r="P1160" t="str" cm="1">
        <f t="array" ref="P1160">_xlfn.SWITCH(rounded[[#This Row],[depression_label]], 0, "Not Depressed", 1, "Depressed")</f>
        <v>Not Depressed</v>
      </c>
      <c r="Q1160" s="45" t="str" cm="1">
        <f t="array" ref="Q1160">_xlfn.SWITCH(rounded[[#This Row],[gender]], "male", "Male", "female", "Female")</f>
        <v>Male</v>
      </c>
    </row>
    <row r="1161" spans="1:17" x14ac:dyDescent="0.35">
      <c r="A1161">
        <v>19</v>
      </c>
      <c r="B1161" t="s">
        <v>16</v>
      </c>
      <c r="C1161" s="4">
        <v>7.3</v>
      </c>
      <c r="D1161" t="s">
        <v>14</v>
      </c>
      <c r="E1161" s="4">
        <v>7.8</v>
      </c>
      <c r="F1161" s="4">
        <v>1</v>
      </c>
      <c r="G1161">
        <v>2.91</v>
      </c>
      <c r="H1161">
        <v>0.8</v>
      </c>
      <c r="I1161" t="s">
        <v>19</v>
      </c>
      <c r="J1161">
        <v>9</v>
      </c>
      <c r="K1161">
        <v>7</v>
      </c>
      <c r="L1161">
        <v>5</v>
      </c>
      <c r="M1161">
        <v>0</v>
      </c>
      <c r="N1161">
        <f>_xlfn.IFS(rounded[[#This Row],[social_interaction_level]] = "low", 1,rounded[[#This Row],[social_interaction_level]] = "medium", 2,rounded[[#This Row],[social_interaction_level]] = "high", 3)</f>
        <v>2</v>
      </c>
      <c r="O1161">
        <f t="shared" si="18"/>
        <v>21</v>
      </c>
      <c r="P1161" t="str" cm="1">
        <f t="array" ref="P1161">_xlfn.SWITCH(rounded[[#This Row],[depression_label]], 0, "Not Depressed", 1, "Depressed")</f>
        <v>Not Depressed</v>
      </c>
      <c r="Q1161" s="45" t="str" cm="1">
        <f t="array" ref="Q1161">_xlfn.SWITCH(rounded[[#This Row],[gender]], "male", "Male", "female", "Female")</f>
        <v>Female</v>
      </c>
    </row>
    <row r="1162" spans="1:17" x14ac:dyDescent="0.35">
      <c r="A1162">
        <v>13</v>
      </c>
      <c r="B1162" t="s">
        <v>16</v>
      </c>
      <c r="C1162" s="4">
        <v>7.7</v>
      </c>
      <c r="D1162" t="s">
        <v>20</v>
      </c>
      <c r="E1162" s="4">
        <v>7.5</v>
      </c>
      <c r="F1162" s="4">
        <v>1.4</v>
      </c>
      <c r="G1162">
        <v>2.2400000000000002</v>
      </c>
      <c r="H1162">
        <v>0.1</v>
      </c>
      <c r="I1162" t="s">
        <v>15</v>
      </c>
      <c r="J1162">
        <v>5</v>
      </c>
      <c r="K1162">
        <v>3</v>
      </c>
      <c r="L1162">
        <v>3</v>
      </c>
      <c r="M1162">
        <v>0</v>
      </c>
      <c r="N1162">
        <f>_xlfn.IFS(rounded[[#This Row],[social_interaction_level]] = "low", 1,rounded[[#This Row],[social_interaction_level]] = "medium", 2,rounded[[#This Row],[social_interaction_level]] = "high", 3)</f>
        <v>1</v>
      </c>
      <c r="O1162">
        <f t="shared" si="18"/>
        <v>11</v>
      </c>
      <c r="P1162" t="str" cm="1">
        <f t="array" ref="P1162">_xlfn.SWITCH(rounded[[#This Row],[depression_label]], 0, "Not Depressed", 1, "Depressed")</f>
        <v>Not Depressed</v>
      </c>
      <c r="Q1162" s="45" t="str" cm="1">
        <f t="array" ref="Q1162">_xlfn.SWITCH(rounded[[#This Row],[gender]], "male", "Male", "female", "Female")</f>
        <v>Female</v>
      </c>
    </row>
    <row r="1163" spans="1:17" x14ac:dyDescent="0.35">
      <c r="A1163">
        <v>13</v>
      </c>
      <c r="B1163" t="s">
        <v>16</v>
      </c>
      <c r="C1163" s="4">
        <v>7.9</v>
      </c>
      <c r="D1163" t="s">
        <v>17</v>
      </c>
      <c r="E1163" s="4">
        <v>4.0999999999999996</v>
      </c>
      <c r="F1163" s="4">
        <v>1.6</v>
      </c>
      <c r="G1163">
        <v>2.74</v>
      </c>
      <c r="H1163">
        <v>0.9</v>
      </c>
      <c r="I1163" t="s">
        <v>19</v>
      </c>
      <c r="J1163">
        <v>9</v>
      </c>
      <c r="K1163">
        <v>3</v>
      </c>
      <c r="L1163">
        <v>5</v>
      </c>
      <c r="M1163">
        <v>0</v>
      </c>
      <c r="N1163">
        <f>_xlfn.IFS(rounded[[#This Row],[social_interaction_level]] = "low", 1,rounded[[#This Row],[social_interaction_level]] = "medium", 2,rounded[[#This Row],[social_interaction_level]] = "high", 3)</f>
        <v>2</v>
      </c>
      <c r="O1163">
        <f t="shared" si="18"/>
        <v>17</v>
      </c>
      <c r="P1163" t="str" cm="1">
        <f t="array" ref="P1163">_xlfn.SWITCH(rounded[[#This Row],[depression_label]], 0, "Not Depressed", 1, "Depressed")</f>
        <v>Not Depressed</v>
      </c>
      <c r="Q1163" s="45" t="str" cm="1">
        <f t="array" ref="Q1163">_xlfn.SWITCH(rounded[[#This Row],[gender]], "male", "Male", "female", "Female")</f>
        <v>Female</v>
      </c>
    </row>
    <row r="1164" spans="1:17" x14ac:dyDescent="0.35">
      <c r="A1164">
        <v>16</v>
      </c>
      <c r="B1164" t="s">
        <v>16</v>
      </c>
      <c r="C1164" s="4">
        <v>5.5</v>
      </c>
      <c r="D1164" t="s">
        <v>20</v>
      </c>
      <c r="E1164" s="4">
        <v>5.8</v>
      </c>
      <c r="F1164" s="4">
        <v>2.5</v>
      </c>
      <c r="G1164">
        <v>2.34</v>
      </c>
      <c r="H1164">
        <v>1</v>
      </c>
      <c r="I1164" t="s">
        <v>15</v>
      </c>
      <c r="J1164">
        <v>5</v>
      </c>
      <c r="K1164">
        <v>2</v>
      </c>
      <c r="L1164">
        <v>8</v>
      </c>
      <c r="M1164">
        <v>0</v>
      </c>
      <c r="N1164">
        <f>_xlfn.IFS(rounded[[#This Row],[social_interaction_level]] = "low", 1,rounded[[#This Row],[social_interaction_level]] = "medium", 2,rounded[[#This Row],[social_interaction_level]] = "high", 3)</f>
        <v>1</v>
      </c>
      <c r="O1164">
        <f t="shared" si="18"/>
        <v>15</v>
      </c>
      <c r="P1164" t="str" cm="1">
        <f t="array" ref="P1164">_xlfn.SWITCH(rounded[[#This Row],[depression_label]], 0, "Not Depressed", 1, "Depressed")</f>
        <v>Not Depressed</v>
      </c>
      <c r="Q1164" s="45" t="str" cm="1">
        <f t="array" ref="Q1164">_xlfn.SWITCH(rounded[[#This Row],[gender]], "male", "Male", "female", "Female")</f>
        <v>Female</v>
      </c>
    </row>
    <row r="1165" spans="1:17" x14ac:dyDescent="0.35">
      <c r="A1165">
        <v>19</v>
      </c>
      <c r="B1165" t="s">
        <v>13</v>
      </c>
      <c r="C1165" s="4">
        <v>4</v>
      </c>
      <c r="D1165" t="s">
        <v>14</v>
      </c>
      <c r="E1165" s="4">
        <v>7.8</v>
      </c>
      <c r="F1165" s="4">
        <v>0.6</v>
      </c>
      <c r="G1165">
        <v>3.61</v>
      </c>
      <c r="H1165">
        <v>1.7</v>
      </c>
      <c r="I1165" t="s">
        <v>18</v>
      </c>
      <c r="J1165">
        <v>2</v>
      </c>
      <c r="K1165">
        <v>7</v>
      </c>
      <c r="L1165">
        <v>9</v>
      </c>
      <c r="M1165">
        <v>0</v>
      </c>
      <c r="N1165">
        <f>_xlfn.IFS(rounded[[#This Row],[social_interaction_level]] = "low", 1,rounded[[#This Row],[social_interaction_level]] = "medium", 2,rounded[[#This Row],[social_interaction_level]] = "high", 3)</f>
        <v>3</v>
      </c>
      <c r="O1165">
        <f t="shared" si="18"/>
        <v>18</v>
      </c>
      <c r="P1165" t="str" cm="1">
        <f t="array" ref="P1165">_xlfn.SWITCH(rounded[[#This Row],[depression_label]], 0, "Not Depressed", 1, "Depressed")</f>
        <v>Not Depressed</v>
      </c>
      <c r="Q1165" s="45" t="str" cm="1">
        <f t="array" ref="Q1165">_xlfn.SWITCH(rounded[[#This Row],[gender]], "male", "Male", "female", "Female")</f>
        <v>Male</v>
      </c>
    </row>
    <row r="1166" spans="1:17" x14ac:dyDescent="0.35">
      <c r="A1166">
        <v>15</v>
      </c>
      <c r="B1166" t="s">
        <v>16</v>
      </c>
      <c r="C1166" s="4">
        <v>7.9</v>
      </c>
      <c r="D1166" t="s">
        <v>17</v>
      </c>
      <c r="E1166" s="4">
        <v>4.7</v>
      </c>
      <c r="F1166" s="4">
        <v>1.5</v>
      </c>
      <c r="G1166">
        <v>3.3</v>
      </c>
      <c r="H1166">
        <v>0</v>
      </c>
      <c r="I1166" t="s">
        <v>15</v>
      </c>
      <c r="J1166">
        <v>5</v>
      </c>
      <c r="K1166">
        <v>8</v>
      </c>
      <c r="L1166">
        <v>5</v>
      </c>
      <c r="M1166">
        <v>0</v>
      </c>
      <c r="N1166">
        <f>_xlfn.IFS(rounded[[#This Row],[social_interaction_level]] = "low", 1,rounded[[#This Row],[social_interaction_level]] = "medium", 2,rounded[[#This Row],[social_interaction_level]] = "high", 3)</f>
        <v>1</v>
      </c>
      <c r="O1166">
        <f t="shared" si="18"/>
        <v>18</v>
      </c>
      <c r="P1166" t="str" cm="1">
        <f t="array" ref="P1166">_xlfn.SWITCH(rounded[[#This Row],[depression_label]], 0, "Not Depressed", 1, "Depressed")</f>
        <v>Not Depressed</v>
      </c>
      <c r="Q1166" s="45" t="str" cm="1">
        <f t="array" ref="Q1166">_xlfn.SWITCH(rounded[[#This Row],[gender]], "male", "Male", "female", "Female")</f>
        <v>Female</v>
      </c>
    </row>
    <row r="1167" spans="1:17" x14ac:dyDescent="0.35">
      <c r="A1167">
        <v>18</v>
      </c>
      <c r="B1167" t="s">
        <v>16</v>
      </c>
      <c r="C1167" s="4">
        <v>5.5</v>
      </c>
      <c r="D1167" t="s">
        <v>20</v>
      </c>
      <c r="E1167" s="4">
        <v>8.1999999999999993</v>
      </c>
      <c r="F1167" s="4">
        <v>0.5</v>
      </c>
      <c r="G1167">
        <v>3.15</v>
      </c>
      <c r="H1167">
        <v>1.2</v>
      </c>
      <c r="I1167" t="s">
        <v>19</v>
      </c>
      <c r="J1167">
        <v>8</v>
      </c>
      <c r="K1167">
        <v>7</v>
      </c>
      <c r="L1167">
        <v>7</v>
      </c>
      <c r="M1167">
        <v>0</v>
      </c>
      <c r="N1167">
        <f>_xlfn.IFS(rounded[[#This Row],[social_interaction_level]] = "low", 1,rounded[[#This Row],[social_interaction_level]] = "medium", 2,rounded[[#This Row],[social_interaction_level]] = "high", 3)</f>
        <v>2</v>
      </c>
      <c r="O1167">
        <f t="shared" si="18"/>
        <v>22</v>
      </c>
      <c r="P1167" t="str" cm="1">
        <f t="array" ref="P1167">_xlfn.SWITCH(rounded[[#This Row],[depression_label]], 0, "Not Depressed", 1, "Depressed")</f>
        <v>Not Depressed</v>
      </c>
      <c r="Q1167" s="45" t="str" cm="1">
        <f t="array" ref="Q1167">_xlfn.SWITCH(rounded[[#This Row],[gender]], "male", "Male", "female", "Female")</f>
        <v>Female</v>
      </c>
    </row>
    <row r="1168" spans="1:17" x14ac:dyDescent="0.35">
      <c r="A1168">
        <v>17</v>
      </c>
      <c r="B1168" t="s">
        <v>16</v>
      </c>
      <c r="C1168" s="4">
        <v>7.6</v>
      </c>
      <c r="D1168" t="s">
        <v>20</v>
      </c>
      <c r="E1168" s="4">
        <v>7.1</v>
      </c>
      <c r="F1168" s="4">
        <v>1.1000000000000001</v>
      </c>
      <c r="G1168">
        <v>2.0699999999999998</v>
      </c>
      <c r="H1168">
        <v>1.9</v>
      </c>
      <c r="I1168" t="s">
        <v>18</v>
      </c>
      <c r="J1168">
        <v>3</v>
      </c>
      <c r="K1168">
        <v>2</v>
      </c>
      <c r="L1168">
        <v>6</v>
      </c>
      <c r="M1168">
        <v>0</v>
      </c>
      <c r="N1168">
        <f>_xlfn.IFS(rounded[[#This Row],[social_interaction_level]] = "low", 1,rounded[[#This Row],[social_interaction_level]] = "medium", 2,rounded[[#This Row],[social_interaction_level]] = "high", 3)</f>
        <v>3</v>
      </c>
      <c r="O1168">
        <f t="shared" si="18"/>
        <v>11</v>
      </c>
      <c r="P1168" t="str" cm="1">
        <f t="array" ref="P1168">_xlfn.SWITCH(rounded[[#This Row],[depression_label]], 0, "Not Depressed", 1, "Depressed")</f>
        <v>Not Depressed</v>
      </c>
      <c r="Q1168" s="45" t="str" cm="1">
        <f t="array" ref="Q1168">_xlfn.SWITCH(rounded[[#This Row],[gender]], "male", "Male", "female", "Female")</f>
        <v>Female</v>
      </c>
    </row>
    <row r="1169" spans="1:17" x14ac:dyDescent="0.35">
      <c r="A1169">
        <v>13</v>
      </c>
      <c r="B1169" t="s">
        <v>13</v>
      </c>
      <c r="C1169" s="4">
        <v>1.3</v>
      </c>
      <c r="D1169" t="s">
        <v>17</v>
      </c>
      <c r="E1169" s="4">
        <v>4.4000000000000004</v>
      </c>
      <c r="F1169" s="4">
        <v>0.9</v>
      </c>
      <c r="G1169">
        <v>2.99</v>
      </c>
      <c r="H1169">
        <v>0</v>
      </c>
      <c r="I1169" t="s">
        <v>18</v>
      </c>
      <c r="J1169">
        <v>8</v>
      </c>
      <c r="K1169">
        <v>2</v>
      </c>
      <c r="L1169">
        <v>5</v>
      </c>
      <c r="M1169">
        <v>0</v>
      </c>
      <c r="N1169">
        <f>_xlfn.IFS(rounded[[#This Row],[social_interaction_level]] = "low", 1,rounded[[#This Row],[social_interaction_level]] = "medium", 2,rounded[[#This Row],[social_interaction_level]] = "high", 3)</f>
        <v>3</v>
      </c>
      <c r="O1169">
        <f t="shared" si="18"/>
        <v>15</v>
      </c>
      <c r="P1169" t="str" cm="1">
        <f t="array" ref="P1169">_xlfn.SWITCH(rounded[[#This Row],[depression_label]], 0, "Not Depressed", 1, "Depressed")</f>
        <v>Not Depressed</v>
      </c>
      <c r="Q1169" s="45" t="str" cm="1">
        <f t="array" ref="Q1169">_xlfn.SWITCH(rounded[[#This Row],[gender]], "male", "Male", "female", "Female")</f>
        <v>Male</v>
      </c>
    </row>
    <row r="1170" spans="1:17" x14ac:dyDescent="0.35">
      <c r="A1170">
        <v>16</v>
      </c>
      <c r="B1170" t="s">
        <v>13</v>
      </c>
      <c r="C1170" s="4">
        <v>7.3</v>
      </c>
      <c r="D1170" t="s">
        <v>17</v>
      </c>
      <c r="E1170" s="4">
        <v>7</v>
      </c>
      <c r="F1170" s="4">
        <v>2.2000000000000002</v>
      </c>
      <c r="G1170">
        <v>2.0699999999999998</v>
      </c>
      <c r="H1170">
        <v>1</v>
      </c>
      <c r="I1170" t="s">
        <v>19</v>
      </c>
      <c r="J1170">
        <v>3</v>
      </c>
      <c r="K1170">
        <v>7</v>
      </c>
      <c r="L1170">
        <v>1</v>
      </c>
      <c r="M1170">
        <v>0</v>
      </c>
      <c r="N1170">
        <f>_xlfn.IFS(rounded[[#This Row],[social_interaction_level]] = "low", 1,rounded[[#This Row],[social_interaction_level]] = "medium", 2,rounded[[#This Row],[social_interaction_level]] = "high", 3)</f>
        <v>2</v>
      </c>
      <c r="O1170">
        <f t="shared" si="18"/>
        <v>11</v>
      </c>
      <c r="P1170" t="str" cm="1">
        <f t="array" ref="P1170">_xlfn.SWITCH(rounded[[#This Row],[depression_label]], 0, "Not Depressed", 1, "Depressed")</f>
        <v>Not Depressed</v>
      </c>
      <c r="Q1170" s="45" t="str" cm="1">
        <f t="array" ref="Q1170">_xlfn.SWITCH(rounded[[#This Row],[gender]], "male", "Male", "female", "Female")</f>
        <v>Male</v>
      </c>
    </row>
    <row r="1171" spans="1:17" x14ac:dyDescent="0.35">
      <c r="A1171">
        <v>18</v>
      </c>
      <c r="B1171" t="s">
        <v>13</v>
      </c>
      <c r="C1171" s="4">
        <v>4.3</v>
      </c>
      <c r="D1171" t="s">
        <v>14</v>
      </c>
      <c r="E1171" s="4">
        <v>6.7</v>
      </c>
      <c r="F1171" s="4">
        <v>2.5</v>
      </c>
      <c r="G1171">
        <v>3.19</v>
      </c>
      <c r="H1171">
        <v>1</v>
      </c>
      <c r="I1171" t="s">
        <v>18</v>
      </c>
      <c r="J1171">
        <v>5</v>
      </c>
      <c r="K1171">
        <v>5</v>
      </c>
      <c r="L1171">
        <v>5</v>
      </c>
      <c r="M1171">
        <v>0</v>
      </c>
      <c r="N1171">
        <f>_xlfn.IFS(rounded[[#This Row],[social_interaction_level]] = "low", 1,rounded[[#This Row],[social_interaction_level]] = "medium", 2,rounded[[#This Row],[social_interaction_level]] = "high", 3)</f>
        <v>3</v>
      </c>
      <c r="O1171">
        <f t="shared" si="18"/>
        <v>15</v>
      </c>
      <c r="P1171" t="str" cm="1">
        <f t="array" ref="P1171">_xlfn.SWITCH(rounded[[#This Row],[depression_label]], 0, "Not Depressed", 1, "Depressed")</f>
        <v>Not Depressed</v>
      </c>
      <c r="Q1171" s="45" t="str" cm="1">
        <f t="array" ref="Q1171">_xlfn.SWITCH(rounded[[#This Row],[gender]], "male", "Male", "female", "Female")</f>
        <v>Male</v>
      </c>
    </row>
    <row r="1172" spans="1:17" x14ac:dyDescent="0.35">
      <c r="A1172">
        <v>16</v>
      </c>
      <c r="B1172" t="s">
        <v>13</v>
      </c>
      <c r="C1172" s="4">
        <v>7.1</v>
      </c>
      <c r="D1172" t="s">
        <v>17</v>
      </c>
      <c r="E1172" s="4">
        <v>7.7</v>
      </c>
      <c r="F1172" s="4">
        <v>1.9</v>
      </c>
      <c r="G1172">
        <v>2.2400000000000002</v>
      </c>
      <c r="H1172">
        <v>0.6</v>
      </c>
      <c r="I1172" t="s">
        <v>18</v>
      </c>
      <c r="J1172">
        <v>8</v>
      </c>
      <c r="K1172">
        <v>10</v>
      </c>
      <c r="L1172">
        <v>5</v>
      </c>
      <c r="M1172">
        <v>0</v>
      </c>
      <c r="N1172">
        <f>_xlfn.IFS(rounded[[#This Row],[social_interaction_level]] = "low", 1,rounded[[#This Row],[social_interaction_level]] = "medium", 2,rounded[[#This Row],[social_interaction_level]] = "high", 3)</f>
        <v>3</v>
      </c>
      <c r="O1172">
        <f t="shared" si="18"/>
        <v>23</v>
      </c>
      <c r="P1172" t="str" cm="1">
        <f t="array" ref="P1172">_xlfn.SWITCH(rounded[[#This Row],[depression_label]], 0, "Not Depressed", 1, "Depressed")</f>
        <v>Not Depressed</v>
      </c>
      <c r="Q1172" s="45" t="str" cm="1">
        <f t="array" ref="Q1172">_xlfn.SWITCH(rounded[[#This Row],[gender]], "male", "Male", "female", "Female")</f>
        <v>Male</v>
      </c>
    </row>
    <row r="1173" spans="1:17" x14ac:dyDescent="0.35">
      <c r="A1173">
        <v>14</v>
      </c>
      <c r="B1173" t="s">
        <v>16</v>
      </c>
      <c r="C1173" s="4">
        <v>5.7</v>
      </c>
      <c r="D1173" t="s">
        <v>17</v>
      </c>
      <c r="E1173" s="4">
        <v>6.4</v>
      </c>
      <c r="F1173" s="4">
        <v>1.9</v>
      </c>
      <c r="G1173">
        <v>3.3</v>
      </c>
      <c r="H1173">
        <v>1.3</v>
      </c>
      <c r="I1173" t="s">
        <v>18</v>
      </c>
      <c r="J1173">
        <v>6</v>
      </c>
      <c r="K1173">
        <v>8</v>
      </c>
      <c r="L1173">
        <v>5</v>
      </c>
      <c r="M1173">
        <v>0</v>
      </c>
      <c r="N1173">
        <f>_xlfn.IFS(rounded[[#This Row],[social_interaction_level]] = "low", 1,rounded[[#This Row],[social_interaction_level]] = "medium", 2,rounded[[#This Row],[social_interaction_level]] = "high", 3)</f>
        <v>3</v>
      </c>
      <c r="O1173">
        <f t="shared" si="18"/>
        <v>19</v>
      </c>
      <c r="P1173" t="str" cm="1">
        <f t="array" ref="P1173">_xlfn.SWITCH(rounded[[#This Row],[depression_label]], 0, "Not Depressed", 1, "Depressed")</f>
        <v>Not Depressed</v>
      </c>
      <c r="Q1173" s="45" t="str" cm="1">
        <f t="array" ref="Q1173">_xlfn.SWITCH(rounded[[#This Row],[gender]], "male", "Male", "female", "Female")</f>
        <v>Female</v>
      </c>
    </row>
    <row r="1174" spans="1:17" x14ac:dyDescent="0.35">
      <c r="A1174">
        <v>18</v>
      </c>
      <c r="B1174" t="s">
        <v>16</v>
      </c>
      <c r="C1174" s="4">
        <v>5.2</v>
      </c>
      <c r="D1174" t="s">
        <v>20</v>
      </c>
      <c r="E1174" s="4">
        <v>7.3</v>
      </c>
      <c r="F1174" s="4">
        <v>1.7</v>
      </c>
      <c r="G1174">
        <v>3.33</v>
      </c>
      <c r="H1174">
        <v>0.9</v>
      </c>
      <c r="I1174" t="s">
        <v>15</v>
      </c>
      <c r="J1174">
        <v>7</v>
      </c>
      <c r="K1174">
        <v>4</v>
      </c>
      <c r="L1174">
        <v>9</v>
      </c>
      <c r="M1174">
        <v>0</v>
      </c>
      <c r="N1174">
        <f>_xlfn.IFS(rounded[[#This Row],[social_interaction_level]] = "low", 1,rounded[[#This Row],[social_interaction_level]] = "medium", 2,rounded[[#This Row],[social_interaction_level]] = "high", 3)</f>
        <v>1</v>
      </c>
      <c r="O1174">
        <f t="shared" si="18"/>
        <v>20</v>
      </c>
      <c r="P1174" t="str" cm="1">
        <f t="array" ref="P1174">_xlfn.SWITCH(rounded[[#This Row],[depression_label]], 0, "Not Depressed", 1, "Depressed")</f>
        <v>Not Depressed</v>
      </c>
      <c r="Q1174" s="45" t="str" cm="1">
        <f t="array" ref="Q1174">_xlfn.SWITCH(rounded[[#This Row],[gender]], "male", "Male", "female", "Female")</f>
        <v>Female</v>
      </c>
    </row>
    <row r="1175" spans="1:17" x14ac:dyDescent="0.35">
      <c r="A1175">
        <v>17</v>
      </c>
      <c r="B1175" t="s">
        <v>13</v>
      </c>
      <c r="C1175" s="4">
        <v>3.1</v>
      </c>
      <c r="D1175" t="s">
        <v>17</v>
      </c>
      <c r="E1175" s="4">
        <v>7.7</v>
      </c>
      <c r="F1175" s="4">
        <v>2.2000000000000002</v>
      </c>
      <c r="G1175">
        <v>3.72</v>
      </c>
      <c r="H1175">
        <v>1.4</v>
      </c>
      <c r="I1175" t="s">
        <v>19</v>
      </c>
      <c r="J1175">
        <v>1</v>
      </c>
      <c r="K1175">
        <v>5</v>
      </c>
      <c r="L1175">
        <v>8</v>
      </c>
      <c r="M1175">
        <v>0</v>
      </c>
      <c r="N1175">
        <f>_xlfn.IFS(rounded[[#This Row],[social_interaction_level]] = "low", 1,rounded[[#This Row],[social_interaction_level]] = "medium", 2,rounded[[#This Row],[social_interaction_level]] = "high", 3)</f>
        <v>2</v>
      </c>
      <c r="O1175">
        <f t="shared" si="18"/>
        <v>14</v>
      </c>
      <c r="P1175" t="str" cm="1">
        <f t="array" ref="P1175">_xlfn.SWITCH(rounded[[#This Row],[depression_label]], 0, "Not Depressed", 1, "Depressed")</f>
        <v>Not Depressed</v>
      </c>
      <c r="Q1175" s="45" t="str" cm="1">
        <f t="array" ref="Q1175">_xlfn.SWITCH(rounded[[#This Row],[gender]], "male", "Male", "female", "Female")</f>
        <v>Male</v>
      </c>
    </row>
    <row r="1176" spans="1:17" x14ac:dyDescent="0.35">
      <c r="A1176">
        <v>13</v>
      </c>
      <c r="B1176" t="s">
        <v>13</v>
      </c>
      <c r="C1176" s="4">
        <v>3</v>
      </c>
      <c r="D1176" t="s">
        <v>20</v>
      </c>
      <c r="E1176" s="4">
        <v>6.2</v>
      </c>
      <c r="F1176" s="4">
        <v>0.8</v>
      </c>
      <c r="G1176">
        <v>3.96</v>
      </c>
      <c r="H1176">
        <v>1.1000000000000001</v>
      </c>
      <c r="I1176" t="s">
        <v>15</v>
      </c>
      <c r="J1176">
        <v>9</v>
      </c>
      <c r="K1176">
        <v>10</v>
      </c>
      <c r="L1176">
        <v>3</v>
      </c>
      <c r="M1176">
        <v>0</v>
      </c>
      <c r="N1176">
        <f>_xlfn.IFS(rounded[[#This Row],[social_interaction_level]] = "low", 1,rounded[[#This Row],[social_interaction_level]] = "medium", 2,rounded[[#This Row],[social_interaction_level]] = "high", 3)</f>
        <v>1</v>
      </c>
      <c r="O1176">
        <f t="shared" si="18"/>
        <v>22</v>
      </c>
      <c r="P1176" t="str" cm="1">
        <f t="array" ref="P1176">_xlfn.SWITCH(rounded[[#This Row],[depression_label]], 0, "Not Depressed", 1, "Depressed")</f>
        <v>Not Depressed</v>
      </c>
      <c r="Q1176" s="45" t="str" cm="1">
        <f t="array" ref="Q1176">_xlfn.SWITCH(rounded[[#This Row],[gender]], "male", "Male", "female", "Female")</f>
        <v>Male</v>
      </c>
    </row>
    <row r="1177" spans="1:17" x14ac:dyDescent="0.35">
      <c r="A1177">
        <v>17</v>
      </c>
      <c r="B1177" t="s">
        <v>16</v>
      </c>
      <c r="C1177" s="4">
        <v>6</v>
      </c>
      <c r="D1177" t="s">
        <v>20</v>
      </c>
      <c r="E1177" s="4">
        <v>4.2</v>
      </c>
      <c r="F1177" s="4">
        <v>2.2000000000000002</v>
      </c>
      <c r="G1177">
        <v>2.27</v>
      </c>
      <c r="H1177">
        <v>0.5</v>
      </c>
      <c r="I1177" t="s">
        <v>19</v>
      </c>
      <c r="J1177">
        <v>1</v>
      </c>
      <c r="K1177">
        <v>4</v>
      </c>
      <c r="L1177">
        <v>5</v>
      </c>
      <c r="M1177">
        <v>0</v>
      </c>
      <c r="N1177">
        <f>_xlfn.IFS(rounded[[#This Row],[social_interaction_level]] = "low", 1,rounded[[#This Row],[social_interaction_level]] = "medium", 2,rounded[[#This Row],[social_interaction_level]] = "high", 3)</f>
        <v>2</v>
      </c>
      <c r="O1177">
        <f t="shared" si="18"/>
        <v>10</v>
      </c>
      <c r="P1177" t="str" cm="1">
        <f t="array" ref="P1177">_xlfn.SWITCH(rounded[[#This Row],[depression_label]], 0, "Not Depressed", 1, "Depressed")</f>
        <v>Not Depressed</v>
      </c>
      <c r="Q1177" s="45" t="str" cm="1">
        <f t="array" ref="Q1177">_xlfn.SWITCH(rounded[[#This Row],[gender]], "male", "Male", "female", "Female")</f>
        <v>Female</v>
      </c>
    </row>
    <row r="1178" spans="1:17" x14ac:dyDescent="0.35">
      <c r="A1178">
        <v>13</v>
      </c>
      <c r="B1178" t="s">
        <v>13</v>
      </c>
      <c r="C1178" s="4">
        <v>5.9</v>
      </c>
      <c r="D1178" t="s">
        <v>14</v>
      </c>
      <c r="E1178" s="4">
        <v>8.6</v>
      </c>
      <c r="F1178" s="4">
        <v>1.9</v>
      </c>
      <c r="G1178">
        <v>3.88</v>
      </c>
      <c r="H1178">
        <v>0.2</v>
      </c>
      <c r="I1178" t="s">
        <v>19</v>
      </c>
      <c r="J1178">
        <v>1</v>
      </c>
      <c r="K1178">
        <v>6</v>
      </c>
      <c r="L1178">
        <v>9</v>
      </c>
      <c r="M1178">
        <v>0</v>
      </c>
      <c r="N1178">
        <f>_xlfn.IFS(rounded[[#This Row],[social_interaction_level]] = "low", 1,rounded[[#This Row],[social_interaction_level]] = "medium", 2,rounded[[#This Row],[social_interaction_level]] = "high", 3)</f>
        <v>2</v>
      </c>
      <c r="O1178">
        <f t="shared" si="18"/>
        <v>16</v>
      </c>
      <c r="P1178" t="str" cm="1">
        <f t="array" ref="P1178">_xlfn.SWITCH(rounded[[#This Row],[depression_label]], 0, "Not Depressed", 1, "Depressed")</f>
        <v>Not Depressed</v>
      </c>
      <c r="Q1178" s="45" t="str" cm="1">
        <f t="array" ref="Q1178">_xlfn.SWITCH(rounded[[#This Row],[gender]], "male", "Male", "female", "Female")</f>
        <v>Male</v>
      </c>
    </row>
    <row r="1179" spans="1:17" x14ac:dyDescent="0.35">
      <c r="A1179">
        <v>15</v>
      </c>
      <c r="B1179" t="s">
        <v>13</v>
      </c>
      <c r="C1179" s="4">
        <v>5.0999999999999996</v>
      </c>
      <c r="D1179" t="s">
        <v>17</v>
      </c>
      <c r="E1179" s="4">
        <v>5.5</v>
      </c>
      <c r="F1179" s="4">
        <v>0.7</v>
      </c>
      <c r="G1179">
        <v>2.13</v>
      </c>
      <c r="H1179">
        <v>0.5</v>
      </c>
      <c r="I1179" t="s">
        <v>19</v>
      </c>
      <c r="J1179">
        <v>6</v>
      </c>
      <c r="K1179">
        <v>10</v>
      </c>
      <c r="L1179">
        <v>8</v>
      </c>
      <c r="M1179">
        <v>0</v>
      </c>
      <c r="N1179">
        <f>_xlfn.IFS(rounded[[#This Row],[social_interaction_level]] = "low", 1,rounded[[#This Row],[social_interaction_level]] = "medium", 2,rounded[[#This Row],[social_interaction_level]] = "high", 3)</f>
        <v>2</v>
      </c>
      <c r="O1179">
        <f t="shared" si="18"/>
        <v>24</v>
      </c>
      <c r="P1179" t="str" cm="1">
        <f t="array" ref="P1179">_xlfn.SWITCH(rounded[[#This Row],[depression_label]], 0, "Not Depressed", 1, "Depressed")</f>
        <v>Not Depressed</v>
      </c>
      <c r="Q1179" s="45" t="str" cm="1">
        <f t="array" ref="Q1179">_xlfn.SWITCH(rounded[[#This Row],[gender]], "male", "Male", "female", "Female")</f>
        <v>Male</v>
      </c>
    </row>
    <row r="1180" spans="1:17" x14ac:dyDescent="0.35">
      <c r="A1180">
        <v>19</v>
      </c>
      <c r="B1180" t="s">
        <v>16</v>
      </c>
      <c r="C1180" s="4">
        <v>3.5</v>
      </c>
      <c r="D1180" t="s">
        <v>14</v>
      </c>
      <c r="E1180" s="4">
        <v>4.9000000000000004</v>
      </c>
      <c r="F1180" s="4">
        <v>0.5</v>
      </c>
      <c r="G1180">
        <v>3.68</v>
      </c>
      <c r="H1180">
        <v>1.7</v>
      </c>
      <c r="I1180" t="s">
        <v>18</v>
      </c>
      <c r="J1180">
        <v>8</v>
      </c>
      <c r="K1180">
        <v>4</v>
      </c>
      <c r="L1180">
        <v>3</v>
      </c>
      <c r="M1180">
        <v>0</v>
      </c>
      <c r="N1180">
        <f>_xlfn.IFS(rounded[[#This Row],[social_interaction_level]] = "low", 1,rounded[[#This Row],[social_interaction_level]] = "medium", 2,rounded[[#This Row],[social_interaction_level]] = "high", 3)</f>
        <v>3</v>
      </c>
      <c r="O1180">
        <f t="shared" si="18"/>
        <v>15</v>
      </c>
      <c r="P1180" t="str" cm="1">
        <f t="array" ref="P1180">_xlfn.SWITCH(rounded[[#This Row],[depression_label]], 0, "Not Depressed", 1, "Depressed")</f>
        <v>Not Depressed</v>
      </c>
      <c r="Q1180" s="45" t="str" cm="1">
        <f t="array" ref="Q1180">_xlfn.SWITCH(rounded[[#This Row],[gender]], "male", "Male", "female", "Female")</f>
        <v>Female</v>
      </c>
    </row>
    <row r="1181" spans="1:17" x14ac:dyDescent="0.35">
      <c r="A1181">
        <v>16</v>
      </c>
      <c r="B1181" t="s">
        <v>13</v>
      </c>
      <c r="C1181" s="4">
        <v>5.3</v>
      </c>
      <c r="D1181" t="s">
        <v>17</v>
      </c>
      <c r="E1181" s="4">
        <v>5.3</v>
      </c>
      <c r="F1181" s="4">
        <v>2.4</v>
      </c>
      <c r="G1181">
        <v>3.01</v>
      </c>
      <c r="H1181">
        <v>1.6</v>
      </c>
      <c r="I1181" t="s">
        <v>19</v>
      </c>
      <c r="J1181">
        <v>2</v>
      </c>
      <c r="K1181">
        <v>9</v>
      </c>
      <c r="L1181">
        <v>1</v>
      </c>
      <c r="M1181">
        <v>0</v>
      </c>
      <c r="N1181">
        <f>_xlfn.IFS(rounded[[#This Row],[social_interaction_level]] = "low", 1,rounded[[#This Row],[social_interaction_level]] = "medium", 2,rounded[[#This Row],[social_interaction_level]] = "high", 3)</f>
        <v>2</v>
      </c>
      <c r="O1181">
        <f t="shared" si="18"/>
        <v>12</v>
      </c>
      <c r="P1181" t="str" cm="1">
        <f t="array" ref="P1181">_xlfn.SWITCH(rounded[[#This Row],[depression_label]], 0, "Not Depressed", 1, "Depressed")</f>
        <v>Not Depressed</v>
      </c>
      <c r="Q1181" s="45" t="str" cm="1">
        <f t="array" ref="Q1181">_xlfn.SWITCH(rounded[[#This Row],[gender]], "male", "Male", "female", "Female")</f>
        <v>Male</v>
      </c>
    </row>
    <row r="1182" spans="1:17" x14ac:dyDescent="0.35">
      <c r="A1182">
        <v>13</v>
      </c>
      <c r="B1182" t="s">
        <v>16</v>
      </c>
      <c r="C1182" s="4">
        <v>4.0999999999999996</v>
      </c>
      <c r="D1182" t="s">
        <v>14</v>
      </c>
      <c r="E1182" s="4">
        <v>7.5</v>
      </c>
      <c r="F1182" s="4">
        <v>1.7</v>
      </c>
      <c r="G1182">
        <v>3.12</v>
      </c>
      <c r="H1182">
        <v>2</v>
      </c>
      <c r="I1182" t="s">
        <v>19</v>
      </c>
      <c r="J1182">
        <v>1</v>
      </c>
      <c r="K1182">
        <v>4</v>
      </c>
      <c r="L1182">
        <v>9</v>
      </c>
      <c r="M1182">
        <v>0</v>
      </c>
      <c r="N1182">
        <f>_xlfn.IFS(rounded[[#This Row],[social_interaction_level]] = "low", 1,rounded[[#This Row],[social_interaction_level]] = "medium", 2,rounded[[#This Row],[social_interaction_level]] = "high", 3)</f>
        <v>2</v>
      </c>
      <c r="O1182">
        <f t="shared" si="18"/>
        <v>14</v>
      </c>
      <c r="P1182" t="str" cm="1">
        <f t="array" ref="P1182">_xlfn.SWITCH(rounded[[#This Row],[depression_label]], 0, "Not Depressed", 1, "Depressed")</f>
        <v>Not Depressed</v>
      </c>
      <c r="Q1182" s="45" t="str" cm="1">
        <f t="array" ref="Q1182">_xlfn.SWITCH(rounded[[#This Row],[gender]], "male", "Male", "female", "Female")</f>
        <v>Female</v>
      </c>
    </row>
    <row r="1183" spans="1:17" x14ac:dyDescent="0.35">
      <c r="A1183">
        <v>18</v>
      </c>
      <c r="B1183" t="s">
        <v>13</v>
      </c>
      <c r="C1183" s="4">
        <v>4.0999999999999996</v>
      </c>
      <c r="D1183" t="s">
        <v>14</v>
      </c>
      <c r="E1183" s="4">
        <v>6.7</v>
      </c>
      <c r="F1183" s="4">
        <v>2.1</v>
      </c>
      <c r="G1183">
        <v>2.5</v>
      </c>
      <c r="H1183">
        <v>0.1</v>
      </c>
      <c r="I1183" t="s">
        <v>19</v>
      </c>
      <c r="J1183">
        <v>8</v>
      </c>
      <c r="K1183">
        <v>1</v>
      </c>
      <c r="L1183">
        <v>5</v>
      </c>
      <c r="M1183">
        <v>0</v>
      </c>
      <c r="N1183">
        <f>_xlfn.IFS(rounded[[#This Row],[social_interaction_level]] = "low", 1,rounded[[#This Row],[social_interaction_level]] = "medium", 2,rounded[[#This Row],[social_interaction_level]] = "high", 3)</f>
        <v>2</v>
      </c>
      <c r="O1183">
        <f t="shared" si="18"/>
        <v>14</v>
      </c>
      <c r="P1183" t="str" cm="1">
        <f t="array" ref="P1183">_xlfn.SWITCH(rounded[[#This Row],[depression_label]], 0, "Not Depressed", 1, "Depressed")</f>
        <v>Not Depressed</v>
      </c>
      <c r="Q1183" s="45" t="str" cm="1">
        <f t="array" ref="Q1183">_xlfn.SWITCH(rounded[[#This Row],[gender]], "male", "Male", "female", "Female")</f>
        <v>Male</v>
      </c>
    </row>
    <row r="1184" spans="1:17" x14ac:dyDescent="0.35">
      <c r="A1184">
        <v>15</v>
      </c>
      <c r="B1184" t="s">
        <v>13</v>
      </c>
      <c r="C1184" s="4">
        <v>6.3</v>
      </c>
      <c r="D1184" t="s">
        <v>17</v>
      </c>
      <c r="E1184" s="4">
        <v>6.8</v>
      </c>
      <c r="F1184" s="4">
        <v>1.8</v>
      </c>
      <c r="G1184">
        <v>2.59</v>
      </c>
      <c r="H1184">
        <v>1.9</v>
      </c>
      <c r="I1184" t="s">
        <v>18</v>
      </c>
      <c r="J1184">
        <v>10</v>
      </c>
      <c r="K1184">
        <v>5</v>
      </c>
      <c r="L1184">
        <v>5</v>
      </c>
      <c r="M1184">
        <v>0</v>
      </c>
      <c r="N1184">
        <f>_xlfn.IFS(rounded[[#This Row],[social_interaction_level]] = "low", 1,rounded[[#This Row],[social_interaction_level]] = "medium", 2,rounded[[#This Row],[social_interaction_level]] = "high", 3)</f>
        <v>3</v>
      </c>
      <c r="O1184">
        <f t="shared" si="18"/>
        <v>20</v>
      </c>
      <c r="P1184" t="str" cm="1">
        <f t="array" ref="P1184">_xlfn.SWITCH(rounded[[#This Row],[depression_label]], 0, "Not Depressed", 1, "Depressed")</f>
        <v>Not Depressed</v>
      </c>
      <c r="Q1184" s="45" t="str" cm="1">
        <f t="array" ref="Q1184">_xlfn.SWITCH(rounded[[#This Row],[gender]], "male", "Male", "female", "Female")</f>
        <v>Male</v>
      </c>
    </row>
    <row r="1185" spans="1:17" x14ac:dyDescent="0.35">
      <c r="A1185">
        <v>19</v>
      </c>
      <c r="B1185" t="s">
        <v>16</v>
      </c>
      <c r="C1185" s="4">
        <v>6.6</v>
      </c>
      <c r="D1185" t="s">
        <v>20</v>
      </c>
      <c r="E1185" s="4">
        <v>9</v>
      </c>
      <c r="F1185" s="4">
        <v>2.9</v>
      </c>
      <c r="G1185">
        <v>2.4700000000000002</v>
      </c>
      <c r="H1185">
        <v>1.7</v>
      </c>
      <c r="I1185" t="s">
        <v>19</v>
      </c>
      <c r="J1185">
        <v>3</v>
      </c>
      <c r="K1185">
        <v>7</v>
      </c>
      <c r="L1185">
        <v>9</v>
      </c>
      <c r="M1185">
        <v>0</v>
      </c>
      <c r="N1185">
        <f>_xlfn.IFS(rounded[[#This Row],[social_interaction_level]] = "low", 1,rounded[[#This Row],[social_interaction_level]] = "medium", 2,rounded[[#This Row],[social_interaction_level]] = "high", 3)</f>
        <v>2</v>
      </c>
      <c r="O1185">
        <f t="shared" si="18"/>
        <v>19</v>
      </c>
      <c r="P1185" t="str" cm="1">
        <f t="array" ref="P1185">_xlfn.SWITCH(rounded[[#This Row],[depression_label]], 0, "Not Depressed", 1, "Depressed")</f>
        <v>Not Depressed</v>
      </c>
      <c r="Q1185" s="45" t="str" cm="1">
        <f t="array" ref="Q1185">_xlfn.SWITCH(rounded[[#This Row],[gender]], "male", "Male", "female", "Female")</f>
        <v>Female</v>
      </c>
    </row>
    <row r="1186" spans="1:17" x14ac:dyDescent="0.35">
      <c r="A1186">
        <v>19</v>
      </c>
      <c r="B1186" t="s">
        <v>13</v>
      </c>
      <c r="C1186" s="4">
        <v>1.4</v>
      </c>
      <c r="D1186" t="s">
        <v>20</v>
      </c>
      <c r="E1186" s="4">
        <v>4.5</v>
      </c>
      <c r="F1186" s="4">
        <v>2.2999999999999998</v>
      </c>
      <c r="G1186">
        <v>3.9</v>
      </c>
      <c r="H1186">
        <v>0</v>
      </c>
      <c r="I1186" t="s">
        <v>19</v>
      </c>
      <c r="J1186">
        <v>2</v>
      </c>
      <c r="K1186">
        <v>8</v>
      </c>
      <c r="L1186">
        <v>10</v>
      </c>
      <c r="M1186">
        <v>0</v>
      </c>
      <c r="N1186">
        <f>_xlfn.IFS(rounded[[#This Row],[social_interaction_level]] = "low", 1,rounded[[#This Row],[social_interaction_level]] = "medium", 2,rounded[[#This Row],[social_interaction_level]] = "high", 3)</f>
        <v>2</v>
      </c>
      <c r="O1186">
        <f t="shared" si="18"/>
        <v>20</v>
      </c>
      <c r="P1186" t="str" cm="1">
        <f t="array" ref="P1186">_xlfn.SWITCH(rounded[[#This Row],[depression_label]], 0, "Not Depressed", 1, "Depressed")</f>
        <v>Not Depressed</v>
      </c>
      <c r="Q1186" s="45" t="str" cm="1">
        <f t="array" ref="Q1186">_xlfn.SWITCH(rounded[[#This Row],[gender]], "male", "Male", "female", "Female")</f>
        <v>Male</v>
      </c>
    </row>
    <row r="1187" spans="1:17" x14ac:dyDescent="0.35">
      <c r="A1187">
        <v>19</v>
      </c>
      <c r="B1187" t="s">
        <v>13</v>
      </c>
      <c r="C1187" s="4">
        <v>2.4</v>
      </c>
      <c r="D1187" t="s">
        <v>17</v>
      </c>
      <c r="E1187" s="4">
        <v>9</v>
      </c>
      <c r="F1187" s="4">
        <v>2.4</v>
      </c>
      <c r="G1187">
        <v>3.13</v>
      </c>
      <c r="H1187">
        <v>0.5</v>
      </c>
      <c r="I1187" t="s">
        <v>18</v>
      </c>
      <c r="J1187">
        <v>5</v>
      </c>
      <c r="K1187">
        <v>3</v>
      </c>
      <c r="L1187">
        <v>3</v>
      </c>
      <c r="M1187">
        <v>0</v>
      </c>
      <c r="N1187">
        <f>_xlfn.IFS(rounded[[#This Row],[social_interaction_level]] = "low", 1,rounded[[#This Row],[social_interaction_level]] = "medium", 2,rounded[[#This Row],[social_interaction_level]] = "high", 3)</f>
        <v>3</v>
      </c>
      <c r="O1187">
        <f t="shared" si="18"/>
        <v>11</v>
      </c>
      <c r="P1187" t="str" cm="1">
        <f t="array" ref="P1187">_xlfn.SWITCH(rounded[[#This Row],[depression_label]], 0, "Not Depressed", 1, "Depressed")</f>
        <v>Not Depressed</v>
      </c>
      <c r="Q1187" s="45" t="str" cm="1">
        <f t="array" ref="Q1187">_xlfn.SWITCH(rounded[[#This Row],[gender]], "male", "Male", "female", "Female")</f>
        <v>Male</v>
      </c>
    </row>
    <row r="1188" spans="1:17" x14ac:dyDescent="0.35">
      <c r="A1188">
        <v>18</v>
      </c>
      <c r="B1188" t="s">
        <v>13</v>
      </c>
      <c r="C1188" s="4">
        <v>1.6</v>
      </c>
      <c r="D1188" t="s">
        <v>20</v>
      </c>
      <c r="E1188" s="4">
        <v>5.4</v>
      </c>
      <c r="F1188" s="4">
        <v>2</v>
      </c>
      <c r="G1188">
        <v>3.2</v>
      </c>
      <c r="H1188">
        <v>1.8</v>
      </c>
      <c r="I1188" t="s">
        <v>15</v>
      </c>
      <c r="J1188">
        <v>8</v>
      </c>
      <c r="K1188">
        <v>8</v>
      </c>
      <c r="L1188">
        <v>3</v>
      </c>
      <c r="M1188">
        <v>0</v>
      </c>
      <c r="N1188">
        <f>_xlfn.IFS(rounded[[#This Row],[social_interaction_level]] = "low", 1,rounded[[#This Row],[social_interaction_level]] = "medium", 2,rounded[[#This Row],[social_interaction_level]] = "high", 3)</f>
        <v>1</v>
      </c>
      <c r="O1188">
        <f t="shared" si="18"/>
        <v>19</v>
      </c>
      <c r="P1188" t="str" cm="1">
        <f t="array" ref="P1188">_xlfn.SWITCH(rounded[[#This Row],[depression_label]], 0, "Not Depressed", 1, "Depressed")</f>
        <v>Not Depressed</v>
      </c>
      <c r="Q1188" s="45" t="str" cm="1">
        <f t="array" ref="Q1188">_xlfn.SWITCH(rounded[[#This Row],[gender]], "male", "Male", "female", "Female")</f>
        <v>Male</v>
      </c>
    </row>
    <row r="1189" spans="1:17" x14ac:dyDescent="0.35">
      <c r="A1189">
        <v>18</v>
      </c>
      <c r="B1189" t="s">
        <v>13</v>
      </c>
      <c r="C1189" s="4">
        <v>2</v>
      </c>
      <c r="D1189" t="s">
        <v>14</v>
      </c>
      <c r="E1189" s="4">
        <v>8.9</v>
      </c>
      <c r="F1189" s="4">
        <v>0.8</v>
      </c>
      <c r="G1189">
        <v>2.96</v>
      </c>
      <c r="H1189">
        <v>0.5</v>
      </c>
      <c r="I1189" t="s">
        <v>19</v>
      </c>
      <c r="J1189">
        <v>6</v>
      </c>
      <c r="K1189">
        <v>2</v>
      </c>
      <c r="L1189">
        <v>2</v>
      </c>
      <c r="M1189">
        <v>0</v>
      </c>
      <c r="N1189">
        <f>_xlfn.IFS(rounded[[#This Row],[social_interaction_level]] = "low", 1,rounded[[#This Row],[social_interaction_level]] = "medium", 2,rounded[[#This Row],[social_interaction_level]] = "high", 3)</f>
        <v>2</v>
      </c>
      <c r="O1189">
        <f t="shared" si="18"/>
        <v>10</v>
      </c>
      <c r="P1189" t="str" cm="1">
        <f t="array" ref="P1189">_xlfn.SWITCH(rounded[[#This Row],[depression_label]], 0, "Not Depressed", 1, "Depressed")</f>
        <v>Not Depressed</v>
      </c>
      <c r="Q1189" s="45" t="str" cm="1">
        <f t="array" ref="Q1189">_xlfn.SWITCH(rounded[[#This Row],[gender]], "male", "Male", "female", "Female")</f>
        <v>Male</v>
      </c>
    </row>
    <row r="1190" spans="1:17" x14ac:dyDescent="0.35">
      <c r="A1190">
        <v>17</v>
      </c>
      <c r="B1190" t="s">
        <v>16</v>
      </c>
      <c r="C1190" s="4">
        <v>7.4</v>
      </c>
      <c r="D1190" t="s">
        <v>14</v>
      </c>
      <c r="E1190" s="4">
        <v>7.4</v>
      </c>
      <c r="F1190" s="4">
        <v>2</v>
      </c>
      <c r="G1190">
        <v>3.76</v>
      </c>
      <c r="H1190">
        <v>1.7</v>
      </c>
      <c r="I1190" t="s">
        <v>18</v>
      </c>
      <c r="J1190">
        <v>10</v>
      </c>
      <c r="K1190">
        <v>1</v>
      </c>
      <c r="L1190">
        <v>4</v>
      </c>
      <c r="M1190">
        <v>0</v>
      </c>
      <c r="N1190">
        <f>_xlfn.IFS(rounded[[#This Row],[social_interaction_level]] = "low", 1,rounded[[#This Row],[social_interaction_level]] = "medium", 2,rounded[[#This Row],[social_interaction_level]] = "high", 3)</f>
        <v>3</v>
      </c>
      <c r="O1190">
        <f t="shared" si="18"/>
        <v>15</v>
      </c>
      <c r="P1190" t="str" cm="1">
        <f t="array" ref="P1190">_xlfn.SWITCH(rounded[[#This Row],[depression_label]], 0, "Not Depressed", 1, "Depressed")</f>
        <v>Not Depressed</v>
      </c>
      <c r="Q1190" s="45" t="str" cm="1">
        <f t="array" ref="Q1190">_xlfn.SWITCH(rounded[[#This Row],[gender]], "male", "Male", "female", "Female")</f>
        <v>Female</v>
      </c>
    </row>
    <row r="1191" spans="1:17" x14ac:dyDescent="0.35">
      <c r="A1191">
        <v>14</v>
      </c>
      <c r="B1191" t="s">
        <v>16</v>
      </c>
      <c r="C1191" s="4">
        <v>1.6</v>
      </c>
      <c r="D1191" t="s">
        <v>17</v>
      </c>
      <c r="E1191" s="4">
        <v>4.8</v>
      </c>
      <c r="F1191" s="4">
        <v>2.4</v>
      </c>
      <c r="G1191">
        <v>2.97</v>
      </c>
      <c r="H1191">
        <v>1.9</v>
      </c>
      <c r="I1191" t="s">
        <v>15</v>
      </c>
      <c r="J1191">
        <v>9</v>
      </c>
      <c r="K1191">
        <v>9</v>
      </c>
      <c r="L1191">
        <v>10</v>
      </c>
      <c r="M1191">
        <v>0</v>
      </c>
      <c r="N1191">
        <f>_xlfn.IFS(rounded[[#This Row],[social_interaction_level]] = "low", 1,rounded[[#This Row],[social_interaction_level]] = "medium", 2,rounded[[#This Row],[social_interaction_level]] = "high", 3)</f>
        <v>1</v>
      </c>
      <c r="O1191">
        <f t="shared" si="18"/>
        <v>28</v>
      </c>
      <c r="P1191" t="str" cm="1">
        <f t="array" ref="P1191">_xlfn.SWITCH(rounded[[#This Row],[depression_label]], 0, "Not Depressed", 1, "Depressed")</f>
        <v>Not Depressed</v>
      </c>
      <c r="Q1191" s="45" t="str" cm="1">
        <f t="array" ref="Q1191">_xlfn.SWITCH(rounded[[#This Row],[gender]], "male", "Male", "female", "Female")</f>
        <v>Female</v>
      </c>
    </row>
    <row r="1192" spans="1:17" x14ac:dyDescent="0.35">
      <c r="A1192">
        <v>17</v>
      </c>
      <c r="B1192" t="s">
        <v>16</v>
      </c>
      <c r="C1192" s="4">
        <v>3.8</v>
      </c>
      <c r="D1192" t="s">
        <v>14</v>
      </c>
      <c r="E1192" s="4">
        <v>8.4</v>
      </c>
      <c r="F1192" s="4">
        <v>0.9</v>
      </c>
      <c r="G1192">
        <v>3.6</v>
      </c>
      <c r="H1192">
        <v>1.9</v>
      </c>
      <c r="I1192" t="s">
        <v>18</v>
      </c>
      <c r="J1192">
        <v>1</v>
      </c>
      <c r="K1192">
        <v>2</v>
      </c>
      <c r="L1192">
        <v>2</v>
      </c>
      <c r="M1192">
        <v>0</v>
      </c>
      <c r="N1192">
        <f>_xlfn.IFS(rounded[[#This Row],[social_interaction_level]] = "low", 1,rounded[[#This Row],[social_interaction_level]] = "medium", 2,rounded[[#This Row],[social_interaction_level]] = "high", 3)</f>
        <v>3</v>
      </c>
      <c r="O1192">
        <f t="shared" si="18"/>
        <v>5</v>
      </c>
      <c r="P1192" t="str" cm="1">
        <f t="array" ref="P1192">_xlfn.SWITCH(rounded[[#This Row],[depression_label]], 0, "Not Depressed", 1, "Depressed")</f>
        <v>Not Depressed</v>
      </c>
      <c r="Q1192" s="45" t="str" cm="1">
        <f t="array" ref="Q1192">_xlfn.SWITCH(rounded[[#This Row],[gender]], "male", "Male", "female", "Female")</f>
        <v>Female</v>
      </c>
    </row>
    <row r="1193" spans="1:17" x14ac:dyDescent="0.35">
      <c r="A1193">
        <v>19</v>
      </c>
      <c r="B1193" t="s">
        <v>13</v>
      </c>
      <c r="C1193" s="4">
        <v>8</v>
      </c>
      <c r="D1193" t="s">
        <v>17</v>
      </c>
      <c r="E1193" s="4">
        <v>4.7</v>
      </c>
      <c r="F1193" s="4">
        <v>0.5</v>
      </c>
      <c r="G1193">
        <v>2.1800000000000002</v>
      </c>
      <c r="H1193">
        <v>0.6</v>
      </c>
      <c r="I1193" t="s">
        <v>19</v>
      </c>
      <c r="J1193">
        <v>8</v>
      </c>
      <c r="K1193">
        <v>8</v>
      </c>
      <c r="L1193">
        <v>6</v>
      </c>
      <c r="M1193">
        <v>1</v>
      </c>
      <c r="N1193">
        <f>_xlfn.IFS(rounded[[#This Row],[social_interaction_level]] = "low", 1,rounded[[#This Row],[social_interaction_level]] = "medium", 2,rounded[[#This Row],[social_interaction_level]] = "high", 3)</f>
        <v>2</v>
      </c>
      <c r="O1193">
        <f t="shared" si="18"/>
        <v>22</v>
      </c>
      <c r="P1193" t="str" cm="1">
        <f t="array" ref="P1193">_xlfn.SWITCH(rounded[[#This Row],[depression_label]], 0, "Not Depressed", 1, "Depressed")</f>
        <v>Depressed</v>
      </c>
      <c r="Q1193" s="45" t="str" cm="1">
        <f t="array" ref="Q1193">_xlfn.SWITCH(rounded[[#This Row],[gender]], "male", "Male", "female", "Female")</f>
        <v>Male</v>
      </c>
    </row>
    <row r="1194" spans="1:17" x14ac:dyDescent="0.35">
      <c r="A1194">
        <v>13</v>
      </c>
      <c r="B1194" t="s">
        <v>13</v>
      </c>
      <c r="C1194" s="4">
        <v>7.8</v>
      </c>
      <c r="D1194" t="s">
        <v>17</v>
      </c>
      <c r="E1194" s="4">
        <v>5.9</v>
      </c>
      <c r="F1194" s="4">
        <v>1.5</v>
      </c>
      <c r="G1194">
        <v>3.31</v>
      </c>
      <c r="H1194">
        <v>1.9</v>
      </c>
      <c r="I1194" t="s">
        <v>18</v>
      </c>
      <c r="J1194">
        <v>10</v>
      </c>
      <c r="K1194">
        <v>1</v>
      </c>
      <c r="L1194">
        <v>10</v>
      </c>
      <c r="M1194">
        <v>0</v>
      </c>
      <c r="N1194">
        <f>_xlfn.IFS(rounded[[#This Row],[social_interaction_level]] = "low", 1,rounded[[#This Row],[social_interaction_level]] = "medium", 2,rounded[[#This Row],[social_interaction_level]] = "high", 3)</f>
        <v>3</v>
      </c>
      <c r="O1194">
        <f t="shared" si="18"/>
        <v>21</v>
      </c>
      <c r="P1194" t="str" cm="1">
        <f t="array" ref="P1194">_xlfn.SWITCH(rounded[[#This Row],[depression_label]], 0, "Not Depressed", 1, "Depressed")</f>
        <v>Not Depressed</v>
      </c>
      <c r="Q1194" s="45" t="str" cm="1">
        <f t="array" ref="Q1194">_xlfn.SWITCH(rounded[[#This Row],[gender]], "male", "Male", "female", "Female")</f>
        <v>Male</v>
      </c>
    </row>
    <row r="1195" spans="1:17" x14ac:dyDescent="0.35">
      <c r="A1195">
        <v>13</v>
      </c>
      <c r="B1195" t="s">
        <v>16</v>
      </c>
      <c r="C1195" s="4">
        <v>7.2</v>
      </c>
      <c r="D1195" t="s">
        <v>14</v>
      </c>
      <c r="E1195" s="4">
        <v>8.1</v>
      </c>
      <c r="F1195" s="4">
        <v>2.1</v>
      </c>
      <c r="G1195">
        <v>2.52</v>
      </c>
      <c r="H1195">
        <v>0.4</v>
      </c>
      <c r="I1195" t="s">
        <v>19</v>
      </c>
      <c r="J1195">
        <v>3</v>
      </c>
      <c r="K1195">
        <v>3</v>
      </c>
      <c r="L1195">
        <v>7</v>
      </c>
      <c r="M1195">
        <v>0</v>
      </c>
      <c r="N1195">
        <f>_xlfn.IFS(rounded[[#This Row],[social_interaction_level]] = "low", 1,rounded[[#This Row],[social_interaction_level]] = "medium", 2,rounded[[#This Row],[social_interaction_level]] = "high", 3)</f>
        <v>2</v>
      </c>
      <c r="O1195">
        <f t="shared" si="18"/>
        <v>13</v>
      </c>
      <c r="P1195" t="str" cm="1">
        <f t="array" ref="P1195">_xlfn.SWITCH(rounded[[#This Row],[depression_label]], 0, "Not Depressed", 1, "Depressed")</f>
        <v>Not Depressed</v>
      </c>
      <c r="Q1195" s="45" t="str" cm="1">
        <f t="array" ref="Q1195">_xlfn.SWITCH(rounded[[#This Row],[gender]], "male", "Male", "female", "Female")</f>
        <v>Female</v>
      </c>
    </row>
    <row r="1196" spans="1:17" x14ac:dyDescent="0.35">
      <c r="A1196">
        <v>17</v>
      </c>
      <c r="B1196" t="s">
        <v>13</v>
      </c>
      <c r="C1196" s="4">
        <v>2</v>
      </c>
      <c r="D1196" t="s">
        <v>20</v>
      </c>
      <c r="E1196" s="4">
        <v>4.5</v>
      </c>
      <c r="F1196" s="4">
        <v>1.7</v>
      </c>
      <c r="G1196">
        <v>2.65</v>
      </c>
      <c r="H1196">
        <v>0</v>
      </c>
      <c r="I1196" t="s">
        <v>19</v>
      </c>
      <c r="J1196">
        <v>9</v>
      </c>
      <c r="K1196">
        <v>4</v>
      </c>
      <c r="L1196">
        <v>2</v>
      </c>
      <c r="M1196">
        <v>0</v>
      </c>
      <c r="N1196">
        <f>_xlfn.IFS(rounded[[#This Row],[social_interaction_level]] = "low", 1,rounded[[#This Row],[social_interaction_level]] = "medium", 2,rounded[[#This Row],[social_interaction_level]] = "high", 3)</f>
        <v>2</v>
      </c>
      <c r="O1196">
        <f t="shared" si="18"/>
        <v>15</v>
      </c>
      <c r="P1196" t="str" cm="1">
        <f t="array" ref="P1196">_xlfn.SWITCH(rounded[[#This Row],[depression_label]], 0, "Not Depressed", 1, "Depressed")</f>
        <v>Not Depressed</v>
      </c>
      <c r="Q1196" s="45" t="str" cm="1">
        <f t="array" ref="Q1196">_xlfn.SWITCH(rounded[[#This Row],[gender]], "male", "Male", "female", "Female")</f>
        <v>Male</v>
      </c>
    </row>
    <row r="1197" spans="1:17" x14ac:dyDescent="0.35">
      <c r="A1197">
        <v>18</v>
      </c>
      <c r="B1197" t="s">
        <v>16</v>
      </c>
      <c r="C1197" s="4">
        <v>6.8</v>
      </c>
      <c r="D1197" t="s">
        <v>14</v>
      </c>
      <c r="E1197" s="4">
        <v>6.6</v>
      </c>
      <c r="F1197" s="4">
        <v>2</v>
      </c>
      <c r="G1197">
        <v>2.76</v>
      </c>
      <c r="H1197">
        <v>1</v>
      </c>
      <c r="I1197" t="s">
        <v>15</v>
      </c>
      <c r="J1197">
        <v>3</v>
      </c>
      <c r="K1197">
        <v>4</v>
      </c>
      <c r="L1197">
        <v>4</v>
      </c>
      <c r="M1197">
        <v>0</v>
      </c>
      <c r="N1197">
        <f>_xlfn.IFS(rounded[[#This Row],[social_interaction_level]] = "low", 1,rounded[[#This Row],[social_interaction_level]] = "medium", 2,rounded[[#This Row],[social_interaction_level]] = "high", 3)</f>
        <v>1</v>
      </c>
      <c r="O1197">
        <f t="shared" si="18"/>
        <v>11</v>
      </c>
      <c r="P1197" t="str" cm="1">
        <f t="array" ref="P1197">_xlfn.SWITCH(rounded[[#This Row],[depression_label]], 0, "Not Depressed", 1, "Depressed")</f>
        <v>Not Depressed</v>
      </c>
      <c r="Q1197" s="45" t="str" cm="1">
        <f t="array" ref="Q1197">_xlfn.SWITCH(rounded[[#This Row],[gender]], "male", "Male", "female", "Female")</f>
        <v>Female</v>
      </c>
    </row>
    <row r="1198" spans="1:17" x14ac:dyDescent="0.35">
      <c r="A1198">
        <v>16</v>
      </c>
      <c r="B1198" t="s">
        <v>13</v>
      </c>
      <c r="C1198" s="4">
        <v>2.2999999999999998</v>
      </c>
      <c r="D1198" t="s">
        <v>20</v>
      </c>
      <c r="E1198" s="4">
        <v>8</v>
      </c>
      <c r="F1198" s="4">
        <v>1.9</v>
      </c>
      <c r="G1198">
        <v>2.12</v>
      </c>
      <c r="H1198">
        <v>0.4</v>
      </c>
      <c r="I1198" t="s">
        <v>18</v>
      </c>
      <c r="J1198">
        <v>7</v>
      </c>
      <c r="K1198">
        <v>4</v>
      </c>
      <c r="L1198">
        <v>4</v>
      </c>
      <c r="M1198">
        <v>0</v>
      </c>
      <c r="N1198">
        <f>_xlfn.IFS(rounded[[#This Row],[social_interaction_level]] = "low", 1,rounded[[#This Row],[social_interaction_level]] = "medium", 2,rounded[[#This Row],[social_interaction_level]] = "high", 3)</f>
        <v>3</v>
      </c>
      <c r="O1198">
        <f t="shared" si="18"/>
        <v>15</v>
      </c>
      <c r="P1198" t="str" cm="1">
        <f t="array" ref="P1198">_xlfn.SWITCH(rounded[[#This Row],[depression_label]], 0, "Not Depressed", 1, "Depressed")</f>
        <v>Not Depressed</v>
      </c>
      <c r="Q1198" s="45" t="str" cm="1">
        <f t="array" ref="Q1198">_xlfn.SWITCH(rounded[[#This Row],[gender]], "male", "Male", "female", "Female")</f>
        <v>Male</v>
      </c>
    </row>
    <row r="1199" spans="1:17" x14ac:dyDescent="0.35">
      <c r="A1199">
        <v>14</v>
      </c>
      <c r="B1199" t="s">
        <v>16</v>
      </c>
      <c r="C1199" s="4">
        <v>1.7</v>
      </c>
      <c r="D1199" t="s">
        <v>20</v>
      </c>
      <c r="E1199" s="4">
        <v>8.6999999999999993</v>
      </c>
      <c r="F1199" s="4">
        <v>0.7</v>
      </c>
      <c r="G1199">
        <v>3.98</v>
      </c>
      <c r="H1199">
        <v>0.8</v>
      </c>
      <c r="I1199" t="s">
        <v>18</v>
      </c>
      <c r="J1199">
        <v>1</v>
      </c>
      <c r="K1199">
        <v>1</v>
      </c>
      <c r="L1199">
        <v>1</v>
      </c>
      <c r="M1199">
        <v>0</v>
      </c>
      <c r="N1199">
        <f>_xlfn.IFS(rounded[[#This Row],[social_interaction_level]] = "low", 1,rounded[[#This Row],[social_interaction_level]] = "medium", 2,rounded[[#This Row],[social_interaction_level]] = "high", 3)</f>
        <v>3</v>
      </c>
      <c r="O1199">
        <f t="shared" si="18"/>
        <v>3</v>
      </c>
      <c r="P1199" t="str" cm="1">
        <f t="array" ref="P1199">_xlfn.SWITCH(rounded[[#This Row],[depression_label]], 0, "Not Depressed", 1, "Depressed")</f>
        <v>Not Depressed</v>
      </c>
      <c r="Q1199" s="45" t="str" cm="1">
        <f t="array" ref="Q1199">_xlfn.SWITCH(rounded[[#This Row],[gender]], "male", "Male", "female", "Female")</f>
        <v>Female</v>
      </c>
    </row>
    <row r="1200" spans="1:17" x14ac:dyDescent="0.35">
      <c r="A1200">
        <v>15</v>
      </c>
      <c r="B1200" t="s">
        <v>13</v>
      </c>
      <c r="C1200" s="4">
        <v>3.9</v>
      </c>
      <c r="D1200" t="s">
        <v>20</v>
      </c>
      <c r="E1200" s="4">
        <v>8.5</v>
      </c>
      <c r="F1200" s="4">
        <v>2.1</v>
      </c>
      <c r="G1200">
        <v>3.19</v>
      </c>
      <c r="H1200">
        <v>0.6</v>
      </c>
      <c r="I1200" t="s">
        <v>18</v>
      </c>
      <c r="J1200">
        <v>7</v>
      </c>
      <c r="K1200">
        <v>9</v>
      </c>
      <c r="L1200">
        <v>9</v>
      </c>
      <c r="M1200">
        <v>0</v>
      </c>
      <c r="N1200">
        <f>_xlfn.IFS(rounded[[#This Row],[social_interaction_level]] = "low", 1,rounded[[#This Row],[social_interaction_level]] = "medium", 2,rounded[[#This Row],[social_interaction_level]] = "high", 3)</f>
        <v>3</v>
      </c>
      <c r="O1200">
        <f t="shared" si="18"/>
        <v>25</v>
      </c>
      <c r="P1200" t="str" cm="1">
        <f t="array" ref="P1200">_xlfn.SWITCH(rounded[[#This Row],[depression_label]], 0, "Not Depressed", 1, "Depressed")</f>
        <v>Not Depressed</v>
      </c>
      <c r="Q1200" s="45" t="str" cm="1">
        <f t="array" ref="Q1200">_xlfn.SWITCH(rounded[[#This Row],[gender]], "male", "Male", "female", "Female")</f>
        <v>Male</v>
      </c>
    </row>
    <row r="1201" spans="1:17" x14ac:dyDescent="0.35">
      <c r="A1201">
        <v>16</v>
      </c>
      <c r="B1201" t="s">
        <v>16</v>
      </c>
      <c r="C1201" s="4">
        <v>4.7</v>
      </c>
      <c r="D1201" t="s">
        <v>17</v>
      </c>
      <c r="E1201" s="4">
        <v>6.5</v>
      </c>
      <c r="F1201" s="4">
        <v>1</v>
      </c>
      <c r="G1201">
        <v>2.91</v>
      </c>
      <c r="H1201">
        <v>0.9</v>
      </c>
      <c r="I1201" t="s">
        <v>19</v>
      </c>
      <c r="J1201">
        <v>5</v>
      </c>
      <c r="K1201">
        <v>7</v>
      </c>
      <c r="L1201">
        <v>3</v>
      </c>
      <c r="M1201">
        <v>0</v>
      </c>
      <c r="N1201">
        <f>_xlfn.IFS(rounded[[#This Row],[social_interaction_level]] = "low", 1,rounded[[#This Row],[social_interaction_level]] = "medium", 2,rounded[[#This Row],[social_interaction_level]] = "high", 3)</f>
        <v>2</v>
      </c>
      <c r="O1201">
        <f t="shared" si="18"/>
        <v>15</v>
      </c>
      <c r="P1201" t="str" cm="1">
        <f t="array" ref="P1201">_xlfn.SWITCH(rounded[[#This Row],[depression_label]], 0, "Not Depressed", 1, "Depressed")</f>
        <v>Not Depressed</v>
      </c>
      <c r="Q1201" s="45" t="str" cm="1">
        <f t="array" ref="Q1201">_xlfn.SWITCH(rounded[[#This Row],[gender]], "male", "Male", "female", "Female")</f>
        <v>Female</v>
      </c>
    </row>
    <row r="1202" spans="1:17" x14ac:dyDescent="0.35">
      <c r="A1202" t="s">
        <v>49</v>
      </c>
      <c r="C1202" s="4">
        <f>MEDIAN(C2:C1201)</f>
        <v>4.5</v>
      </c>
      <c r="M1202">
        <f>SUBTOTAL(109,rounded[depression_label])</f>
        <v>31</v>
      </c>
    </row>
    <row r="1205" spans="1:17" x14ac:dyDescent="0.35">
      <c r="C1205" s="4">
        <f>MEDIAN(C91,C165,C302,C323,C386,C583,C587,C590,C593,C602,C643,C622,C644,C693,C661,C705,C735,C739,C868,C870,C920,C933,C952,C1000,C1002,C1007,C1017,C1101,C1126,C1147,C1193)</f>
        <v>7</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8DAAC-A769-4493-A172-EA330501AED3}">
  <sheetPr codeName="Sheet5"/>
  <dimension ref="A1:T1219"/>
  <sheetViews>
    <sheetView workbookViewId="0">
      <selection activeCell="A42" sqref="A1:XFD1048576"/>
    </sheetView>
  </sheetViews>
  <sheetFormatPr defaultRowHeight="14.5" x14ac:dyDescent="0.35"/>
  <cols>
    <col min="1" max="1" width="44.453125" bestFit="1" customWidth="1"/>
    <col min="2" max="2" width="13.81640625" bestFit="1" customWidth="1"/>
    <col min="3" max="3" width="9.7265625" bestFit="1" customWidth="1"/>
    <col min="4" max="4" width="4.90625" bestFit="1" customWidth="1"/>
    <col min="14" max="14" width="30.36328125" bestFit="1" customWidth="1"/>
    <col min="15" max="15" width="13.81640625" bestFit="1" customWidth="1"/>
    <col min="18" max="18" width="15.36328125" bestFit="1" customWidth="1"/>
    <col min="19" max="19" width="16.453125" bestFit="1" customWidth="1"/>
    <col min="20" max="20" width="15.08984375" bestFit="1" customWidth="1"/>
  </cols>
  <sheetData>
    <row r="1" spans="1:15" x14ac:dyDescent="0.35">
      <c r="A1" t="s">
        <v>45</v>
      </c>
      <c r="B1" t="s">
        <v>46</v>
      </c>
      <c r="N1" t="s">
        <v>50</v>
      </c>
      <c r="O1" t="s">
        <v>51</v>
      </c>
    </row>
    <row r="2" spans="1:15" x14ac:dyDescent="0.35">
      <c r="A2">
        <f>COUNTIF(mental[age], B2)</f>
        <v>200</v>
      </c>
      <c r="B2">
        <v>13</v>
      </c>
      <c r="N2" s="3" cm="1">
        <f t="array" ref="N2">MEDIAN(IF(mental[age] = O2, mental[academic_performance]))</f>
        <v>3</v>
      </c>
      <c r="O2" s="4">
        <v>13</v>
      </c>
    </row>
    <row r="3" spans="1:15" x14ac:dyDescent="0.35">
      <c r="A3">
        <f>COUNTIF(mental[age], B3)</f>
        <v>153</v>
      </c>
      <c r="B3">
        <v>14</v>
      </c>
      <c r="N3" s="3" cm="1">
        <f t="array" ref="N3">MEDIAN(IF(mental[age] = O3, mental[academic_performance]))</f>
        <v>3.01</v>
      </c>
      <c r="O3" s="4">
        <v>14</v>
      </c>
    </row>
    <row r="4" spans="1:15" x14ac:dyDescent="0.35">
      <c r="A4">
        <f>COUNTIF(mental[age], B4)</f>
        <v>180</v>
      </c>
      <c r="B4">
        <v>15</v>
      </c>
      <c r="N4" s="3" cm="1">
        <f t="array" ref="N4">MEDIAN(IF(mental[age] = O4, mental[academic_performance]))</f>
        <v>3.0049999999999999</v>
      </c>
      <c r="O4" s="4">
        <v>15</v>
      </c>
    </row>
    <row r="5" spans="1:15" x14ac:dyDescent="0.35">
      <c r="A5">
        <f>COUNTIF(mental[age], B5)</f>
        <v>163</v>
      </c>
      <c r="B5">
        <v>16</v>
      </c>
      <c r="N5" s="3" cm="1">
        <f t="array" ref="N5">MEDIAN(IF(mental[age] = O5, mental[academic_performance]))</f>
        <v>2.77</v>
      </c>
      <c r="O5" s="4">
        <v>16</v>
      </c>
    </row>
    <row r="6" spans="1:15" x14ac:dyDescent="0.35">
      <c r="A6">
        <f>COUNTIF(mental[age], B6)</f>
        <v>170</v>
      </c>
      <c r="B6">
        <v>17</v>
      </c>
      <c r="N6" s="3" cm="1">
        <f t="array" ref="N6">MEDIAN(IF(mental[age] = O6, mental[academic_performance]))</f>
        <v>3.0449999999999999</v>
      </c>
      <c r="O6" s="4">
        <v>17</v>
      </c>
    </row>
    <row r="7" spans="1:15" x14ac:dyDescent="0.35">
      <c r="A7">
        <f>COUNTIF(mental[age], B7)</f>
        <v>172</v>
      </c>
      <c r="B7">
        <v>18</v>
      </c>
      <c r="N7" s="3" cm="1">
        <f t="array" ref="N7">MEDIAN(IF(mental[age] = O7, mental[academic_performance]))</f>
        <v>3.04</v>
      </c>
      <c r="O7" s="4">
        <v>18</v>
      </c>
    </row>
    <row r="8" spans="1:15" x14ac:dyDescent="0.35">
      <c r="A8">
        <f>COUNTIF(mental[age], B8)</f>
        <v>162</v>
      </c>
      <c r="B8">
        <v>19</v>
      </c>
      <c r="N8" s="3" cm="1">
        <f t="array" ref="N8">MEDIAN(IF(mental[age] = O8, mental[academic_performance]))</f>
        <v>2.895</v>
      </c>
      <c r="O8" s="4">
        <v>19</v>
      </c>
    </row>
    <row r="19" spans="1:20" x14ac:dyDescent="0.35">
      <c r="N19" t="s">
        <v>54</v>
      </c>
      <c r="O19" t="s">
        <v>52</v>
      </c>
      <c r="R19" t="s">
        <v>58</v>
      </c>
      <c r="S19" t="s">
        <v>59</v>
      </c>
      <c r="T19" t="s">
        <v>60</v>
      </c>
    </row>
    <row r="20" spans="1:20" x14ac:dyDescent="0.35">
      <c r="N20" cm="1">
        <f t="array" ref="N20">MIN(IF(mental[platform_usage] = O20, mental[daily_social_media_hours]))</f>
        <v>1</v>
      </c>
      <c r="O20" t="s">
        <v>14</v>
      </c>
      <c r="R20" t="e" cm="1">
        <f t="array" ref="R20:R1219">IF(mental[platform_usage]=O20,mental[daily_social_media_hours], NA())</f>
        <v>#N/A</v>
      </c>
      <c r="S20" t="e" cm="1">
        <f t="array" ref="S20:S1219">IF(mental[platform_usage]=O21,mental[daily_social_media_hours], NA())</f>
        <v>#N/A</v>
      </c>
      <c r="T20" cm="1">
        <f t="array" ref="T20:T1219">IF(mental[platform_usage]=O22,mental[daily_social_media_hours], NA())</f>
        <v>1.5</v>
      </c>
    </row>
    <row r="21" spans="1:20" x14ac:dyDescent="0.35">
      <c r="N21" cm="1">
        <f t="array" ref="N21">MIN(IF(mental[platform_usage] = O21, mental[daily_social_media_hours]))</f>
        <v>1</v>
      </c>
      <c r="O21" t="s">
        <v>53</v>
      </c>
      <c r="R21">
        <v>1.6</v>
      </c>
      <c r="S21" t="e">
        <v>#N/A</v>
      </c>
      <c r="T21" t="e">
        <v>#N/A</v>
      </c>
    </row>
    <row r="22" spans="1:20" x14ac:dyDescent="0.35">
      <c r="A22" t="s">
        <v>47</v>
      </c>
      <c r="B22" t="s">
        <v>48</v>
      </c>
      <c r="N22" cm="1">
        <f t="array" ref="N22">MIN(IF(mental[platform_usage] = O22, mental[daily_social_media_hours]))</f>
        <v>1</v>
      </c>
      <c r="O22" t="s">
        <v>20</v>
      </c>
      <c r="R22" t="e">
        <v>#N/A</v>
      </c>
      <c r="S22">
        <v>6.6</v>
      </c>
      <c r="T22" t="e">
        <v>#N/A</v>
      </c>
    </row>
    <row r="23" spans="1:20" x14ac:dyDescent="0.35">
      <c r="A23">
        <f>COUNTIF(mental[gender], B23)</f>
        <v>615</v>
      </c>
      <c r="B23" t="s">
        <v>13</v>
      </c>
      <c r="R23">
        <v>3.5</v>
      </c>
      <c r="S23" t="e">
        <v>#N/A</v>
      </c>
      <c r="T23" t="e">
        <v>#N/A</v>
      </c>
    </row>
    <row r="24" spans="1:20" x14ac:dyDescent="0.35">
      <c r="A24">
        <f>COUNTIF(mental[gender], B24)</f>
        <v>585</v>
      </c>
      <c r="B24" t="s">
        <v>16</v>
      </c>
      <c r="N24" t="s">
        <v>55</v>
      </c>
      <c r="R24" t="e">
        <v>#N/A</v>
      </c>
      <c r="S24">
        <v>5.8</v>
      </c>
      <c r="T24" t="e">
        <v>#N/A</v>
      </c>
    </row>
    <row r="25" spans="1:20" x14ac:dyDescent="0.35">
      <c r="A25">
        <f>SUM(A23+A24)</f>
        <v>1200</v>
      </c>
      <c r="B25" t="s">
        <v>49</v>
      </c>
      <c r="N25" cm="1">
        <f t="array" ref="N25">MAX(IF(mental[platform_usage] = O20, mental[daily_social_media_hours]))</f>
        <v>8</v>
      </c>
      <c r="R25">
        <v>4</v>
      </c>
      <c r="S25" t="e">
        <v>#N/A</v>
      </c>
      <c r="T25" t="e">
        <v>#N/A</v>
      </c>
    </row>
    <row r="26" spans="1:20" x14ac:dyDescent="0.35">
      <c r="N26" cm="1">
        <f t="array" ref="N26">MAX(IF(mental[platform_usage] = O21, mental[daily_social_media_hours]))</f>
        <v>8</v>
      </c>
      <c r="R26" t="e">
        <v>#N/A</v>
      </c>
      <c r="S26">
        <v>3.5</v>
      </c>
      <c r="T26" t="e">
        <v>#N/A</v>
      </c>
    </row>
    <row r="27" spans="1:20" x14ac:dyDescent="0.35">
      <c r="B27" t="s">
        <v>16</v>
      </c>
      <c r="N27" cm="1">
        <f t="array" ref="N27">MAX(IF(mental[platform_usage] = O22, mental[daily_social_media_hours]))</f>
        <v>8</v>
      </c>
      <c r="R27" t="e">
        <v>#N/A</v>
      </c>
      <c r="S27" t="e">
        <v>#N/A</v>
      </c>
      <c r="T27">
        <v>4</v>
      </c>
    </row>
    <row r="28" spans="1:20" x14ac:dyDescent="0.35">
      <c r="B28" t="s">
        <v>13</v>
      </c>
      <c r="R28">
        <v>3.8</v>
      </c>
      <c r="S28" t="e">
        <v>#N/A</v>
      </c>
      <c r="T28" t="e">
        <v>#N/A</v>
      </c>
    </row>
    <row r="29" spans="1:20" x14ac:dyDescent="0.35">
      <c r="N29" t="s">
        <v>56</v>
      </c>
      <c r="R29" t="e">
        <v>#N/A</v>
      </c>
      <c r="S29" t="e">
        <v>#N/A</v>
      </c>
      <c r="T29">
        <v>4.7</v>
      </c>
    </row>
    <row r="30" spans="1:20" x14ac:dyDescent="0.35">
      <c r="N30" cm="1">
        <f t="array" ref="N30">AVERAGE(IF(mental[platform_usage] = O20, mental[daily_social_media_hours]))</f>
        <v>4.5593673965936725</v>
      </c>
      <c r="R30" t="e">
        <v>#N/A</v>
      </c>
      <c r="S30">
        <v>4.4000000000000004</v>
      </c>
      <c r="T30" t="e">
        <v>#N/A</v>
      </c>
    </row>
    <row r="31" spans="1:20" x14ac:dyDescent="0.35">
      <c r="N31" cm="1">
        <f t="array" ref="N31">AVERAGE(IF(mental[platform_usage] = O21, mental[daily_social_media_hours]))</f>
        <v>4.5311557788944716</v>
      </c>
      <c r="R31">
        <v>3.9</v>
      </c>
      <c r="S31" t="e">
        <v>#N/A</v>
      </c>
      <c r="T31" t="e">
        <v>#N/A</v>
      </c>
    </row>
    <row r="32" spans="1:20" x14ac:dyDescent="0.35">
      <c r="N32" cm="1">
        <f t="array" ref="N32">AVERAGE(IF(mental[platform_usage] = O22, mental[daily_social_media_hours]))</f>
        <v>4.5184143222506394</v>
      </c>
      <c r="R32" t="e">
        <v>#N/A</v>
      </c>
      <c r="S32" t="e">
        <v>#N/A</v>
      </c>
      <c r="T32">
        <v>7.3</v>
      </c>
    </row>
    <row r="33" spans="1:20" x14ac:dyDescent="0.35">
      <c r="R33" t="e">
        <v>#N/A</v>
      </c>
      <c r="S33">
        <v>1.9</v>
      </c>
      <c r="T33" t="e">
        <v>#N/A</v>
      </c>
    </row>
    <row r="34" spans="1:20" x14ac:dyDescent="0.35">
      <c r="N34" t="s">
        <v>57</v>
      </c>
      <c r="R34" t="e">
        <v>#N/A</v>
      </c>
      <c r="S34">
        <v>6.5</v>
      </c>
      <c r="T34" t="e">
        <v>#N/A</v>
      </c>
    </row>
    <row r="35" spans="1:20" x14ac:dyDescent="0.35">
      <c r="N35" cm="1">
        <f t="array" ref="N35">MEDIAN(IF(mental[platform_usage] = O20, mental[daily_social_media_hours]))</f>
        <v>4.4000000000000004</v>
      </c>
      <c r="R35" t="e">
        <v>#N/A</v>
      </c>
      <c r="S35">
        <v>7.2</v>
      </c>
      <c r="T35" t="e">
        <v>#N/A</v>
      </c>
    </row>
    <row r="36" spans="1:20" x14ac:dyDescent="0.35">
      <c r="N36" cm="1">
        <f t="array" ref="N36">MEDIAN(IF(mental[platform_usage] = O21, mental[daily_social_media_hours]))</f>
        <v>4.5999999999999996</v>
      </c>
      <c r="R36">
        <v>7.9</v>
      </c>
      <c r="S36" t="e">
        <v>#N/A</v>
      </c>
      <c r="T36" t="e">
        <v>#N/A</v>
      </c>
    </row>
    <row r="37" spans="1:20" x14ac:dyDescent="0.35">
      <c r="N37" cm="1">
        <f t="array" ref="N37">MEDIAN(IF(mental[platform_usage] = O22, mental[daily_social_media_hours]))</f>
        <v>4.5</v>
      </c>
      <c r="R37" t="e">
        <v>#N/A</v>
      </c>
      <c r="S37">
        <v>3.6</v>
      </c>
      <c r="T37" t="e">
        <v>#N/A</v>
      </c>
    </row>
    <row r="38" spans="1:20" x14ac:dyDescent="0.35">
      <c r="A38" t="s">
        <v>64</v>
      </c>
      <c r="B38" t="s">
        <v>48</v>
      </c>
      <c r="C38" t="s">
        <v>66</v>
      </c>
      <c r="D38" t="s">
        <v>67</v>
      </c>
      <c r="R38">
        <v>2</v>
      </c>
      <c r="S38" t="e">
        <v>#N/A</v>
      </c>
      <c r="T38" t="e">
        <v>#N/A</v>
      </c>
    </row>
    <row r="39" spans="1:20" x14ac:dyDescent="0.35">
      <c r="A39" t="s">
        <v>14</v>
      </c>
      <c r="B39" t="s">
        <v>13</v>
      </c>
      <c r="C39">
        <f>COUNTIFS(mental[platform_usage], A39, mental[gender], $B$39)</f>
        <v>208</v>
      </c>
      <c r="D39">
        <f>COUNTIFS(mental[platform_usage], A39, mental[gender], $B$40)</f>
        <v>203</v>
      </c>
      <c r="R39">
        <v>7.3</v>
      </c>
      <c r="S39" t="e">
        <v>#N/A</v>
      </c>
      <c r="T39" t="e">
        <v>#N/A</v>
      </c>
    </row>
    <row r="40" spans="1:20" ht="15" thickBot="1" x14ac:dyDescent="0.4">
      <c r="A40" t="s">
        <v>53</v>
      </c>
      <c r="B40" t="s">
        <v>16</v>
      </c>
      <c r="C40">
        <f>COUNTIFS(mental[platform_usage], A40, mental[gender], $B$39)</f>
        <v>205</v>
      </c>
      <c r="D40">
        <f>COUNTIFS(mental[platform_usage], A40, mental[gender], $B$40)</f>
        <v>193</v>
      </c>
      <c r="R40">
        <v>8</v>
      </c>
      <c r="S40" t="e">
        <v>#N/A</v>
      </c>
      <c r="T40" t="e">
        <v>#N/A</v>
      </c>
    </row>
    <row r="41" spans="1:20" x14ac:dyDescent="0.35">
      <c r="A41" t="s">
        <v>20</v>
      </c>
      <c r="C41">
        <f>COUNTIFS(mental[platform_usage], A41, mental[gender], $B$39)</f>
        <v>202</v>
      </c>
      <c r="D41">
        <f>COUNTIFS(mental[platform_usage], A41, mental[gender], $B$40)</f>
        <v>189</v>
      </c>
      <c r="N41" s="6"/>
      <c r="O41" s="7" t="s">
        <v>62</v>
      </c>
      <c r="P41" s="7" t="s">
        <v>61</v>
      </c>
      <c r="Q41" s="8" t="s">
        <v>63</v>
      </c>
      <c r="R41">
        <v>1.3</v>
      </c>
      <c r="S41" t="e">
        <v>#N/A</v>
      </c>
      <c r="T41" t="e">
        <v>#N/A</v>
      </c>
    </row>
    <row r="42" spans="1:20" x14ac:dyDescent="0.35">
      <c r="N42" s="9" t="s">
        <v>14</v>
      </c>
      <c r="O42" s="5">
        <v>1</v>
      </c>
      <c r="P42" s="5">
        <v>8</v>
      </c>
      <c r="Q42" s="10">
        <v>4.4000000000000004</v>
      </c>
      <c r="R42" t="e">
        <v>#N/A</v>
      </c>
      <c r="S42" t="e">
        <v>#N/A</v>
      </c>
      <c r="T42">
        <v>6.4</v>
      </c>
    </row>
    <row r="43" spans="1:20" x14ac:dyDescent="0.35">
      <c r="N43" s="9" t="s">
        <v>53</v>
      </c>
      <c r="O43" s="5">
        <v>1</v>
      </c>
      <c r="P43" s="5">
        <v>8</v>
      </c>
      <c r="Q43" s="10">
        <v>4.5999999999999996</v>
      </c>
      <c r="R43" t="e">
        <v>#N/A</v>
      </c>
      <c r="S43" t="e">
        <v>#N/A</v>
      </c>
      <c r="T43">
        <v>7.2</v>
      </c>
    </row>
    <row r="44" spans="1:20" ht="15" thickBot="1" x14ac:dyDescent="0.4">
      <c r="N44" s="11" t="s">
        <v>20</v>
      </c>
      <c r="O44" s="12">
        <v>1</v>
      </c>
      <c r="P44" s="12">
        <v>8</v>
      </c>
      <c r="Q44" s="13">
        <v>4.5</v>
      </c>
      <c r="R44">
        <v>2.1</v>
      </c>
      <c r="S44" t="e">
        <v>#N/A</v>
      </c>
      <c r="T44" t="e">
        <v>#N/A</v>
      </c>
    </row>
    <row r="45" spans="1:20" x14ac:dyDescent="0.35">
      <c r="A45" s="14" t="s">
        <v>64</v>
      </c>
      <c r="B45" s="7" t="s">
        <v>68</v>
      </c>
      <c r="C45" s="8" t="s">
        <v>69</v>
      </c>
      <c r="R45">
        <v>4.4000000000000004</v>
      </c>
      <c r="S45" t="e">
        <v>#N/A</v>
      </c>
      <c r="T45" t="e">
        <v>#N/A</v>
      </c>
    </row>
    <row r="46" spans="1:20" x14ac:dyDescent="0.35">
      <c r="A46" s="9" t="s">
        <v>14</v>
      </c>
      <c r="B46" s="5">
        <v>208</v>
      </c>
      <c r="C46" s="10">
        <v>203</v>
      </c>
      <c r="R46" t="e">
        <v>#N/A</v>
      </c>
      <c r="S46" t="e">
        <v>#N/A</v>
      </c>
      <c r="T46">
        <v>1.4</v>
      </c>
    </row>
    <row r="47" spans="1:20" x14ac:dyDescent="0.35">
      <c r="A47" s="9" t="s">
        <v>53</v>
      </c>
      <c r="B47" s="5">
        <v>205</v>
      </c>
      <c r="C47" s="10">
        <v>193</v>
      </c>
      <c r="R47">
        <v>3</v>
      </c>
      <c r="S47" t="e">
        <v>#N/A</v>
      </c>
      <c r="T47" t="e">
        <v>#N/A</v>
      </c>
    </row>
    <row r="48" spans="1:20" ht="15" thickBot="1" x14ac:dyDescent="0.4">
      <c r="A48" s="11" t="s">
        <v>20</v>
      </c>
      <c r="B48" s="12">
        <v>202</v>
      </c>
      <c r="C48" s="13">
        <v>189</v>
      </c>
      <c r="R48" t="e">
        <v>#N/A</v>
      </c>
      <c r="S48" t="e">
        <v>#N/A</v>
      </c>
      <c r="T48">
        <v>1.6</v>
      </c>
    </row>
    <row r="49" spans="18:20" x14ac:dyDescent="0.35">
      <c r="R49" t="e">
        <v>#N/A</v>
      </c>
      <c r="S49">
        <v>5.2</v>
      </c>
      <c r="T49" t="e">
        <v>#N/A</v>
      </c>
    </row>
    <row r="50" spans="18:20" x14ac:dyDescent="0.35">
      <c r="R50" t="e">
        <v>#N/A</v>
      </c>
      <c r="S50" t="e">
        <v>#N/A</v>
      </c>
      <c r="T50">
        <v>3</v>
      </c>
    </row>
    <row r="51" spans="18:20" x14ac:dyDescent="0.35">
      <c r="R51" t="e">
        <v>#N/A</v>
      </c>
      <c r="S51">
        <v>2.7</v>
      </c>
      <c r="T51" t="e">
        <v>#N/A</v>
      </c>
    </row>
    <row r="52" spans="18:20" x14ac:dyDescent="0.35">
      <c r="R52" t="e">
        <v>#N/A</v>
      </c>
      <c r="S52">
        <v>1.2</v>
      </c>
      <c r="T52" t="e">
        <v>#N/A</v>
      </c>
    </row>
    <row r="53" spans="18:20" x14ac:dyDescent="0.35">
      <c r="R53" t="e">
        <v>#N/A</v>
      </c>
      <c r="S53" t="e">
        <v>#N/A</v>
      </c>
      <c r="T53">
        <v>7.1</v>
      </c>
    </row>
    <row r="54" spans="18:20" x14ac:dyDescent="0.35">
      <c r="R54" t="e">
        <v>#N/A</v>
      </c>
      <c r="S54">
        <v>5.3</v>
      </c>
      <c r="T54" t="e">
        <v>#N/A</v>
      </c>
    </row>
    <row r="55" spans="18:20" x14ac:dyDescent="0.35">
      <c r="R55">
        <v>1.1000000000000001</v>
      </c>
      <c r="S55" t="e">
        <v>#N/A</v>
      </c>
      <c r="T55" t="e">
        <v>#N/A</v>
      </c>
    </row>
    <row r="56" spans="18:20" x14ac:dyDescent="0.35">
      <c r="R56">
        <v>4.4000000000000004</v>
      </c>
      <c r="S56" t="e">
        <v>#N/A</v>
      </c>
      <c r="T56" t="e">
        <v>#N/A</v>
      </c>
    </row>
    <row r="57" spans="18:20" x14ac:dyDescent="0.35">
      <c r="R57" t="e">
        <v>#N/A</v>
      </c>
      <c r="S57" t="e">
        <v>#N/A</v>
      </c>
      <c r="T57">
        <v>1.4</v>
      </c>
    </row>
    <row r="58" spans="18:20" x14ac:dyDescent="0.35">
      <c r="R58">
        <v>2.4</v>
      </c>
      <c r="S58" t="e">
        <v>#N/A</v>
      </c>
      <c r="T58" t="e">
        <v>#N/A</v>
      </c>
    </row>
    <row r="59" spans="18:20" x14ac:dyDescent="0.35">
      <c r="R59">
        <v>4.2</v>
      </c>
      <c r="S59" t="e">
        <v>#N/A</v>
      </c>
      <c r="T59" t="e">
        <v>#N/A</v>
      </c>
    </row>
    <row r="60" spans="18:20" x14ac:dyDescent="0.35">
      <c r="R60">
        <v>7.8</v>
      </c>
      <c r="S60" t="e">
        <v>#N/A</v>
      </c>
      <c r="T60" t="e">
        <v>#N/A</v>
      </c>
    </row>
    <row r="61" spans="18:20" x14ac:dyDescent="0.35">
      <c r="R61">
        <v>3.5</v>
      </c>
      <c r="S61" t="e">
        <v>#N/A</v>
      </c>
      <c r="T61" t="e">
        <v>#N/A</v>
      </c>
    </row>
    <row r="62" spans="18:20" x14ac:dyDescent="0.35">
      <c r="R62" t="e">
        <v>#N/A</v>
      </c>
      <c r="S62">
        <v>6</v>
      </c>
      <c r="T62" t="e">
        <v>#N/A</v>
      </c>
    </row>
    <row r="63" spans="18:20" x14ac:dyDescent="0.35">
      <c r="R63" t="e">
        <v>#N/A</v>
      </c>
      <c r="S63">
        <v>3.6</v>
      </c>
      <c r="T63" t="e">
        <v>#N/A</v>
      </c>
    </row>
    <row r="64" spans="18:20" x14ac:dyDescent="0.35">
      <c r="R64" t="e">
        <v>#N/A</v>
      </c>
      <c r="S64" t="e">
        <v>#N/A</v>
      </c>
      <c r="T64">
        <v>1.5</v>
      </c>
    </row>
    <row r="65" spans="1:20" x14ac:dyDescent="0.35">
      <c r="R65" t="e">
        <v>#N/A</v>
      </c>
      <c r="S65" t="e">
        <v>#N/A</v>
      </c>
      <c r="T65">
        <v>6.1</v>
      </c>
    </row>
    <row r="66" spans="1:20" x14ac:dyDescent="0.35">
      <c r="R66" t="e">
        <v>#N/A</v>
      </c>
      <c r="S66" t="e">
        <v>#N/A</v>
      </c>
      <c r="T66">
        <v>5.5</v>
      </c>
    </row>
    <row r="67" spans="1:20" ht="15" thickBot="1" x14ac:dyDescent="0.4">
      <c r="R67" t="e">
        <v>#N/A</v>
      </c>
      <c r="S67" t="e">
        <v>#N/A</v>
      </c>
      <c r="T67">
        <v>7.2</v>
      </c>
    </row>
    <row r="68" spans="1:20" x14ac:dyDescent="0.35">
      <c r="A68" s="14" t="s">
        <v>73</v>
      </c>
      <c r="B68" s="7" t="s">
        <v>74</v>
      </c>
      <c r="C68" s="7" t="s">
        <v>70</v>
      </c>
      <c r="D68" s="8" t="s">
        <v>49</v>
      </c>
      <c r="R68" t="e">
        <v>#N/A</v>
      </c>
      <c r="S68">
        <v>2.2999999999999998</v>
      </c>
      <c r="T68" t="e">
        <v>#N/A</v>
      </c>
    </row>
    <row r="69" spans="1:20" x14ac:dyDescent="0.35">
      <c r="A69" s="21">
        <v>13</v>
      </c>
      <c r="B69" s="5">
        <f>COUNTIFS(mental[age], A69, mental[depression_label], 0)</f>
        <v>196</v>
      </c>
      <c r="C69" s="5">
        <f>COUNTIFS(mental[age], A69, mental[depression_label], 1)</f>
        <v>4</v>
      </c>
      <c r="D69" s="10">
        <f>SUM(B69+C69)</f>
        <v>200</v>
      </c>
      <c r="R69" t="e">
        <v>#N/A</v>
      </c>
      <c r="S69" t="e">
        <v>#N/A</v>
      </c>
      <c r="T69">
        <v>3.5</v>
      </c>
    </row>
    <row r="70" spans="1:20" x14ac:dyDescent="0.35">
      <c r="A70" s="21">
        <v>14</v>
      </c>
      <c r="B70" s="5">
        <f>COUNTIFS(mental[age], A70, mental[depression_label], 0)</f>
        <v>150</v>
      </c>
      <c r="C70" s="5">
        <f>COUNTIFS(mental[age], A70, mental[depression_label], 1)</f>
        <v>3</v>
      </c>
      <c r="D70" s="10">
        <f t="shared" ref="D70:D75" si="0">SUM(B70+C70)</f>
        <v>153</v>
      </c>
      <c r="R70" t="e">
        <v>#N/A</v>
      </c>
      <c r="S70">
        <v>5.0999999999999996</v>
      </c>
      <c r="T70" t="e">
        <v>#N/A</v>
      </c>
    </row>
    <row r="71" spans="1:20" x14ac:dyDescent="0.35">
      <c r="A71" s="21">
        <v>15</v>
      </c>
      <c r="B71" s="5">
        <f>COUNTIFS(mental[age], A71, mental[depression_label], 0)</f>
        <v>172</v>
      </c>
      <c r="C71" s="5">
        <f>COUNTIFS(mental[age], A71, mental[depression_label], 1)</f>
        <v>8</v>
      </c>
      <c r="D71" s="10">
        <f t="shared" si="0"/>
        <v>180</v>
      </c>
      <c r="R71">
        <v>2.5</v>
      </c>
      <c r="S71" t="e">
        <v>#N/A</v>
      </c>
      <c r="T71" t="e">
        <v>#N/A</v>
      </c>
    </row>
    <row r="72" spans="1:20" x14ac:dyDescent="0.35">
      <c r="A72" s="21">
        <v>16</v>
      </c>
      <c r="B72" s="5">
        <f>COUNTIFS(mental[age], A72, mental[depression_label], 0)</f>
        <v>159</v>
      </c>
      <c r="C72" s="5">
        <f>COUNTIFS(mental[age], A72, mental[depression_label], 1)</f>
        <v>4</v>
      </c>
      <c r="D72" s="10">
        <f t="shared" si="0"/>
        <v>163</v>
      </c>
      <c r="R72" t="e">
        <v>#N/A</v>
      </c>
      <c r="S72">
        <v>2.6</v>
      </c>
      <c r="T72" t="e">
        <v>#N/A</v>
      </c>
    </row>
    <row r="73" spans="1:20" x14ac:dyDescent="0.35">
      <c r="A73" s="21">
        <v>17</v>
      </c>
      <c r="B73" s="5">
        <f>COUNTIFS(mental[age], A73, mental[depression_label], 0)</f>
        <v>168</v>
      </c>
      <c r="C73" s="5">
        <f>COUNTIFS(mental[age], A73, mental[depression_label], 1)</f>
        <v>2</v>
      </c>
      <c r="D73" s="10">
        <f t="shared" si="0"/>
        <v>170</v>
      </c>
      <c r="R73" t="e">
        <v>#N/A</v>
      </c>
      <c r="S73" t="e">
        <v>#N/A</v>
      </c>
      <c r="T73">
        <v>2.8</v>
      </c>
    </row>
    <row r="74" spans="1:20" x14ac:dyDescent="0.35">
      <c r="A74" s="21">
        <v>18</v>
      </c>
      <c r="B74" s="5">
        <f>COUNTIFS(mental[age], A74, mental[depression_label], 0)</f>
        <v>168</v>
      </c>
      <c r="C74" s="5">
        <f>COUNTIFS(mental[age], A74, mental[depression_label], 1)</f>
        <v>4</v>
      </c>
      <c r="D74" s="10">
        <f t="shared" si="0"/>
        <v>172</v>
      </c>
      <c r="R74">
        <v>3.5</v>
      </c>
      <c r="S74" t="e">
        <v>#N/A</v>
      </c>
      <c r="T74" t="e">
        <v>#N/A</v>
      </c>
    </row>
    <row r="75" spans="1:20" ht="15" thickBot="1" x14ac:dyDescent="0.4">
      <c r="A75" s="22">
        <v>19</v>
      </c>
      <c r="B75" s="12">
        <f>COUNTIFS(mental[age], A75, mental[depression_label], 0)</f>
        <v>156</v>
      </c>
      <c r="C75" s="12">
        <f>COUNTIFS(mental[age], A75, mental[depression_label], 1)</f>
        <v>6</v>
      </c>
      <c r="D75" s="13">
        <f t="shared" si="0"/>
        <v>162</v>
      </c>
      <c r="R75">
        <v>7</v>
      </c>
      <c r="S75" t="e">
        <v>#N/A</v>
      </c>
      <c r="T75" t="e">
        <v>#N/A</v>
      </c>
    </row>
    <row r="76" spans="1:20" x14ac:dyDescent="0.35">
      <c r="R76" t="e">
        <v>#N/A</v>
      </c>
      <c r="S76">
        <v>2.2999999999999998</v>
      </c>
      <c r="T76" t="e">
        <v>#N/A</v>
      </c>
    </row>
    <row r="77" spans="1:20" x14ac:dyDescent="0.35">
      <c r="R77">
        <v>6.3</v>
      </c>
      <c r="S77" t="e">
        <v>#N/A</v>
      </c>
      <c r="T77" t="e">
        <v>#N/A</v>
      </c>
    </row>
    <row r="78" spans="1:20" x14ac:dyDescent="0.35">
      <c r="R78">
        <v>3.1</v>
      </c>
      <c r="S78" t="e">
        <v>#N/A</v>
      </c>
      <c r="T78" t="e">
        <v>#N/A</v>
      </c>
    </row>
    <row r="79" spans="1:20" x14ac:dyDescent="0.35">
      <c r="R79">
        <v>5.8</v>
      </c>
      <c r="S79" t="e">
        <v>#N/A</v>
      </c>
      <c r="T79" t="e">
        <v>#N/A</v>
      </c>
    </row>
    <row r="80" spans="1:20" x14ac:dyDescent="0.35">
      <c r="R80">
        <v>5.8</v>
      </c>
      <c r="S80" t="e">
        <v>#N/A</v>
      </c>
      <c r="T80" t="e">
        <v>#N/A</v>
      </c>
    </row>
    <row r="81" spans="18:20" x14ac:dyDescent="0.35">
      <c r="R81">
        <v>7.6</v>
      </c>
      <c r="S81" t="e">
        <v>#N/A</v>
      </c>
      <c r="T81" t="e">
        <v>#N/A</v>
      </c>
    </row>
    <row r="82" spans="18:20" x14ac:dyDescent="0.35">
      <c r="R82" t="e">
        <v>#N/A</v>
      </c>
      <c r="S82" t="e">
        <v>#N/A</v>
      </c>
      <c r="T82">
        <v>3.8</v>
      </c>
    </row>
    <row r="83" spans="18:20" x14ac:dyDescent="0.35">
      <c r="R83">
        <v>6</v>
      </c>
      <c r="S83" t="e">
        <v>#N/A</v>
      </c>
      <c r="T83" t="e">
        <v>#N/A</v>
      </c>
    </row>
    <row r="84" spans="18:20" x14ac:dyDescent="0.35">
      <c r="R84">
        <v>3.5</v>
      </c>
      <c r="S84" t="e">
        <v>#N/A</v>
      </c>
      <c r="T84" t="e">
        <v>#N/A</v>
      </c>
    </row>
    <row r="85" spans="18:20" x14ac:dyDescent="0.35">
      <c r="R85" t="e">
        <v>#N/A</v>
      </c>
      <c r="S85">
        <v>4.3</v>
      </c>
      <c r="T85" t="e">
        <v>#N/A</v>
      </c>
    </row>
    <row r="86" spans="18:20" x14ac:dyDescent="0.35">
      <c r="R86" t="e">
        <v>#N/A</v>
      </c>
      <c r="S86">
        <v>5.3</v>
      </c>
      <c r="T86" t="e">
        <v>#N/A</v>
      </c>
    </row>
    <row r="87" spans="18:20" x14ac:dyDescent="0.35">
      <c r="R87" t="e">
        <v>#N/A</v>
      </c>
      <c r="S87">
        <v>2.5</v>
      </c>
      <c r="T87" t="e">
        <v>#N/A</v>
      </c>
    </row>
    <row r="88" spans="18:20" x14ac:dyDescent="0.35">
      <c r="R88" t="e">
        <v>#N/A</v>
      </c>
      <c r="S88" t="e">
        <v>#N/A</v>
      </c>
      <c r="T88">
        <v>7.4</v>
      </c>
    </row>
    <row r="89" spans="18:20" x14ac:dyDescent="0.35">
      <c r="R89" t="e">
        <v>#N/A</v>
      </c>
      <c r="S89" t="e">
        <v>#N/A</v>
      </c>
      <c r="T89">
        <v>5.2</v>
      </c>
    </row>
    <row r="90" spans="18:20" x14ac:dyDescent="0.35">
      <c r="R90" t="e">
        <v>#N/A</v>
      </c>
      <c r="S90" t="e">
        <v>#N/A</v>
      </c>
      <c r="T90">
        <v>3.3</v>
      </c>
    </row>
    <row r="91" spans="18:20" x14ac:dyDescent="0.35">
      <c r="R91" t="e">
        <v>#N/A</v>
      </c>
      <c r="S91">
        <v>4.7</v>
      </c>
      <c r="T91" t="e">
        <v>#N/A</v>
      </c>
    </row>
    <row r="92" spans="18:20" x14ac:dyDescent="0.35">
      <c r="R92" t="e">
        <v>#N/A</v>
      </c>
      <c r="S92" t="e">
        <v>#N/A</v>
      </c>
      <c r="T92">
        <v>2.2000000000000002</v>
      </c>
    </row>
    <row r="93" spans="18:20" x14ac:dyDescent="0.35">
      <c r="R93">
        <v>7.1</v>
      </c>
      <c r="S93" t="e">
        <v>#N/A</v>
      </c>
      <c r="T93" t="e">
        <v>#N/A</v>
      </c>
    </row>
    <row r="94" spans="18:20" x14ac:dyDescent="0.35">
      <c r="R94" t="e">
        <v>#N/A</v>
      </c>
      <c r="S94">
        <v>1.3</v>
      </c>
      <c r="T94" t="e">
        <v>#N/A</v>
      </c>
    </row>
    <row r="95" spans="18:20" x14ac:dyDescent="0.35">
      <c r="R95" t="e">
        <v>#N/A</v>
      </c>
      <c r="S95" t="e">
        <v>#N/A</v>
      </c>
      <c r="T95">
        <v>1.1000000000000001</v>
      </c>
    </row>
    <row r="96" spans="18:20" x14ac:dyDescent="0.35">
      <c r="R96" t="e">
        <v>#N/A</v>
      </c>
      <c r="S96">
        <v>3.3</v>
      </c>
      <c r="T96" t="e">
        <v>#N/A</v>
      </c>
    </row>
    <row r="97" spans="18:20" x14ac:dyDescent="0.35">
      <c r="R97">
        <v>2.9</v>
      </c>
      <c r="S97" t="e">
        <v>#N/A</v>
      </c>
      <c r="T97" t="e">
        <v>#N/A</v>
      </c>
    </row>
    <row r="98" spans="18:20" x14ac:dyDescent="0.35">
      <c r="R98">
        <v>5.8</v>
      </c>
      <c r="S98" t="e">
        <v>#N/A</v>
      </c>
      <c r="T98" t="e">
        <v>#N/A</v>
      </c>
    </row>
    <row r="99" spans="18:20" x14ac:dyDescent="0.35">
      <c r="R99" t="e">
        <v>#N/A</v>
      </c>
      <c r="S99" t="e">
        <v>#N/A</v>
      </c>
      <c r="T99">
        <v>2.9</v>
      </c>
    </row>
    <row r="100" spans="18:20" x14ac:dyDescent="0.35">
      <c r="R100">
        <v>3.5</v>
      </c>
      <c r="S100" t="e">
        <v>#N/A</v>
      </c>
      <c r="T100" t="e">
        <v>#N/A</v>
      </c>
    </row>
    <row r="101" spans="18:20" x14ac:dyDescent="0.35">
      <c r="R101" t="e">
        <v>#N/A</v>
      </c>
      <c r="S101" t="e">
        <v>#N/A</v>
      </c>
      <c r="T101">
        <v>3.2</v>
      </c>
    </row>
    <row r="102" spans="18:20" x14ac:dyDescent="0.35">
      <c r="R102" t="e">
        <v>#N/A</v>
      </c>
      <c r="S102">
        <v>3.3</v>
      </c>
      <c r="T102" t="e">
        <v>#N/A</v>
      </c>
    </row>
    <row r="103" spans="18:20" x14ac:dyDescent="0.35">
      <c r="R103" t="e">
        <v>#N/A</v>
      </c>
      <c r="S103" t="e">
        <v>#N/A</v>
      </c>
      <c r="T103">
        <v>2.5</v>
      </c>
    </row>
    <row r="104" spans="18:20" x14ac:dyDescent="0.35">
      <c r="R104" t="e">
        <v>#N/A</v>
      </c>
      <c r="S104" t="e">
        <v>#N/A</v>
      </c>
      <c r="T104">
        <v>4.7</v>
      </c>
    </row>
    <row r="105" spans="18:20" x14ac:dyDescent="0.35">
      <c r="R105" t="e">
        <v>#N/A</v>
      </c>
      <c r="S105">
        <v>2.6</v>
      </c>
      <c r="T105" t="e">
        <v>#N/A</v>
      </c>
    </row>
    <row r="106" spans="18:20" x14ac:dyDescent="0.35">
      <c r="R106" t="e">
        <v>#N/A</v>
      </c>
      <c r="S106" t="e">
        <v>#N/A</v>
      </c>
      <c r="T106">
        <v>5.2</v>
      </c>
    </row>
    <row r="107" spans="18:20" x14ac:dyDescent="0.35">
      <c r="R107" t="e">
        <v>#N/A</v>
      </c>
      <c r="S107" t="e">
        <v>#N/A</v>
      </c>
      <c r="T107">
        <v>7.1</v>
      </c>
    </row>
    <row r="108" spans="18:20" x14ac:dyDescent="0.35">
      <c r="R108" t="e">
        <v>#N/A</v>
      </c>
      <c r="S108">
        <v>3.6</v>
      </c>
      <c r="T108" t="e">
        <v>#N/A</v>
      </c>
    </row>
    <row r="109" spans="18:20" x14ac:dyDescent="0.35">
      <c r="R109" t="e">
        <v>#N/A</v>
      </c>
      <c r="S109" t="e">
        <v>#N/A</v>
      </c>
      <c r="T109">
        <v>7.7</v>
      </c>
    </row>
    <row r="110" spans="18:20" x14ac:dyDescent="0.35">
      <c r="R110" t="e">
        <v>#N/A</v>
      </c>
      <c r="S110">
        <v>7.9</v>
      </c>
      <c r="T110" t="e">
        <v>#N/A</v>
      </c>
    </row>
    <row r="111" spans="18:20" x14ac:dyDescent="0.35">
      <c r="R111">
        <v>4.0999999999999996</v>
      </c>
      <c r="S111" t="e">
        <v>#N/A</v>
      </c>
      <c r="T111" t="e">
        <v>#N/A</v>
      </c>
    </row>
    <row r="112" spans="18:20" x14ac:dyDescent="0.35">
      <c r="R112">
        <v>7.2</v>
      </c>
      <c r="S112" t="e">
        <v>#N/A</v>
      </c>
      <c r="T112" t="e">
        <v>#N/A</v>
      </c>
    </row>
    <row r="113" spans="18:20" x14ac:dyDescent="0.35">
      <c r="R113" t="e">
        <v>#N/A</v>
      </c>
      <c r="S113" t="e">
        <v>#N/A</v>
      </c>
      <c r="T113">
        <v>3.6</v>
      </c>
    </row>
    <row r="114" spans="18:20" x14ac:dyDescent="0.35">
      <c r="R114">
        <v>1.2</v>
      </c>
      <c r="S114" t="e">
        <v>#N/A</v>
      </c>
      <c r="T114" t="e">
        <v>#N/A</v>
      </c>
    </row>
    <row r="115" spans="18:20" x14ac:dyDescent="0.35">
      <c r="R115" t="e">
        <v>#N/A</v>
      </c>
      <c r="S115" t="e">
        <v>#N/A</v>
      </c>
      <c r="T115">
        <v>5.7</v>
      </c>
    </row>
    <row r="116" spans="18:20" x14ac:dyDescent="0.35">
      <c r="R116">
        <v>7.3</v>
      </c>
      <c r="S116" t="e">
        <v>#N/A</v>
      </c>
      <c r="T116" t="e">
        <v>#N/A</v>
      </c>
    </row>
    <row r="117" spans="18:20" x14ac:dyDescent="0.35">
      <c r="R117" t="e">
        <v>#N/A</v>
      </c>
      <c r="S117">
        <v>4.5</v>
      </c>
      <c r="T117" t="e">
        <v>#N/A</v>
      </c>
    </row>
    <row r="118" spans="18:20" x14ac:dyDescent="0.35">
      <c r="R118" t="e">
        <v>#N/A</v>
      </c>
      <c r="S118" t="e">
        <v>#N/A</v>
      </c>
      <c r="T118">
        <v>3.9</v>
      </c>
    </row>
    <row r="119" spans="18:20" x14ac:dyDescent="0.35">
      <c r="R119">
        <v>6.4</v>
      </c>
      <c r="S119" t="e">
        <v>#N/A</v>
      </c>
      <c r="T119" t="e">
        <v>#N/A</v>
      </c>
    </row>
    <row r="120" spans="18:20" x14ac:dyDescent="0.35">
      <c r="R120" t="e">
        <v>#N/A</v>
      </c>
      <c r="S120" t="e">
        <v>#N/A</v>
      </c>
      <c r="T120">
        <v>1.1000000000000001</v>
      </c>
    </row>
    <row r="121" spans="18:20" x14ac:dyDescent="0.35">
      <c r="R121">
        <v>7.7</v>
      </c>
      <c r="S121" t="e">
        <v>#N/A</v>
      </c>
      <c r="T121" t="e">
        <v>#N/A</v>
      </c>
    </row>
    <row r="122" spans="18:20" x14ac:dyDescent="0.35">
      <c r="R122" t="e">
        <v>#N/A</v>
      </c>
      <c r="S122">
        <v>1.7</v>
      </c>
      <c r="T122" t="e">
        <v>#N/A</v>
      </c>
    </row>
    <row r="123" spans="18:20" x14ac:dyDescent="0.35">
      <c r="R123">
        <v>2.7</v>
      </c>
      <c r="S123" t="e">
        <v>#N/A</v>
      </c>
      <c r="T123" t="e">
        <v>#N/A</v>
      </c>
    </row>
    <row r="124" spans="18:20" x14ac:dyDescent="0.35">
      <c r="R124">
        <v>4.7</v>
      </c>
      <c r="S124" t="e">
        <v>#N/A</v>
      </c>
      <c r="T124" t="e">
        <v>#N/A</v>
      </c>
    </row>
    <row r="125" spans="18:20" x14ac:dyDescent="0.35">
      <c r="R125" t="e">
        <v>#N/A</v>
      </c>
      <c r="S125" t="e">
        <v>#N/A</v>
      </c>
      <c r="T125">
        <v>4.4000000000000004</v>
      </c>
    </row>
    <row r="126" spans="18:20" x14ac:dyDescent="0.35">
      <c r="R126" t="e">
        <v>#N/A</v>
      </c>
      <c r="S126">
        <v>7.1</v>
      </c>
      <c r="T126" t="e">
        <v>#N/A</v>
      </c>
    </row>
    <row r="127" spans="18:20" x14ac:dyDescent="0.35">
      <c r="R127" t="e">
        <v>#N/A</v>
      </c>
      <c r="S127" t="e">
        <v>#N/A</v>
      </c>
      <c r="T127">
        <v>6.5</v>
      </c>
    </row>
    <row r="128" spans="18:20" x14ac:dyDescent="0.35">
      <c r="R128" t="e">
        <v>#N/A</v>
      </c>
      <c r="S128">
        <v>7</v>
      </c>
      <c r="T128" t="e">
        <v>#N/A</v>
      </c>
    </row>
    <row r="129" spans="18:20" x14ac:dyDescent="0.35">
      <c r="R129" t="e">
        <v>#N/A</v>
      </c>
      <c r="S129" t="e">
        <v>#N/A</v>
      </c>
      <c r="T129">
        <v>4.4000000000000004</v>
      </c>
    </row>
    <row r="130" spans="18:20" x14ac:dyDescent="0.35">
      <c r="R130" t="e">
        <v>#N/A</v>
      </c>
      <c r="S130" t="e">
        <v>#N/A</v>
      </c>
      <c r="T130">
        <v>1.8</v>
      </c>
    </row>
    <row r="131" spans="18:20" x14ac:dyDescent="0.35">
      <c r="R131" t="e">
        <v>#N/A</v>
      </c>
      <c r="S131">
        <v>4.4000000000000004</v>
      </c>
      <c r="T131" t="e">
        <v>#N/A</v>
      </c>
    </row>
    <row r="132" spans="18:20" x14ac:dyDescent="0.35">
      <c r="R132" t="e">
        <v>#N/A</v>
      </c>
      <c r="S132">
        <v>6.9</v>
      </c>
      <c r="T132" t="e">
        <v>#N/A</v>
      </c>
    </row>
    <row r="133" spans="18:20" x14ac:dyDescent="0.35">
      <c r="R133">
        <v>4.8</v>
      </c>
      <c r="S133" t="e">
        <v>#N/A</v>
      </c>
      <c r="T133" t="e">
        <v>#N/A</v>
      </c>
    </row>
    <row r="134" spans="18:20" x14ac:dyDescent="0.35">
      <c r="R134">
        <v>7.8</v>
      </c>
      <c r="S134" t="e">
        <v>#N/A</v>
      </c>
      <c r="T134" t="e">
        <v>#N/A</v>
      </c>
    </row>
    <row r="135" spans="18:20" x14ac:dyDescent="0.35">
      <c r="R135">
        <v>2</v>
      </c>
      <c r="S135" t="e">
        <v>#N/A</v>
      </c>
      <c r="T135" t="e">
        <v>#N/A</v>
      </c>
    </row>
    <row r="136" spans="18:20" x14ac:dyDescent="0.35">
      <c r="R136">
        <v>3.6</v>
      </c>
      <c r="S136" t="e">
        <v>#N/A</v>
      </c>
      <c r="T136" t="e">
        <v>#N/A</v>
      </c>
    </row>
    <row r="137" spans="18:20" x14ac:dyDescent="0.35">
      <c r="R137" t="e">
        <v>#N/A</v>
      </c>
      <c r="S137" t="e">
        <v>#N/A</v>
      </c>
      <c r="T137">
        <v>4.0999999999999996</v>
      </c>
    </row>
    <row r="138" spans="18:20" x14ac:dyDescent="0.35">
      <c r="R138" t="e">
        <v>#N/A</v>
      </c>
      <c r="S138" t="e">
        <v>#N/A</v>
      </c>
      <c r="T138">
        <v>1</v>
      </c>
    </row>
    <row r="139" spans="18:20" x14ac:dyDescent="0.35">
      <c r="R139" t="e">
        <v>#N/A</v>
      </c>
      <c r="S139" t="e">
        <v>#N/A</v>
      </c>
      <c r="T139">
        <v>2</v>
      </c>
    </row>
    <row r="140" spans="18:20" x14ac:dyDescent="0.35">
      <c r="R140" t="e">
        <v>#N/A</v>
      </c>
      <c r="S140">
        <v>5</v>
      </c>
      <c r="T140" t="e">
        <v>#N/A</v>
      </c>
    </row>
    <row r="141" spans="18:20" x14ac:dyDescent="0.35">
      <c r="R141" t="e">
        <v>#N/A</v>
      </c>
      <c r="S141">
        <v>3</v>
      </c>
      <c r="T141" t="e">
        <v>#N/A</v>
      </c>
    </row>
    <row r="142" spans="18:20" x14ac:dyDescent="0.35">
      <c r="R142">
        <v>6.1</v>
      </c>
      <c r="S142" t="e">
        <v>#N/A</v>
      </c>
      <c r="T142" t="e">
        <v>#N/A</v>
      </c>
    </row>
    <row r="143" spans="18:20" x14ac:dyDescent="0.35">
      <c r="R143" t="e">
        <v>#N/A</v>
      </c>
      <c r="S143">
        <v>6.2</v>
      </c>
      <c r="T143" t="e">
        <v>#N/A</v>
      </c>
    </row>
    <row r="144" spans="18:20" x14ac:dyDescent="0.35">
      <c r="R144" t="e">
        <v>#N/A</v>
      </c>
      <c r="S144">
        <v>2.2999999999999998</v>
      </c>
      <c r="T144" t="e">
        <v>#N/A</v>
      </c>
    </row>
    <row r="145" spans="18:20" x14ac:dyDescent="0.35">
      <c r="R145">
        <v>3.1</v>
      </c>
      <c r="S145" t="e">
        <v>#N/A</v>
      </c>
      <c r="T145" t="e">
        <v>#N/A</v>
      </c>
    </row>
    <row r="146" spans="18:20" x14ac:dyDescent="0.35">
      <c r="R146">
        <v>5.7</v>
      </c>
      <c r="S146" t="e">
        <v>#N/A</v>
      </c>
      <c r="T146" t="e">
        <v>#N/A</v>
      </c>
    </row>
    <row r="147" spans="18:20" x14ac:dyDescent="0.35">
      <c r="R147">
        <v>7.8</v>
      </c>
      <c r="S147" t="e">
        <v>#N/A</v>
      </c>
      <c r="T147" t="e">
        <v>#N/A</v>
      </c>
    </row>
    <row r="148" spans="18:20" x14ac:dyDescent="0.35">
      <c r="R148">
        <v>3.4</v>
      </c>
      <c r="S148" t="e">
        <v>#N/A</v>
      </c>
      <c r="T148" t="e">
        <v>#N/A</v>
      </c>
    </row>
    <row r="149" spans="18:20" x14ac:dyDescent="0.35">
      <c r="R149" t="e">
        <v>#N/A</v>
      </c>
      <c r="S149">
        <v>4</v>
      </c>
      <c r="T149" t="e">
        <v>#N/A</v>
      </c>
    </row>
    <row r="150" spans="18:20" x14ac:dyDescent="0.35">
      <c r="R150" t="e">
        <v>#N/A</v>
      </c>
      <c r="S150">
        <v>4.0999999999999996</v>
      </c>
      <c r="T150" t="e">
        <v>#N/A</v>
      </c>
    </row>
    <row r="151" spans="18:20" x14ac:dyDescent="0.35">
      <c r="R151" t="e">
        <v>#N/A</v>
      </c>
      <c r="S151" t="e">
        <v>#N/A</v>
      </c>
      <c r="T151">
        <v>1.2</v>
      </c>
    </row>
    <row r="152" spans="18:20" x14ac:dyDescent="0.35">
      <c r="R152">
        <v>7</v>
      </c>
      <c r="S152" t="e">
        <v>#N/A</v>
      </c>
      <c r="T152" t="e">
        <v>#N/A</v>
      </c>
    </row>
    <row r="153" spans="18:20" x14ac:dyDescent="0.35">
      <c r="R153" t="e">
        <v>#N/A</v>
      </c>
      <c r="S153" t="e">
        <v>#N/A</v>
      </c>
      <c r="T153">
        <v>5.8</v>
      </c>
    </row>
    <row r="154" spans="18:20" x14ac:dyDescent="0.35">
      <c r="R154" t="e">
        <v>#N/A</v>
      </c>
      <c r="S154">
        <v>1.3</v>
      </c>
      <c r="T154" t="e">
        <v>#N/A</v>
      </c>
    </row>
    <row r="155" spans="18:20" x14ac:dyDescent="0.35">
      <c r="R155" t="e">
        <v>#N/A</v>
      </c>
      <c r="S155">
        <v>6.9</v>
      </c>
      <c r="T155" t="e">
        <v>#N/A</v>
      </c>
    </row>
    <row r="156" spans="18:20" x14ac:dyDescent="0.35">
      <c r="R156" t="e">
        <v>#N/A</v>
      </c>
      <c r="S156">
        <v>3.7</v>
      </c>
      <c r="T156" t="e">
        <v>#N/A</v>
      </c>
    </row>
    <row r="157" spans="18:20" x14ac:dyDescent="0.35">
      <c r="R157" t="e">
        <v>#N/A</v>
      </c>
      <c r="S157">
        <v>6.6</v>
      </c>
      <c r="T157" t="e">
        <v>#N/A</v>
      </c>
    </row>
    <row r="158" spans="18:20" x14ac:dyDescent="0.35">
      <c r="R158" t="e">
        <v>#N/A</v>
      </c>
      <c r="S158">
        <v>4.7</v>
      </c>
      <c r="T158" t="e">
        <v>#N/A</v>
      </c>
    </row>
    <row r="159" spans="18:20" x14ac:dyDescent="0.35">
      <c r="R159" t="e">
        <v>#N/A</v>
      </c>
      <c r="S159" t="e">
        <v>#N/A</v>
      </c>
      <c r="T159">
        <v>3.7</v>
      </c>
    </row>
    <row r="160" spans="18:20" x14ac:dyDescent="0.35">
      <c r="R160">
        <v>6.1</v>
      </c>
      <c r="S160" t="e">
        <v>#N/A</v>
      </c>
      <c r="T160" t="e">
        <v>#N/A</v>
      </c>
    </row>
    <row r="161" spans="18:20" x14ac:dyDescent="0.35">
      <c r="R161" t="e">
        <v>#N/A</v>
      </c>
      <c r="S161">
        <v>1.3</v>
      </c>
      <c r="T161" t="e">
        <v>#N/A</v>
      </c>
    </row>
    <row r="162" spans="18:20" x14ac:dyDescent="0.35">
      <c r="R162" t="e">
        <v>#N/A</v>
      </c>
      <c r="S162">
        <v>7.3</v>
      </c>
      <c r="T162" t="e">
        <v>#N/A</v>
      </c>
    </row>
    <row r="163" spans="18:20" x14ac:dyDescent="0.35">
      <c r="R163">
        <v>3.5</v>
      </c>
      <c r="S163" t="e">
        <v>#N/A</v>
      </c>
      <c r="T163" t="e">
        <v>#N/A</v>
      </c>
    </row>
    <row r="164" spans="18:20" x14ac:dyDescent="0.35">
      <c r="R164" t="e">
        <v>#N/A</v>
      </c>
      <c r="S164">
        <v>1.2</v>
      </c>
      <c r="T164" t="e">
        <v>#N/A</v>
      </c>
    </row>
    <row r="165" spans="18:20" x14ac:dyDescent="0.35">
      <c r="R165" t="e">
        <v>#N/A</v>
      </c>
      <c r="S165">
        <v>1.7</v>
      </c>
      <c r="T165" t="e">
        <v>#N/A</v>
      </c>
    </row>
    <row r="166" spans="18:20" x14ac:dyDescent="0.35">
      <c r="R166" t="e">
        <v>#N/A</v>
      </c>
      <c r="S166" t="e">
        <v>#N/A</v>
      </c>
      <c r="T166">
        <v>3.5</v>
      </c>
    </row>
    <row r="167" spans="18:20" x14ac:dyDescent="0.35">
      <c r="R167" t="e">
        <v>#N/A</v>
      </c>
      <c r="S167">
        <v>2.4</v>
      </c>
      <c r="T167" t="e">
        <v>#N/A</v>
      </c>
    </row>
    <row r="168" spans="18:20" x14ac:dyDescent="0.35">
      <c r="R168">
        <v>1.8</v>
      </c>
      <c r="S168" t="e">
        <v>#N/A</v>
      </c>
      <c r="T168" t="e">
        <v>#N/A</v>
      </c>
    </row>
    <row r="169" spans="18:20" x14ac:dyDescent="0.35">
      <c r="R169">
        <v>7</v>
      </c>
      <c r="S169" t="e">
        <v>#N/A</v>
      </c>
      <c r="T169" t="e">
        <v>#N/A</v>
      </c>
    </row>
    <row r="170" spans="18:20" x14ac:dyDescent="0.35">
      <c r="R170">
        <v>2</v>
      </c>
      <c r="S170" t="e">
        <v>#N/A</v>
      </c>
      <c r="T170" t="e">
        <v>#N/A</v>
      </c>
    </row>
    <row r="171" spans="18:20" x14ac:dyDescent="0.35">
      <c r="R171" t="e">
        <v>#N/A</v>
      </c>
      <c r="S171">
        <v>4.4000000000000004</v>
      </c>
      <c r="T171" t="e">
        <v>#N/A</v>
      </c>
    </row>
    <row r="172" spans="18:20" x14ac:dyDescent="0.35">
      <c r="R172" t="e">
        <v>#N/A</v>
      </c>
      <c r="S172">
        <v>7.5</v>
      </c>
      <c r="T172" t="e">
        <v>#N/A</v>
      </c>
    </row>
    <row r="173" spans="18:20" x14ac:dyDescent="0.35">
      <c r="R173" t="e">
        <v>#N/A</v>
      </c>
      <c r="S173" t="e">
        <v>#N/A</v>
      </c>
      <c r="T173">
        <v>7.2</v>
      </c>
    </row>
    <row r="174" spans="18:20" x14ac:dyDescent="0.35">
      <c r="R174">
        <v>4.5999999999999996</v>
      </c>
      <c r="S174" t="e">
        <v>#N/A</v>
      </c>
      <c r="T174" t="e">
        <v>#N/A</v>
      </c>
    </row>
    <row r="175" spans="18:20" x14ac:dyDescent="0.35">
      <c r="R175" t="e">
        <v>#N/A</v>
      </c>
      <c r="S175" t="e">
        <v>#N/A</v>
      </c>
      <c r="T175">
        <v>7.2</v>
      </c>
    </row>
    <row r="176" spans="18:20" x14ac:dyDescent="0.35">
      <c r="R176" t="e">
        <v>#N/A</v>
      </c>
      <c r="S176">
        <v>2.9</v>
      </c>
      <c r="T176" t="e">
        <v>#N/A</v>
      </c>
    </row>
    <row r="177" spans="18:20" x14ac:dyDescent="0.35">
      <c r="R177">
        <v>5.0999999999999996</v>
      </c>
      <c r="S177" t="e">
        <v>#N/A</v>
      </c>
      <c r="T177" t="e">
        <v>#N/A</v>
      </c>
    </row>
    <row r="178" spans="18:20" x14ac:dyDescent="0.35">
      <c r="R178">
        <v>5</v>
      </c>
      <c r="S178" t="e">
        <v>#N/A</v>
      </c>
      <c r="T178" t="e">
        <v>#N/A</v>
      </c>
    </row>
    <row r="179" spans="18:20" x14ac:dyDescent="0.35">
      <c r="R179" t="e">
        <v>#N/A</v>
      </c>
      <c r="S179">
        <v>5.6</v>
      </c>
      <c r="T179" t="e">
        <v>#N/A</v>
      </c>
    </row>
    <row r="180" spans="18:20" x14ac:dyDescent="0.35">
      <c r="R180">
        <v>3.8</v>
      </c>
      <c r="S180" t="e">
        <v>#N/A</v>
      </c>
      <c r="T180" t="e">
        <v>#N/A</v>
      </c>
    </row>
    <row r="181" spans="18:20" x14ac:dyDescent="0.35">
      <c r="R181" t="e">
        <v>#N/A</v>
      </c>
      <c r="S181" t="e">
        <v>#N/A</v>
      </c>
      <c r="T181">
        <v>4.3</v>
      </c>
    </row>
    <row r="182" spans="18:20" x14ac:dyDescent="0.35">
      <c r="R182" t="e">
        <v>#N/A</v>
      </c>
      <c r="S182">
        <v>4.5999999999999996</v>
      </c>
      <c r="T182" t="e">
        <v>#N/A</v>
      </c>
    </row>
    <row r="183" spans="18:20" x14ac:dyDescent="0.35">
      <c r="R183">
        <v>5.7</v>
      </c>
      <c r="S183" t="e">
        <v>#N/A</v>
      </c>
      <c r="T183" t="e">
        <v>#N/A</v>
      </c>
    </row>
    <row r="184" spans="18:20" x14ac:dyDescent="0.35">
      <c r="R184" t="e">
        <v>#N/A</v>
      </c>
      <c r="S184" t="e">
        <v>#N/A</v>
      </c>
      <c r="T184">
        <v>3.5</v>
      </c>
    </row>
    <row r="185" spans="18:20" x14ac:dyDescent="0.35">
      <c r="R185" t="e">
        <v>#N/A</v>
      </c>
      <c r="S185">
        <v>4</v>
      </c>
      <c r="T185" t="e">
        <v>#N/A</v>
      </c>
    </row>
    <row r="186" spans="18:20" x14ac:dyDescent="0.35">
      <c r="R186" t="e">
        <v>#N/A</v>
      </c>
      <c r="S186">
        <v>7.8</v>
      </c>
      <c r="T186" t="e">
        <v>#N/A</v>
      </c>
    </row>
    <row r="187" spans="18:20" x14ac:dyDescent="0.35">
      <c r="R187" t="e">
        <v>#N/A</v>
      </c>
      <c r="S187" t="e">
        <v>#N/A</v>
      </c>
      <c r="T187">
        <v>1.1000000000000001</v>
      </c>
    </row>
    <row r="188" spans="18:20" x14ac:dyDescent="0.35">
      <c r="R188" t="e">
        <v>#N/A</v>
      </c>
      <c r="S188">
        <v>5.7</v>
      </c>
      <c r="T188" t="e">
        <v>#N/A</v>
      </c>
    </row>
    <row r="189" spans="18:20" x14ac:dyDescent="0.35">
      <c r="R189" t="e">
        <v>#N/A</v>
      </c>
      <c r="S189">
        <v>1.6</v>
      </c>
      <c r="T189" t="e">
        <v>#N/A</v>
      </c>
    </row>
    <row r="190" spans="18:20" x14ac:dyDescent="0.35">
      <c r="R190" t="e">
        <v>#N/A</v>
      </c>
      <c r="S190" t="e">
        <v>#N/A</v>
      </c>
      <c r="T190">
        <v>1.7</v>
      </c>
    </row>
    <row r="191" spans="18:20" x14ac:dyDescent="0.35">
      <c r="R191" t="e">
        <v>#N/A</v>
      </c>
      <c r="S191" t="e">
        <v>#N/A</v>
      </c>
      <c r="T191">
        <v>4.7</v>
      </c>
    </row>
    <row r="192" spans="18:20" x14ac:dyDescent="0.35">
      <c r="R192">
        <v>7.4</v>
      </c>
      <c r="S192" t="e">
        <v>#N/A</v>
      </c>
      <c r="T192" t="e">
        <v>#N/A</v>
      </c>
    </row>
    <row r="193" spans="18:20" x14ac:dyDescent="0.35">
      <c r="R193">
        <v>1.5</v>
      </c>
      <c r="S193" t="e">
        <v>#N/A</v>
      </c>
      <c r="T193" t="e">
        <v>#N/A</v>
      </c>
    </row>
    <row r="194" spans="18:20" x14ac:dyDescent="0.35">
      <c r="R194">
        <v>1.8</v>
      </c>
      <c r="S194" t="e">
        <v>#N/A</v>
      </c>
      <c r="T194" t="e">
        <v>#N/A</v>
      </c>
    </row>
    <row r="195" spans="18:20" x14ac:dyDescent="0.35">
      <c r="R195">
        <v>4</v>
      </c>
      <c r="S195" t="e">
        <v>#N/A</v>
      </c>
      <c r="T195" t="e">
        <v>#N/A</v>
      </c>
    </row>
    <row r="196" spans="18:20" x14ac:dyDescent="0.35">
      <c r="R196" t="e">
        <v>#N/A</v>
      </c>
      <c r="S196">
        <v>2.2999999999999998</v>
      </c>
      <c r="T196" t="e">
        <v>#N/A</v>
      </c>
    </row>
    <row r="197" spans="18:20" x14ac:dyDescent="0.35">
      <c r="R197" t="e">
        <v>#N/A</v>
      </c>
      <c r="S197">
        <v>1.1000000000000001</v>
      </c>
      <c r="T197" t="e">
        <v>#N/A</v>
      </c>
    </row>
    <row r="198" spans="18:20" x14ac:dyDescent="0.35">
      <c r="R198" t="e">
        <v>#N/A</v>
      </c>
      <c r="S198" t="e">
        <v>#N/A</v>
      </c>
      <c r="T198">
        <v>2.7</v>
      </c>
    </row>
    <row r="199" spans="18:20" x14ac:dyDescent="0.35">
      <c r="R199">
        <v>7.7</v>
      </c>
      <c r="S199" t="e">
        <v>#N/A</v>
      </c>
      <c r="T199" t="e">
        <v>#N/A</v>
      </c>
    </row>
    <row r="200" spans="18:20" x14ac:dyDescent="0.35">
      <c r="R200" t="e">
        <v>#N/A</v>
      </c>
      <c r="S200" t="e">
        <v>#N/A</v>
      </c>
      <c r="T200">
        <v>1.5</v>
      </c>
    </row>
    <row r="201" spans="18:20" x14ac:dyDescent="0.35">
      <c r="R201">
        <v>3.4</v>
      </c>
      <c r="S201" t="e">
        <v>#N/A</v>
      </c>
      <c r="T201" t="e">
        <v>#N/A</v>
      </c>
    </row>
    <row r="202" spans="18:20" x14ac:dyDescent="0.35">
      <c r="R202" t="e">
        <v>#N/A</v>
      </c>
      <c r="S202">
        <v>7.2</v>
      </c>
      <c r="T202" t="e">
        <v>#N/A</v>
      </c>
    </row>
    <row r="203" spans="18:20" x14ac:dyDescent="0.35">
      <c r="R203">
        <v>3.5</v>
      </c>
      <c r="S203" t="e">
        <v>#N/A</v>
      </c>
      <c r="T203" t="e">
        <v>#N/A</v>
      </c>
    </row>
    <row r="204" spans="18:20" x14ac:dyDescent="0.35">
      <c r="R204" t="e">
        <v>#N/A</v>
      </c>
      <c r="S204" t="e">
        <v>#N/A</v>
      </c>
      <c r="T204">
        <v>6.6</v>
      </c>
    </row>
    <row r="205" spans="18:20" x14ac:dyDescent="0.35">
      <c r="R205" t="e">
        <v>#N/A</v>
      </c>
      <c r="S205">
        <v>1.2</v>
      </c>
      <c r="T205" t="e">
        <v>#N/A</v>
      </c>
    </row>
    <row r="206" spans="18:20" x14ac:dyDescent="0.35">
      <c r="R206">
        <v>1.8</v>
      </c>
      <c r="S206" t="e">
        <v>#N/A</v>
      </c>
      <c r="T206" t="e">
        <v>#N/A</v>
      </c>
    </row>
    <row r="207" spans="18:20" x14ac:dyDescent="0.35">
      <c r="R207">
        <v>6.7</v>
      </c>
      <c r="S207" t="e">
        <v>#N/A</v>
      </c>
      <c r="T207" t="e">
        <v>#N/A</v>
      </c>
    </row>
    <row r="208" spans="18:20" x14ac:dyDescent="0.35">
      <c r="R208" t="e">
        <v>#N/A</v>
      </c>
      <c r="S208">
        <v>6.6</v>
      </c>
      <c r="T208" t="e">
        <v>#N/A</v>
      </c>
    </row>
    <row r="209" spans="18:20" x14ac:dyDescent="0.35">
      <c r="R209" t="e">
        <v>#N/A</v>
      </c>
      <c r="S209" t="e">
        <v>#N/A</v>
      </c>
      <c r="T209">
        <v>5.9</v>
      </c>
    </row>
    <row r="210" spans="18:20" x14ac:dyDescent="0.35">
      <c r="R210">
        <v>7</v>
      </c>
      <c r="S210" t="e">
        <v>#N/A</v>
      </c>
      <c r="T210" t="e">
        <v>#N/A</v>
      </c>
    </row>
    <row r="211" spans="18:20" x14ac:dyDescent="0.35">
      <c r="R211">
        <v>4.2</v>
      </c>
      <c r="S211" t="e">
        <v>#N/A</v>
      </c>
      <c r="T211" t="e">
        <v>#N/A</v>
      </c>
    </row>
    <row r="212" spans="18:20" x14ac:dyDescent="0.35">
      <c r="R212">
        <v>1.2</v>
      </c>
      <c r="S212" t="e">
        <v>#N/A</v>
      </c>
      <c r="T212" t="e">
        <v>#N/A</v>
      </c>
    </row>
    <row r="213" spans="18:20" x14ac:dyDescent="0.35">
      <c r="R213">
        <v>3.8</v>
      </c>
      <c r="S213" t="e">
        <v>#N/A</v>
      </c>
      <c r="T213" t="e">
        <v>#N/A</v>
      </c>
    </row>
    <row r="214" spans="18:20" x14ac:dyDescent="0.35">
      <c r="R214" t="e">
        <v>#N/A</v>
      </c>
      <c r="S214">
        <v>4.2</v>
      </c>
      <c r="T214" t="e">
        <v>#N/A</v>
      </c>
    </row>
    <row r="215" spans="18:20" x14ac:dyDescent="0.35">
      <c r="R215" t="e">
        <v>#N/A</v>
      </c>
      <c r="S215" t="e">
        <v>#N/A</v>
      </c>
      <c r="T215">
        <v>6.7</v>
      </c>
    </row>
    <row r="216" spans="18:20" x14ac:dyDescent="0.35">
      <c r="R216">
        <v>2.2999999999999998</v>
      </c>
      <c r="S216" t="e">
        <v>#N/A</v>
      </c>
      <c r="T216" t="e">
        <v>#N/A</v>
      </c>
    </row>
    <row r="217" spans="18:20" x14ac:dyDescent="0.35">
      <c r="R217" t="e">
        <v>#N/A</v>
      </c>
      <c r="S217" t="e">
        <v>#N/A</v>
      </c>
      <c r="T217">
        <v>4.2</v>
      </c>
    </row>
    <row r="218" spans="18:20" x14ac:dyDescent="0.35">
      <c r="R218" t="e">
        <v>#N/A</v>
      </c>
      <c r="S218">
        <v>5.5</v>
      </c>
      <c r="T218" t="e">
        <v>#N/A</v>
      </c>
    </row>
    <row r="219" spans="18:20" x14ac:dyDescent="0.35">
      <c r="R219">
        <v>5.7</v>
      </c>
      <c r="S219" t="e">
        <v>#N/A</v>
      </c>
      <c r="T219" t="e">
        <v>#N/A</v>
      </c>
    </row>
    <row r="220" spans="18:20" x14ac:dyDescent="0.35">
      <c r="R220" t="e">
        <v>#N/A</v>
      </c>
      <c r="S220" t="e">
        <v>#N/A</v>
      </c>
      <c r="T220">
        <v>2.7</v>
      </c>
    </row>
    <row r="221" spans="18:20" x14ac:dyDescent="0.35">
      <c r="R221" t="e">
        <v>#N/A</v>
      </c>
      <c r="S221">
        <v>5.4</v>
      </c>
      <c r="T221" t="e">
        <v>#N/A</v>
      </c>
    </row>
    <row r="222" spans="18:20" x14ac:dyDescent="0.35">
      <c r="R222">
        <v>3.9</v>
      </c>
      <c r="S222" t="e">
        <v>#N/A</v>
      </c>
      <c r="T222" t="e">
        <v>#N/A</v>
      </c>
    </row>
    <row r="223" spans="18:20" x14ac:dyDescent="0.35">
      <c r="R223" t="e">
        <v>#N/A</v>
      </c>
      <c r="S223" t="e">
        <v>#N/A</v>
      </c>
      <c r="T223">
        <v>4.5999999999999996</v>
      </c>
    </row>
    <row r="224" spans="18:20" x14ac:dyDescent="0.35">
      <c r="R224">
        <v>5.8</v>
      </c>
      <c r="S224" t="e">
        <v>#N/A</v>
      </c>
      <c r="T224" t="e">
        <v>#N/A</v>
      </c>
    </row>
    <row r="225" spans="18:20" x14ac:dyDescent="0.35">
      <c r="R225">
        <v>2</v>
      </c>
      <c r="S225" t="e">
        <v>#N/A</v>
      </c>
      <c r="T225" t="e">
        <v>#N/A</v>
      </c>
    </row>
    <row r="226" spans="18:20" x14ac:dyDescent="0.35">
      <c r="R226">
        <v>3.2</v>
      </c>
      <c r="S226" t="e">
        <v>#N/A</v>
      </c>
      <c r="T226" t="e">
        <v>#N/A</v>
      </c>
    </row>
    <row r="227" spans="18:20" x14ac:dyDescent="0.35">
      <c r="R227">
        <v>4.5</v>
      </c>
      <c r="S227" t="e">
        <v>#N/A</v>
      </c>
      <c r="T227" t="e">
        <v>#N/A</v>
      </c>
    </row>
    <row r="228" spans="18:20" x14ac:dyDescent="0.35">
      <c r="R228">
        <v>5.7</v>
      </c>
      <c r="S228" t="e">
        <v>#N/A</v>
      </c>
      <c r="T228" t="e">
        <v>#N/A</v>
      </c>
    </row>
    <row r="229" spans="18:20" x14ac:dyDescent="0.35">
      <c r="R229" t="e">
        <v>#N/A</v>
      </c>
      <c r="S229">
        <v>6.9</v>
      </c>
      <c r="T229" t="e">
        <v>#N/A</v>
      </c>
    </row>
    <row r="230" spans="18:20" x14ac:dyDescent="0.35">
      <c r="R230" t="e">
        <v>#N/A</v>
      </c>
      <c r="S230" t="e">
        <v>#N/A</v>
      </c>
      <c r="T230">
        <v>2.7</v>
      </c>
    </row>
    <row r="231" spans="18:20" x14ac:dyDescent="0.35">
      <c r="R231" t="e">
        <v>#N/A</v>
      </c>
      <c r="S231" t="e">
        <v>#N/A</v>
      </c>
      <c r="T231">
        <v>4.5</v>
      </c>
    </row>
    <row r="232" spans="18:20" x14ac:dyDescent="0.35">
      <c r="R232">
        <v>5</v>
      </c>
      <c r="S232" t="e">
        <v>#N/A</v>
      </c>
      <c r="T232" t="e">
        <v>#N/A</v>
      </c>
    </row>
    <row r="233" spans="18:20" x14ac:dyDescent="0.35">
      <c r="R233" t="e">
        <v>#N/A</v>
      </c>
      <c r="S233" t="e">
        <v>#N/A</v>
      </c>
      <c r="T233">
        <v>5.3</v>
      </c>
    </row>
    <row r="234" spans="18:20" x14ac:dyDescent="0.35">
      <c r="R234" t="e">
        <v>#N/A</v>
      </c>
      <c r="S234" t="e">
        <v>#N/A</v>
      </c>
      <c r="T234">
        <v>6.2</v>
      </c>
    </row>
    <row r="235" spans="18:20" x14ac:dyDescent="0.35">
      <c r="R235" t="e">
        <v>#N/A</v>
      </c>
      <c r="S235" t="e">
        <v>#N/A</v>
      </c>
      <c r="T235">
        <v>5.5</v>
      </c>
    </row>
    <row r="236" spans="18:20" x14ac:dyDescent="0.35">
      <c r="R236" t="e">
        <v>#N/A</v>
      </c>
      <c r="S236" t="e">
        <v>#N/A</v>
      </c>
      <c r="T236">
        <v>5.5</v>
      </c>
    </row>
    <row r="237" spans="18:20" x14ac:dyDescent="0.35">
      <c r="R237">
        <v>5.7</v>
      </c>
      <c r="S237" t="e">
        <v>#N/A</v>
      </c>
      <c r="T237" t="e">
        <v>#N/A</v>
      </c>
    </row>
    <row r="238" spans="18:20" x14ac:dyDescent="0.35">
      <c r="R238" t="e">
        <v>#N/A</v>
      </c>
      <c r="S238">
        <v>4.2</v>
      </c>
      <c r="T238" t="e">
        <v>#N/A</v>
      </c>
    </row>
    <row r="239" spans="18:20" x14ac:dyDescent="0.35">
      <c r="R239" t="e">
        <v>#N/A</v>
      </c>
      <c r="S239">
        <v>7.3</v>
      </c>
      <c r="T239" t="e">
        <v>#N/A</v>
      </c>
    </row>
    <row r="240" spans="18:20" x14ac:dyDescent="0.35">
      <c r="R240" t="e">
        <v>#N/A</v>
      </c>
      <c r="S240" t="e">
        <v>#N/A</v>
      </c>
      <c r="T240">
        <v>3.1</v>
      </c>
    </row>
    <row r="241" spans="18:20" x14ac:dyDescent="0.35">
      <c r="R241">
        <v>8</v>
      </c>
      <c r="S241" t="e">
        <v>#N/A</v>
      </c>
      <c r="T241" t="e">
        <v>#N/A</v>
      </c>
    </row>
    <row r="242" spans="18:20" x14ac:dyDescent="0.35">
      <c r="R242">
        <v>1.1000000000000001</v>
      </c>
      <c r="S242" t="e">
        <v>#N/A</v>
      </c>
      <c r="T242" t="e">
        <v>#N/A</v>
      </c>
    </row>
    <row r="243" spans="18:20" x14ac:dyDescent="0.35">
      <c r="R243" t="e">
        <v>#N/A</v>
      </c>
      <c r="S243" t="e">
        <v>#N/A</v>
      </c>
      <c r="T243">
        <v>2.7</v>
      </c>
    </row>
    <row r="244" spans="18:20" x14ac:dyDescent="0.35">
      <c r="R244" t="e">
        <v>#N/A</v>
      </c>
      <c r="S244">
        <v>2.9</v>
      </c>
      <c r="T244" t="e">
        <v>#N/A</v>
      </c>
    </row>
    <row r="245" spans="18:20" x14ac:dyDescent="0.35">
      <c r="R245" t="e">
        <v>#N/A</v>
      </c>
      <c r="S245">
        <v>1.3</v>
      </c>
      <c r="T245" t="e">
        <v>#N/A</v>
      </c>
    </row>
    <row r="246" spans="18:20" x14ac:dyDescent="0.35">
      <c r="R246">
        <v>6.4</v>
      </c>
      <c r="S246" t="e">
        <v>#N/A</v>
      </c>
      <c r="T246" t="e">
        <v>#N/A</v>
      </c>
    </row>
    <row r="247" spans="18:20" x14ac:dyDescent="0.35">
      <c r="R247" t="e">
        <v>#N/A</v>
      </c>
      <c r="S247">
        <v>4.4000000000000004</v>
      </c>
      <c r="T247" t="e">
        <v>#N/A</v>
      </c>
    </row>
    <row r="248" spans="18:20" x14ac:dyDescent="0.35">
      <c r="R248" t="e">
        <v>#N/A</v>
      </c>
      <c r="S248">
        <v>3.1</v>
      </c>
      <c r="T248" t="e">
        <v>#N/A</v>
      </c>
    </row>
    <row r="249" spans="18:20" x14ac:dyDescent="0.35">
      <c r="R249">
        <v>2.8</v>
      </c>
      <c r="S249" t="e">
        <v>#N/A</v>
      </c>
      <c r="T249" t="e">
        <v>#N/A</v>
      </c>
    </row>
    <row r="250" spans="18:20" x14ac:dyDescent="0.35">
      <c r="R250" t="e">
        <v>#N/A</v>
      </c>
      <c r="S250">
        <v>4.8</v>
      </c>
      <c r="T250" t="e">
        <v>#N/A</v>
      </c>
    </row>
    <row r="251" spans="18:20" x14ac:dyDescent="0.35">
      <c r="R251" t="e">
        <v>#N/A</v>
      </c>
      <c r="S251" t="e">
        <v>#N/A</v>
      </c>
      <c r="T251">
        <v>3.9</v>
      </c>
    </row>
    <row r="252" spans="18:20" x14ac:dyDescent="0.35">
      <c r="R252" t="e">
        <v>#N/A</v>
      </c>
      <c r="S252">
        <v>4.2</v>
      </c>
      <c r="T252" t="e">
        <v>#N/A</v>
      </c>
    </row>
    <row r="253" spans="18:20" x14ac:dyDescent="0.35">
      <c r="R253" t="e">
        <v>#N/A</v>
      </c>
      <c r="S253">
        <v>2.7</v>
      </c>
      <c r="T253" t="e">
        <v>#N/A</v>
      </c>
    </row>
    <row r="254" spans="18:20" x14ac:dyDescent="0.35">
      <c r="R254">
        <v>3.3</v>
      </c>
      <c r="S254" t="e">
        <v>#N/A</v>
      </c>
      <c r="T254" t="e">
        <v>#N/A</v>
      </c>
    </row>
    <row r="255" spans="18:20" x14ac:dyDescent="0.35">
      <c r="R255" t="e">
        <v>#N/A</v>
      </c>
      <c r="S255" t="e">
        <v>#N/A</v>
      </c>
      <c r="T255">
        <v>7.3</v>
      </c>
    </row>
    <row r="256" spans="18:20" x14ac:dyDescent="0.35">
      <c r="R256" t="e">
        <v>#N/A</v>
      </c>
      <c r="S256">
        <v>4.5999999999999996</v>
      </c>
      <c r="T256" t="e">
        <v>#N/A</v>
      </c>
    </row>
    <row r="257" spans="18:20" x14ac:dyDescent="0.35">
      <c r="R257" t="e">
        <v>#N/A</v>
      </c>
      <c r="S257" t="e">
        <v>#N/A</v>
      </c>
      <c r="T257">
        <v>2.6</v>
      </c>
    </row>
    <row r="258" spans="18:20" x14ac:dyDescent="0.35">
      <c r="R258">
        <v>1.8</v>
      </c>
      <c r="S258" t="e">
        <v>#N/A</v>
      </c>
      <c r="T258" t="e">
        <v>#N/A</v>
      </c>
    </row>
    <row r="259" spans="18:20" x14ac:dyDescent="0.35">
      <c r="R259" t="e">
        <v>#N/A</v>
      </c>
      <c r="S259" t="e">
        <v>#N/A</v>
      </c>
      <c r="T259">
        <v>7.4</v>
      </c>
    </row>
    <row r="260" spans="18:20" x14ac:dyDescent="0.35">
      <c r="R260" t="e">
        <v>#N/A</v>
      </c>
      <c r="S260">
        <v>3</v>
      </c>
      <c r="T260" t="e">
        <v>#N/A</v>
      </c>
    </row>
    <row r="261" spans="18:20" x14ac:dyDescent="0.35">
      <c r="R261" t="e">
        <v>#N/A</v>
      </c>
      <c r="S261" t="e">
        <v>#N/A</v>
      </c>
      <c r="T261">
        <v>5.6</v>
      </c>
    </row>
    <row r="262" spans="18:20" x14ac:dyDescent="0.35">
      <c r="R262">
        <v>5.7</v>
      </c>
      <c r="S262" t="e">
        <v>#N/A</v>
      </c>
      <c r="T262" t="e">
        <v>#N/A</v>
      </c>
    </row>
    <row r="263" spans="18:20" x14ac:dyDescent="0.35">
      <c r="R263" t="e">
        <v>#N/A</v>
      </c>
      <c r="S263">
        <v>5</v>
      </c>
      <c r="T263" t="e">
        <v>#N/A</v>
      </c>
    </row>
    <row r="264" spans="18:20" x14ac:dyDescent="0.35">
      <c r="R264" t="e">
        <v>#N/A</v>
      </c>
      <c r="S264">
        <v>6.2</v>
      </c>
      <c r="T264" t="e">
        <v>#N/A</v>
      </c>
    </row>
    <row r="265" spans="18:20" x14ac:dyDescent="0.35">
      <c r="R265">
        <v>2.2000000000000002</v>
      </c>
      <c r="S265" t="e">
        <v>#N/A</v>
      </c>
      <c r="T265" t="e">
        <v>#N/A</v>
      </c>
    </row>
    <row r="266" spans="18:20" x14ac:dyDescent="0.35">
      <c r="R266" t="e">
        <v>#N/A</v>
      </c>
      <c r="S266" t="e">
        <v>#N/A</v>
      </c>
      <c r="T266">
        <v>5.5</v>
      </c>
    </row>
    <row r="267" spans="18:20" x14ac:dyDescent="0.35">
      <c r="R267" t="e">
        <v>#N/A</v>
      </c>
      <c r="S267">
        <v>3.6</v>
      </c>
      <c r="T267" t="e">
        <v>#N/A</v>
      </c>
    </row>
    <row r="268" spans="18:20" x14ac:dyDescent="0.35">
      <c r="R268" t="e">
        <v>#N/A</v>
      </c>
      <c r="S268" t="e">
        <v>#N/A</v>
      </c>
      <c r="T268">
        <v>7.3</v>
      </c>
    </row>
    <row r="269" spans="18:20" x14ac:dyDescent="0.35">
      <c r="R269" t="e">
        <v>#N/A</v>
      </c>
      <c r="S269" t="e">
        <v>#N/A</v>
      </c>
      <c r="T269">
        <v>6.4</v>
      </c>
    </row>
    <row r="270" spans="18:20" x14ac:dyDescent="0.35">
      <c r="R270" t="e">
        <v>#N/A</v>
      </c>
      <c r="S270">
        <v>7.8</v>
      </c>
      <c r="T270" t="e">
        <v>#N/A</v>
      </c>
    </row>
    <row r="271" spans="18:20" x14ac:dyDescent="0.35">
      <c r="R271" t="e">
        <v>#N/A</v>
      </c>
      <c r="S271">
        <v>5.2</v>
      </c>
      <c r="T271" t="e">
        <v>#N/A</v>
      </c>
    </row>
    <row r="272" spans="18:20" x14ac:dyDescent="0.35">
      <c r="R272">
        <v>3.5</v>
      </c>
      <c r="S272" t="e">
        <v>#N/A</v>
      </c>
      <c r="T272" t="e">
        <v>#N/A</v>
      </c>
    </row>
    <row r="273" spans="18:20" x14ac:dyDescent="0.35">
      <c r="R273">
        <v>1.1000000000000001</v>
      </c>
      <c r="S273" t="e">
        <v>#N/A</v>
      </c>
      <c r="T273" t="e">
        <v>#N/A</v>
      </c>
    </row>
    <row r="274" spans="18:20" x14ac:dyDescent="0.35">
      <c r="R274">
        <v>1.7</v>
      </c>
      <c r="S274" t="e">
        <v>#N/A</v>
      </c>
      <c r="T274" t="e">
        <v>#N/A</v>
      </c>
    </row>
    <row r="275" spans="18:20" x14ac:dyDescent="0.35">
      <c r="R275">
        <v>5.2</v>
      </c>
      <c r="S275" t="e">
        <v>#N/A</v>
      </c>
      <c r="T275" t="e">
        <v>#N/A</v>
      </c>
    </row>
    <row r="276" spans="18:20" x14ac:dyDescent="0.35">
      <c r="R276" t="e">
        <v>#N/A</v>
      </c>
      <c r="S276">
        <v>7.4</v>
      </c>
      <c r="T276" t="e">
        <v>#N/A</v>
      </c>
    </row>
    <row r="277" spans="18:20" x14ac:dyDescent="0.35">
      <c r="R277" t="e">
        <v>#N/A</v>
      </c>
      <c r="S277">
        <v>7.4</v>
      </c>
      <c r="T277" t="e">
        <v>#N/A</v>
      </c>
    </row>
    <row r="278" spans="18:20" x14ac:dyDescent="0.35">
      <c r="R278" t="e">
        <v>#N/A</v>
      </c>
      <c r="S278">
        <v>1.1000000000000001</v>
      </c>
      <c r="T278" t="e">
        <v>#N/A</v>
      </c>
    </row>
    <row r="279" spans="18:20" x14ac:dyDescent="0.35">
      <c r="R279" t="e">
        <v>#N/A</v>
      </c>
      <c r="S279">
        <v>7.9</v>
      </c>
      <c r="T279" t="e">
        <v>#N/A</v>
      </c>
    </row>
    <row r="280" spans="18:20" x14ac:dyDescent="0.35">
      <c r="R280" t="e">
        <v>#N/A</v>
      </c>
      <c r="S280" t="e">
        <v>#N/A</v>
      </c>
      <c r="T280">
        <v>6.7</v>
      </c>
    </row>
    <row r="281" spans="18:20" x14ac:dyDescent="0.35">
      <c r="R281" t="e">
        <v>#N/A</v>
      </c>
      <c r="S281">
        <v>3.4</v>
      </c>
      <c r="T281" t="e">
        <v>#N/A</v>
      </c>
    </row>
    <row r="282" spans="18:20" x14ac:dyDescent="0.35">
      <c r="R282" t="e">
        <v>#N/A</v>
      </c>
      <c r="S282">
        <v>3.1</v>
      </c>
      <c r="T282" t="e">
        <v>#N/A</v>
      </c>
    </row>
    <row r="283" spans="18:20" x14ac:dyDescent="0.35">
      <c r="R283">
        <v>2</v>
      </c>
      <c r="S283" t="e">
        <v>#N/A</v>
      </c>
      <c r="T283" t="e">
        <v>#N/A</v>
      </c>
    </row>
    <row r="284" spans="18:20" x14ac:dyDescent="0.35">
      <c r="R284" t="e">
        <v>#N/A</v>
      </c>
      <c r="S284" t="e">
        <v>#N/A</v>
      </c>
      <c r="T284">
        <v>2.6</v>
      </c>
    </row>
    <row r="285" spans="18:20" x14ac:dyDescent="0.35">
      <c r="R285" t="e">
        <v>#N/A</v>
      </c>
      <c r="S285">
        <v>2.6</v>
      </c>
      <c r="T285" t="e">
        <v>#N/A</v>
      </c>
    </row>
    <row r="286" spans="18:20" x14ac:dyDescent="0.35">
      <c r="R286" t="e">
        <v>#N/A</v>
      </c>
      <c r="S286" t="e">
        <v>#N/A</v>
      </c>
      <c r="T286">
        <v>6.1</v>
      </c>
    </row>
    <row r="287" spans="18:20" x14ac:dyDescent="0.35">
      <c r="R287" t="e">
        <v>#N/A</v>
      </c>
      <c r="S287">
        <v>6.8</v>
      </c>
      <c r="T287" t="e">
        <v>#N/A</v>
      </c>
    </row>
    <row r="288" spans="18:20" x14ac:dyDescent="0.35">
      <c r="R288" t="e">
        <v>#N/A</v>
      </c>
      <c r="S288" t="e">
        <v>#N/A</v>
      </c>
      <c r="T288">
        <v>4.2</v>
      </c>
    </row>
    <row r="289" spans="18:20" x14ac:dyDescent="0.35">
      <c r="R289" t="e">
        <v>#N/A</v>
      </c>
      <c r="S289">
        <v>3.8</v>
      </c>
      <c r="T289" t="e">
        <v>#N/A</v>
      </c>
    </row>
    <row r="290" spans="18:20" x14ac:dyDescent="0.35">
      <c r="R290">
        <v>4</v>
      </c>
      <c r="S290" t="e">
        <v>#N/A</v>
      </c>
      <c r="T290" t="e">
        <v>#N/A</v>
      </c>
    </row>
    <row r="291" spans="18:20" x14ac:dyDescent="0.35">
      <c r="R291" t="e">
        <v>#N/A</v>
      </c>
      <c r="S291">
        <v>2.5</v>
      </c>
      <c r="T291" t="e">
        <v>#N/A</v>
      </c>
    </row>
    <row r="292" spans="18:20" x14ac:dyDescent="0.35">
      <c r="R292" t="e">
        <v>#N/A</v>
      </c>
      <c r="S292" t="e">
        <v>#N/A</v>
      </c>
      <c r="T292">
        <v>2.4</v>
      </c>
    </row>
    <row r="293" spans="18:20" x14ac:dyDescent="0.35">
      <c r="R293" t="e">
        <v>#N/A</v>
      </c>
      <c r="S293">
        <v>7.8</v>
      </c>
      <c r="T293" t="e">
        <v>#N/A</v>
      </c>
    </row>
    <row r="294" spans="18:20" x14ac:dyDescent="0.35">
      <c r="R294">
        <v>6.1</v>
      </c>
      <c r="S294" t="e">
        <v>#N/A</v>
      </c>
      <c r="T294" t="e">
        <v>#N/A</v>
      </c>
    </row>
    <row r="295" spans="18:20" x14ac:dyDescent="0.35">
      <c r="R295" t="e">
        <v>#N/A</v>
      </c>
      <c r="S295" t="e">
        <v>#N/A</v>
      </c>
      <c r="T295">
        <v>1.4</v>
      </c>
    </row>
    <row r="296" spans="18:20" x14ac:dyDescent="0.35">
      <c r="R296" t="e">
        <v>#N/A</v>
      </c>
      <c r="S296" t="e">
        <v>#N/A</v>
      </c>
      <c r="T296">
        <v>7.3</v>
      </c>
    </row>
    <row r="297" spans="18:20" x14ac:dyDescent="0.35">
      <c r="R297" t="e">
        <v>#N/A</v>
      </c>
      <c r="S297" t="e">
        <v>#N/A</v>
      </c>
      <c r="T297">
        <v>5.7</v>
      </c>
    </row>
    <row r="298" spans="18:20" x14ac:dyDescent="0.35">
      <c r="R298">
        <v>4.3</v>
      </c>
      <c r="S298" t="e">
        <v>#N/A</v>
      </c>
      <c r="T298" t="e">
        <v>#N/A</v>
      </c>
    </row>
    <row r="299" spans="18:20" x14ac:dyDescent="0.35">
      <c r="R299" t="e">
        <v>#N/A</v>
      </c>
      <c r="S299">
        <v>2.9</v>
      </c>
      <c r="T299" t="e">
        <v>#N/A</v>
      </c>
    </row>
    <row r="300" spans="18:20" x14ac:dyDescent="0.35">
      <c r="R300" t="e">
        <v>#N/A</v>
      </c>
      <c r="S300">
        <v>6.5</v>
      </c>
      <c r="T300" t="e">
        <v>#N/A</v>
      </c>
    </row>
    <row r="301" spans="18:20" x14ac:dyDescent="0.35">
      <c r="R301" t="e">
        <v>#N/A</v>
      </c>
      <c r="S301">
        <v>7.5</v>
      </c>
      <c r="T301" t="e">
        <v>#N/A</v>
      </c>
    </row>
    <row r="302" spans="18:20" x14ac:dyDescent="0.35">
      <c r="R302">
        <v>3.1</v>
      </c>
      <c r="S302" t="e">
        <v>#N/A</v>
      </c>
      <c r="T302" t="e">
        <v>#N/A</v>
      </c>
    </row>
    <row r="303" spans="18:20" x14ac:dyDescent="0.35">
      <c r="R303" t="e">
        <v>#N/A</v>
      </c>
      <c r="S303" t="e">
        <v>#N/A</v>
      </c>
      <c r="T303">
        <v>7.8</v>
      </c>
    </row>
    <row r="304" spans="18:20" x14ac:dyDescent="0.35">
      <c r="R304" t="e">
        <v>#N/A</v>
      </c>
      <c r="S304" t="e">
        <v>#N/A</v>
      </c>
      <c r="T304">
        <v>1</v>
      </c>
    </row>
    <row r="305" spans="18:20" x14ac:dyDescent="0.35">
      <c r="R305">
        <v>6.3</v>
      </c>
      <c r="S305" t="e">
        <v>#N/A</v>
      </c>
      <c r="T305" t="e">
        <v>#N/A</v>
      </c>
    </row>
    <row r="306" spans="18:20" x14ac:dyDescent="0.35">
      <c r="R306">
        <v>1.3</v>
      </c>
      <c r="S306" t="e">
        <v>#N/A</v>
      </c>
      <c r="T306" t="e">
        <v>#N/A</v>
      </c>
    </row>
    <row r="307" spans="18:20" x14ac:dyDescent="0.35">
      <c r="R307">
        <v>4.8</v>
      </c>
      <c r="S307" t="e">
        <v>#N/A</v>
      </c>
      <c r="T307" t="e">
        <v>#N/A</v>
      </c>
    </row>
    <row r="308" spans="18:20" x14ac:dyDescent="0.35">
      <c r="R308" t="e">
        <v>#N/A</v>
      </c>
      <c r="S308" t="e">
        <v>#N/A</v>
      </c>
      <c r="T308">
        <v>5.2</v>
      </c>
    </row>
    <row r="309" spans="18:20" x14ac:dyDescent="0.35">
      <c r="R309" t="e">
        <v>#N/A</v>
      </c>
      <c r="S309">
        <v>2.1</v>
      </c>
      <c r="T309" t="e">
        <v>#N/A</v>
      </c>
    </row>
    <row r="310" spans="18:20" x14ac:dyDescent="0.35">
      <c r="R310" t="e">
        <v>#N/A</v>
      </c>
      <c r="S310">
        <v>6.4</v>
      </c>
      <c r="T310" t="e">
        <v>#N/A</v>
      </c>
    </row>
    <row r="311" spans="18:20" x14ac:dyDescent="0.35">
      <c r="R311" t="e">
        <v>#N/A</v>
      </c>
      <c r="S311">
        <v>2.8</v>
      </c>
      <c r="T311" t="e">
        <v>#N/A</v>
      </c>
    </row>
    <row r="312" spans="18:20" x14ac:dyDescent="0.35">
      <c r="R312">
        <v>1.5</v>
      </c>
      <c r="S312" t="e">
        <v>#N/A</v>
      </c>
      <c r="T312" t="e">
        <v>#N/A</v>
      </c>
    </row>
    <row r="313" spans="18:20" x14ac:dyDescent="0.35">
      <c r="R313" t="e">
        <v>#N/A</v>
      </c>
      <c r="S313" t="e">
        <v>#N/A</v>
      </c>
      <c r="T313">
        <v>3.5</v>
      </c>
    </row>
    <row r="314" spans="18:20" x14ac:dyDescent="0.35">
      <c r="R314" t="e">
        <v>#N/A</v>
      </c>
      <c r="S314">
        <v>5.2</v>
      </c>
      <c r="T314" t="e">
        <v>#N/A</v>
      </c>
    </row>
    <row r="315" spans="18:20" x14ac:dyDescent="0.35">
      <c r="R315" t="e">
        <v>#N/A</v>
      </c>
      <c r="S315">
        <v>5.6</v>
      </c>
      <c r="T315" t="e">
        <v>#N/A</v>
      </c>
    </row>
    <row r="316" spans="18:20" x14ac:dyDescent="0.35">
      <c r="R316" t="e">
        <v>#N/A</v>
      </c>
      <c r="S316">
        <v>5.2</v>
      </c>
      <c r="T316" t="e">
        <v>#N/A</v>
      </c>
    </row>
    <row r="317" spans="18:20" x14ac:dyDescent="0.35">
      <c r="R317" t="e">
        <v>#N/A</v>
      </c>
      <c r="S317">
        <v>7.1</v>
      </c>
      <c r="T317" t="e">
        <v>#N/A</v>
      </c>
    </row>
    <row r="318" spans="18:20" x14ac:dyDescent="0.35">
      <c r="R318" t="e">
        <v>#N/A</v>
      </c>
      <c r="S318">
        <v>3.8</v>
      </c>
      <c r="T318" t="e">
        <v>#N/A</v>
      </c>
    </row>
    <row r="319" spans="18:20" x14ac:dyDescent="0.35">
      <c r="R319" t="e">
        <v>#N/A</v>
      </c>
      <c r="S319" t="e">
        <v>#N/A</v>
      </c>
      <c r="T319">
        <v>6</v>
      </c>
    </row>
    <row r="320" spans="18:20" x14ac:dyDescent="0.35">
      <c r="R320">
        <v>3.6</v>
      </c>
      <c r="S320" t="e">
        <v>#N/A</v>
      </c>
      <c r="T320" t="e">
        <v>#N/A</v>
      </c>
    </row>
    <row r="321" spans="18:20" x14ac:dyDescent="0.35">
      <c r="R321" t="e">
        <v>#N/A</v>
      </c>
      <c r="S321" t="e">
        <v>#N/A</v>
      </c>
      <c r="T321">
        <v>8</v>
      </c>
    </row>
    <row r="322" spans="18:20" x14ac:dyDescent="0.35">
      <c r="R322">
        <v>7.4</v>
      </c>
      <c r="S322" t="e">
        <v>#N/A</v>
      </c>
      <c r="T322" t="e">
        <v>#N/A</v>
      </c>
    </row>
    <row r="323" spans="18:20" x14ac:dyDescent="0.35">
      <c r="R323" t="e">
        <v>#N/A</v>
      </c>
      <c r="S323">
        <v>2.8</v>
      </c>
      <c r="T323" t="e">
        <v>#N/A</v>
      </c>
    </row>
    <row r="324" spans="18:20" x14ac:dyDescent="0.35">
      <c r="R324">
        <v>3.4</v>
      </c>
      <c r="S324" t="e">
        <v>#N/A</v>
      </c>
      <c r="T324" t="e">
        <v>#N/A</v>
      </c>
    </row>
    <row r="325" spans="18:20" x14ac:dyDescent="0.35">
      <c r="R325" t="e">
        <v>#N/A</v>
      </c>
      <c r="S325">
        <v>4</v>
      </c>
      <c r="T325" t="e">
        <v>#N/A</v>
      </c>
    </row>
    <row r="326" spans="18:20" x14ac:dyDescent="0.35">
      <c r="R326">
        <v>2.5</v>
      </c>
      <c r="S326" t="e">
        <v>#N/A</v>
      </c>
      <c r="T326" t="e">
        <v>#N/A</v>
      </c>
    </row>
    <row r="327" spans="18:20" x14ac:dyDescent="0.35">
      <c r="R327" t="e">
        <v>#N/A</v>
      </c>
      <c r="S327" t="e">
        <v>#N/A</v>
      </c>
      <c r="T327">
        <v>3.2</v>
      </c>
    </row>
    <row r="328" spans="18:20" x14ac:dyDescent="0.35">
      <c r="R328" t="e">
        <v>#N/A</v>
      </c>
      <c r="S328" t="e">
        <v>#N/A</v>
      </c>
      <c r="T328">
        <v>4.8</v>
      </c>
    </row>
    <row r="329" spans="18:20" x14ac:dyDescent="0.35">
      <c r="R329" t="e">
        <v>#N/A</v>
      </c>
      <c r="S329">
        <v>7.6</v>
      </c>
      <c r="T329" t="e">
        <v>#N/A</v>
      </c>
    </row>
    <row r="330" spans="18:20" x14ac:dyDescent="0.35">
      <c r="R330" t="e">
        <v>#N/A</v>
      </c>
      <c r="S330">
        <v>7.8</v>
      </c>
      <c r="T330" t="e">
        <v>#N/A</v>
      </c>
    </row>
    <row r="331" spans="18:20" x14ac:dyDescent="0.35">
      <c r="R331" t="e">
        <v>#N/A</v>
      </c>
      <c r="S331">
        <v>7.4</v>
      </c>
      <c r="T331" t="e">
        <v>#N/A</v>
      </c>
    </row>
    <row r="332" spans="18:20" x14ac:dyDescent="0.35">
      <c r="R332" t="e">
        <v>#N/A</v>
      </c>
      <c r="S332" t="e">
        <v>#N/A</v>
      </c>
      <c r="T332">
        <v>3.6</v>
      </c>
    </row>
    <row r="333" spans="18:20" x14ac:dyDescent="0.35">
      <c r="R333">
        <v>7.3</v>
      </c>
      <c r="S333" t="e">
        <v>#N/A</v>
      </c>
      <c r="T333" t="e">
        <v>#N/A</v>
      </c>
    </row>
    <row r="334" spans="18:20" x14ac:dyDescent="0.35">
      <c r="R334" t="e">
        <v>#N/A</v>
      </c>
      <c r="S334">
        <v>4.2</v>
      </c>
      <c r="T334" t="e">
        <v>#N/A</v>
      </c>
    </row>
    <row r="335" spans="18:20" x14ac:dyDescent="0.35">
      <c r="R335">
        <v>7.7</v>
      </c>
      <c r="S335" t="e">
        <v>#N/A</v>
      </c>
      <c r="T335" t="e">
        <v>#N/A</v>
      </c>
    </row>
    <row r="336" spans="18:20" x14ac:dyDescent="0.35">
      <c r="R336" t="e">
        <v>#N/A</v>
      </c>
      <c r="S336">
        <v>3.5</v>
      </c>
      <c r="T336" t="e">
        <v>#N/A</v>
      </c>
    </row>
    <row r="337" spans="18:20" x14ac:dyDescent="0.35">
      <c r="R337">
        <v>2.1</v>
      </c>
      <c r="S337" t="e">
        <v>#N/A</v>
      </c>
      <c r="T337" t="e">
        <v>#N/A</v>
      </c>
    </row>
    <row r="338" spans="18:20" x14ac:dyDescent="0.35">
      <c r="R338" t="e">
        <v>#N/A</v>
      </c>
      <c r="S338" t="e">
        <v>#N/A</v>
      </c>
      <c r="T338">
        <v>1.4</v>
      </c>
    </row>
    <row r="339" spans="18:20" x14ac:dyDescent="0.35">
      <c r="R339">
        <v>7.8</v>
      </c>
      <c r="S339" t="e">
        <v>#N/A</v>
      </c>
      <c r="T339" t="e">
        <v>#N/A</v>
      </c>
    </row>
    <row r="340" spans="18:20" x14ac:dyDescent="0.35">
      <c r="R340" t="e">
        <v>#N/A</v>
      </c>
      <c r="S340">
        <v>2.5</v>
      </c>
      <c r="T340" t="e">
        <v>#N/A</v>
      </c>
    </row>
    <row r="341" spans="18:20" x14ac:dyDescent="0.35">
      <c r="R341">
        <v>6.6</v>
      </c>
      <c r="S341" t="e">
        <v>#N/A</v>
      </c>
      <c r="T341" t="e">
        <v>#N/A</v>
      </c>
    </row>
    <row r="342" spans="18:20" x14ac:dyDescent="0.35">
      <c r="R342" t="e">
        <v>#N/A</v>
      </c>
      <c r="S342" t="e">
        <v>#N/A</v>
      </c>
      <c r="T342">
        <v>6</v>
      </c>
    </row>
    <row r="343" spans="18:20" x14ac:dyDescent="0.35">
      <c r="R343" t="e">
        <v>#N/A</v>
      </c>
      <c r="S343" t="e">
        <v>#N/A</v>
      </c>
      <c r="T343">
        <v>2.1</v>
      </c>
    </row>
    <row r="344" spans="18:20" x14ac:dyDescent="0.35">
      <c r="R344" t="e">
        <v>#N/A</v>
      </c>
      <c r="S344">
        <v>3.6</v>
      </c>
      <c r="T344" t="e">
        <v>#N/A</v>
      </c>
    </row>
    <row r="345" spans="18:20" x14ac:dyDescent="0.35">
      <c r="R345" t="e">
        <v>#N/A</v>
      </c>
      <c r="S345" t="e">
        <v>#N/A</v>
      </c>
      <c r="T345">
        <v>7.5</v>
      </c>
    </row>
    <row r="346" spans="18:20" x14ac:dyDescent="0.35">
      <c r="R346" t="e">
        <v>#N/A</v>
      </c>
      <c r="S346">
        <v>6.8</v>
      </c>
      <c r="T346" t="e">
        <v>#N/A</v>
      </c>
    </row>
    <row r="347" spans="18:20" x14ac:dyDescent="0.35">
      <c r="R347" t="e">
        <v>#N/A</v>
      </c>
      <c r="S347">
        <v>7.6</v>
      </c>
      <c r="T347" t="e">
        <v>#N/A</v>
      </c>
    </row>
    <row r="348" spans="18:20" x14ac:dyDescent="0.35">
      <c r="R348">
        <v>6.8</v>
      </c>
      <c r="S348" t="e">
        <v>#N/A</v>
      </c>
      <c r="T348" t="e">
        <v>#N/A</v>
      </c>
    </row>
    <row r="349" spans="18:20" x14ac:dyDescent="0.35">
      <c r="R349" t="e">
        <v>#N/A</v>
      </c>
      <c r="S349">
        <v>5.9</v>
      </c>
      <c r="T349" t="e">
        <v>#N/A</v>
      </c>
    </row>
    <row r="350" spans="18:20" x14ac:dyDescent="0.35">
      <c r="R350" t="e">
        <v>#N/A</v>
      </c>
      <c r="S350">
        <v>3.7</v>
      </c>
      <c r="T350" t="e">
        <v>#N/A</v>
      </c>
    </row>
    <row r="351" spans="18:20" x14ac:dyDescent="0.35">
      <c r="R351" t="e">
        <v>#N/A</v>
      </c>
      <c r="S351" t="e">
        <v>#N/A</v>
      </c>
      <c r="T351">
        <v>4.4000000000000004</v>
      </c>
    </row>
    <row r="352" spans="18:20" x14ac:dyDescent="0.35">
      <c r="R352">
        <v>7.9</v>
      </c>
      <c r="S352" t="e">
        <v>#N/A</v>
      </c>
      <c r="T352" t="e">
        <v>#N/A</v>
      </c>
    </row>
    <row r="353" spans="18:20" x14ac:dyDescent="0.35">
      <c r="R353" t="e">
        <v>#N/A</v>
      </c>
      <c r="S353" t="e">
        <v>#N/A</v>
      </c>
      <c r="T353">
        <v>6.1</v>
      </c>
    </row>
    <row r="354" spans="18:20" x14ac:dyDescent="0.35">
      <c r="R354" t="e">
        <v>#N/A</v>
      </c>
      <c r="S354">
        <v>6.5</v>
      </c>
      <c r="T354" t="e">
        <v>#N/A</v>
      </c>
    </row>
    <row r="355" spans="18:20" x14ac:dyDescent="0.35">
      <c r="R355" t="e">
        <v>#N/A</v>
      </c>
      <c r="S355" t="e">
        <v>#N/A</v>
      </c>
      <c r="T355">
        <v>5.5</v>
      </c>
    </row>
    <row r="356" spans="18:20" x14ac:dyDescent="0.35">
      <c r="R356" t="e">
        <v>#N/A</v>
      </c>
      <c r="S356">
        <v>4.7</v>
      </c>
      <c r="T356" t="e">
        <v>#N/A</v>
      </c>
    </row>
    <row r="357" spans="18:20" x14ac:dyDescent="0.35">
      <c r="R357">
        <v>1.3</v>
      </c>
      <c r="S357" t="e">
        <v>#N/A</v>
      </c>
      <c r="T357" t="e">
        <v>#N/A</v>
      </c>
    </row>
    <row r="358" spans="18:20" x14ac:dyDescent="0.35">
      <c r="R358" t="e">
        <v>#N/A</v>
      </c>
      <c r="S358">
        <v>6.8</v>
      </c>
      <c r="T358" t="e">
        <v>#N/A</v>
      </c>
    </row>
    <row r="359" spans="18:20" x14ac:dyDescent="0.35">
      <c r="R359" t="e">
        <v>#N/A</v>
      </c>
      <c r="S359" t="e">
        <v>#N/A</v>
      </c>
      <c r="T359">
        <v>5</v>
      </c>
    </row>
    <row r="360" spans="18:20" x14ac:dyDescent="0.35">
      <c r="R360">
        <v>4.8</v>
      </c>
      <c r="S360" t="e">
        <v>#N/A</v>
      </c>
      <c r="T360" t="e">
        <v>#N/A</v>
      </c>
    </row>
    <row r="361" spans="18:20" x14ac:dyDescent="0.35">
      <c r="R361" t="e">
        <v>#N/A</v>
      </c>
      <c r="S361">
        <v>1.3</v>
      </c>
      <c r="T361" t="e">
        <v>#N/A</v>
      </c>
    </row>
    <row r="362" spans="18:20" x14ac:dyDescent="0.35">
      <c r="R362">
        <v>6.3</v>
      </c>
      <c r="S362" t="e">
        <v>#N/A</v>
      </c>
      <c r="T362" t="e">
        <v>#N/A</v>
      </c>
    </row>
    <row r="363" spans="18:20" x14ac:dyDescent="0.35">
      <c r="R363">
        <v>7.1</v>
      </c>
      <c r="S363" t="e">
        <v>#N/A</v>
      </c>
      <c r="T363" t="e">
        <v>#N/A</v>
      </c>
    </row>
    <row r="364" spans="18:20" x14ac:dyDescent="0.35">
      <c r="R364">
        <v>6.9</v>
      </c>
      <c r="S364" t="e">
        <v>#N/A</v>
      </c>
      <c r="T364" t="e">
        <v>#N/A</v>
      </c>
    </row>
    <row r="365" spans="18:20" x14ac:dyDescent="0.35">
      <c r="R365" t="e">
        <v>#N/A</v>
      </c>
      <c r="S365" t="e">
        <v>#N/A</v>
      </c>
      <c r="T365">
        <v>5</v>
      </c>
    </row>
    <row r="366" spans="18:20" x14ac:dyDescent="0.35">
      <c r="R366" t="e">
        <v>#N/A</v>
      </c>
      <c r="S366" t="e">
        <v>#N/A</v>
      </c>
      <c r="T366">
        <v>5.4</v>
      </c>
    </row>
    <row r="367" spans="18:20" x14ac:dyDescent="0.35">
      <c r="R367">
        <v>5.6</v>
      </c>
      <c r="S367" t="e">
        <v>#N/A</v>
      </c>
      <c r="T367" t="e">
        <v>#N/A</v>
      </c>
    </row>
    <row r="368" spans="18:20" x14ac:dyDescent="0.35">
      <c r="R368">
        <v>4.7</v>
      </c>
      <c r="S368" t="e">
        <v>#N/A</v>
      </c>
      <c r="T368" t="e">
        <v>#N/A</v>
      </c>
    </row>
    <row r="369" spans="18:20" x14ac:dyDescent="0.35">
      <c r="R369" t="e">
        <v>#N/A</v>
      </c>
      <c r="S369">
        <v>5.6</v>
      </c>
      <c r="T369" t="e">
        <v>#N/A</v>
      </c>
    </row>
    <row r="370" spans="18:20" x14ac:dyDescent="0.35">
      <c r="R370" t="e">
        <v>#N/A</v>
      </c>
      <c r="S370" t="e">
        <v>#N/A</v>
      </c>
      <c r="T370">
        <v>5.2</v>
      </c>
    </row>
    <row r="371" spans="18:20" x14ac:dyDescent="0.35">
      <c r="R371">
        <v>4.0999999999999996</v>
      </c>
      <c r="S371" t="e">
        <v>#N/A</v>
      </c>
      <c r="T371" t="e">
        <v>#N/A</v>
      </c>
    </row>
    <row r="372" spans="18:20" x14ac:dyDescent="0.35">
      <c r="R372" t="e">
        <v>#N/A</v>
      </c>
      <c r="S372">
        <v>3.2</v>
      </c>
      <c r="T372" t="e">
        <v>#N/A</v>
      </c>
    </row>
    <row r="373" spans="18:20" x14ac:dyDescent="0.35">
      <c r="R373" t="e">
        <v>#N/A</v>
      </c>
      <c r="S373" t="e">
        <v>#N/A</v>
      </c>
      <c r="T373">
        <v>6</v>
      </c>
    </row>
    <row r="374" spans="18:20" x14ac:dyDescent="0.35">
      <c r="R374" t="e">
        <v>#N/A</v>
      </c>
      <c r="S374" t="e">
        <v>#N/A</v>
      </c>
      <c r="T374">
        <v>2.1</v>
      </c>
    </row>
    <row r="375" spans="18:20" x14ac:dyDescent="0.35">
      <c r="R375">
        <v>3.9</v>
      </c>
      <c r="S375" t="e">
        <v>#N/A</v>
      </c>
      <c r="T375" t="e">
        <v>#N/A</v>
      </c>
    </row>
    <row r="376" spans="18:20" x14ac:dyDescent="0.35">
      <c r="R376">
        <v>1.4</v>
      </c>
      <c r="S376" t="e">
        <v>#N/A</v>
      </c>
      <c r="T376" t="e">
        <v>#N/A</v>
      </c>
    </row>
    <row r="377" spans="18:20" x14ac:dyDescent="0.35">
      <c r="R377">
        <v>6.6</v>
      </c>
      <c r="S377" t="e">
        <v>#N/A</v>
      </c>
      <c r="T377" t="e">
        <v>#N/A</v>
      </c>
    </row>
    <row r="378" spans="18:20" x14ac:dyDescent="0.35">
      <c r="R378" t="e">
        <v>#N/A</v>
      </c>
      <c r="S378" t="e">
        <v>#N/A</v>
      </c>
      <c r="T378">
        <v>5.4</v>
      </c>
    </row>
    <row r="379" spans="18:20" x14ac:dyDescent="0.35">
      <c r="R379">
        <v>7.5</v>
      </c>
      <c r="S379" t="e">
        <v>#N/A</v>
      </c>
      <c r="T379" t="e">
        <v>#N/A</v>
      </c>
    </row>
    <row r="380" spans="18:20" x14ac:dyDescent="0.35">
      <c r="R380" t="e">
        <v>#N/A</v>
      </c>
      <c r="S380" t="e">
        <v>#N/A</v>
      </c>
      <c r="T380">
        <v>1.7</v>
      </c>
    </row>
    <row r="381" spans="18:20" x14ac:dyDescent="0.35">
      <c r="R381" t="e">
        <v>#N/A</v>
      </c>
      <c r="S381" t="e">
        <v>#N/A</v>
      </c>
      <c r="T381">
        <v>6.2</v>
      </c>
    </row>
    <row r="382" spans="18:20" x14ac:dyDescent="0.35">
      <c r="R382" t="e">
        <v>#N/A</v>
      </c>
      <c r="S382">
        <v>6.5</v>
      </c>
      <c r="T382" t="e">
        <v>#N/A</v>
      </c>
    </row>
    <row r="383" spans="18:20" x14ac:dyDescent="0.35">
      <c r="R383">
        <v>7.3</v>
      </c>
      <c r="S383" t="e">
        <v>#N/A</v>
      </c>
      <c r="T383" t="e">
        <v>#N/A</v>
      </c>
    </row>
    <row r="384" spans="18:20" x14ac:dyDescent="0.35">
      <c r="R384">
        <v>5.3</v>
      </c>
      <c r="S384" t="e">
        <v>#N/A</v>
      </c>
      <c r="T384" t="e">
        <v>#N/A</v>
      </c>
    </row>
    <row r="385" spans="18:20" x14ac:dyDescent="0.35">
      <c r="R385">
        <v>3</v>
      </c>
      <c r="S385" t="e">
        <v>#N/A</v>
      </c>
      <c r="T385" t="e">
        <v>#N/A</v>
      </c>
    </row>
    <row r="386" spans="18:20" x14ac:dyDescent="0.35">
      <c r="R386" t="e">
        <v>#N/A</v>
      </c>
      <c r="S386">
        <v>3.7</v>
      </c>
      <c r="T386" t="e">
        <v>#N/A</v>
      </c>
    </row>
    <row r="387" spans="18:20" x14ac:dyDescent="0.35">
      <c r="R387">
        <v>1.1000000000000001</v>
      </c>
      <c r="S387" t="e">
        <v>#N/A</v>
      </c>
      <c r="T387" t="e">
        <v>#N/A</v>
      </c>
    </row>
    <row r="388" spans="18:20" x14ac:dyDescent="0.35">
      <c r="R388">
        <v>4.4000000000000004</v>
      </c>
      <c r="S388" t="e">
        <v>#N/A</v>
      </c>
      <c r="T388" t="e">
        <v>#N/A</v>
      </c>
    </row>
    <row r="389" spans="18:20" x14ac:dyDescent="0.35">
      <c r="R389" t="e">
        <v>#N/A</v>
      </c>
      <c r="S389">
        <v>7.5</v>
      </c>
      <c r="T389" t="e">
        <v>#N/A</v>
      </c>
    </row>
    <row r="390" spans="18:20" x14ac:dyDescent="0.35">
      <c r="R390">
        <v>2.7</v>
      </c>
      <c r="S390" t="e">
        <v>#N/A</v>
      </c>
      <c r="T390" t="e">
        <v>#N/A</v>
      </c>
    </row>
    <row r="391" spans="18:20" x14ac:dyDescent="0.35">
      <c r="R391" t="e">
        <v>#N/A</v>
      </c>
      <c r="S391" t="e">
        <v>#N/A</v>
      </c>
      <c r="T391">
        <v>4.5</v>
      </c>
    </row>
    <row r="392" spans="18:20" x14ac:dyDescent="0.35">
      <c r="R392">
        <v>3.2</v>
      </c>
      <c r="S392" t="e">
        <v>#N/A</v>
      </c>
      <c r="T392" t="e">
        <v>#N/A</v>
      </c>
    </row>
    <row r="393" spans="18:20" x14ac:dyDescent="0.35">
      <c r="R393">
        <v>3.3</v>
      </c>
      <c r="S393" t="e">
        <v>#N/A</v>
      </c>
      <c r="T393" t="e">
        <v>#N/A</v>
      </c>
    </row>
    <row r="394" spans="18:20" x14ac:dyDescent="0.35">
      <c r="R394">
        <v>7.6</v>
      </c>
      <c r="S394" t="e">
        <v>#N/A</v>
      </c>
      <c r="T394" t="e">
        <v>#N/A</v>
      </c>
    </row>
    <row r="395" spans="18:20" x14ac:dyDescent="0.35">
      <c r="R395" t="e">
        <v>#N/A</v>
      </c>
      <c r="S395">
        <v>2.2999999999999998</v>
      </c>
      <c r="T395" t="e">
        <v>#N/A</v>
      </c>
    </row>
    <row r="396" spans="18:20" x14ac:dyDescent="0.35">
      <c r="R396" t="e">
        <v>#N/A</v>
      </c>
      <c r="S396">
        <v>3.3</v>
      </c>
      <c r="T396" t="e">
        <v>#N/A</v>
      </c>
    </row>
    <row r="397" spans="18:20" x14ac:dyDescent="0.35">
      <c r="R397">
        <v>8</v>
      </c>
      <c r="S397" t="e">
        <v>#N/A</v>
      </c>
      <c r="T397" t="e">
        <v>#N/A</v>
      </c>
    </row>
    <row r="398" spans="18:20" x14ac:dyDescent="0.35">
      <c r="R398" t="e">
        <v>#N/A</v>
      </c>
      <c r="S398" t="e">
        <v>#N/A</v>
      </c>
      <c r="T398">
        <v>2.8</v>
      </c>
    </row>
    <row r="399" spans="18:20" x14ac:dyDescent="0.35">
      <c r="R399" t="e">
        <v>#N/A</v>
      </c>
      <c r="S399">
        <v>7.2</v>
      </c>
      <c r="T399" t="e">
        <v>#N/A</v>
      </c>
    </row>
    <row r="400" spans="18:20" x14ac:dyDescent="0.35">
      <c r="R400">
        <v>5.8</v>
      </c>
      <c r="S400" t="e">
        <v>#N/A</v>
      </c>
      <c r="T400" t="e">
        <v>#N/A</v>
      </c>
    </row>
    <row r="401" spans="18:20" x14ac:dyDescent="0.35">
      <c r="R401">
        <v>5.5</v>
      </c>
      <c r="S401" t="e">
        <v>#N/A</v>
      </c>
      <c r="T401" t="e">
        <v>#N/A</v>
      </c>
    </row>
    <row r="402" spans="18:20" x14ac:dyDescent="0.35">
      <c r="R402" t="e">
        <v>#N/A</v>
      </c>
      <c r="S402" t="e">
        <v>#N/A</v>
      </c>
      <c r="T402">
        <v>2.2000000000000002</v>
      </c>
    </row>
    <row r="403" spans="18:20" x14ac:dyDescent="0.35">
      <c r="R403" t="e">
        <v>#N/A</v>
      </c>
      <c r="S403">
        <v>1.8</v>
      </c>
      <c r="T403" t="e">
        <v>#N/A</v>
      </c>
    </row>
    <row r="404" spans="18:20" x14ac:dyDescent="0.35">
      <c r="R404" t="e">
        <v>#N/A</v>
      </c>
      <c r="S404">
        <v>6.4</v>
      </c>
      <c r="T404" t="e">
        <v>#N/A</v>
      </c>
    </row>
    <row r="405" spans="18:20" x14ac:dyDescent="0.35">
      <c r="R405" t="e">
        <v>#N/A</v>
      </c>
      <c r="S405">
        <v>2.2000000000000002</v>
      </c>
      <c r="T405" t="e">
        <v>#N/A</v>
      </c>
    </row>
    <row r="406" spans="18:20" x14ac:dyDescent="0.35">
      <c r="R406" t="e">
        <v>#N/A</v>
      </c>
      <c r="S406" t="e">
        <v>#N/A</v>
      </c>
      <c r="T406">
        <v>6.6</v>
      </c>
    </row>
    <row r="407" spans="18:20" x14ac:dyDescent="0.35">
      <c r="R407">
        <v>1.3</v>
      </c>
      <c r="S407" t="e">
        <v>#N/A</v>
      </c>
      <c r="T407" t="e">
        <v>#N/A</v>
      </c>
    </row>
    <row r="408" spans="18:20" x14ac:dyDescent="0.35">
      <c r="R408" t="e">
        <v>#N/A</v>
      </c>
      <c r="S408" t="e">
        <v>#N/A</v>
      </c>
      <c r="T408">
        <v>6.7</v>
      </c>
    </row>
    <row r="409" spans="18:20" x14ac:dyDescent="0.35">
      <c r="R409" t="e">
        <v>#N/A</v>
      </c>
      <c r="S409" t="e">
        <v>#N/A</v>
      </c>
      <c r="T409">
        <v>2.2000000000000002</v>
      </c>
    </row>
    <row r="410" spans="18:20" x14ac:dyDescent="0.35">
      <c r="R410" t="e">
        <v>#N/A</v>
      </c>
      <c r="S410">
        <v>1.1000000000000001</v>
      </c>
      <c r="T410" t="e">
        <v>#N/A</v>
      </c>
    </row>
    <row r="411" spans="18:20" x14ac:dyDescent="0.35">
      <c r="R411" t="e">
        <v>#N/A</v>
      </c>
      <c r="S411">
        <v>5.0999999999999996</v>
      </c>
      <c r="T411" t="e">
        <v>#N/A</v>
      </c>
    </row>
    <row r="412" spans="18:20" x14ac:dyDescent="0.35">
      <c r="R412" t="e">
        <v>#N/A</v>
      </c>
      <c r="S412">
        <v>5</v>
      </c>
      <c r="T412" t="e">
        <v>#N/A</v>
      </c>
    </row>
    <row r="413" spans="18:20" x14ac:dyDescent="0.35">
      <c r="R413" t="e">
        <v>#N/A</v>
      </c>
      <c r="S413" t="e">
        <v>#N/A</v>
      </c>
      <c r="T413">
        <v>5.3</v>
      </c>
    </row>
    <row r="414" spans="18:20" x14ac:dyDescent="0.35">
      <c r="R414" t="e">
        <v>#N/A</v>
      </c>
      <c r="S414" t="e">
        <v>#N/A</v>
      </c>
      <c r="T414">
        <v>7.3</v>
      </c>
    </row>
    <row r="415" spans="18:20" x14ac:dyDescent="0.35">
      <c r="R415" t="e">
        <v>#N/A</v>
      </c>
      <c r="S415" t="e">
        <v>#N/A</v>
      </c>
      <c r="T415">
        <v>2.9</v>
      </c>
    </row>
    <row r="416" spans="18:20" x14ac:dyDescent="0.35">
      <c r="R416" t="e">
        <v>#N/A</v>
      </c>
      <c r="S416">
        <v>6.9</v>
      </c>
      <c r="T416" t="e">
        <v>#N/A</v>
      </c>
    </row>
    <row r="417" spans="18:20" x14ac:dyDescent="0.35">
      <c r="R417">
        <v>2.2999999999999998</v>
      </c>
      <c r="S417" t="e">
        <v>#N/A</v>
      </c>
      <c r="T417" t="e">
        <v>#N/A</v>
      </c>
    </row>
    <row r="418" spans="18:20" x14ac:dyDescent="0.35">
      <c r="R418" t="e">
        <v>#N/A</v>
      </c>
      <c r="S418" t="e">
        <v>#N/A</v>
      </c>
      <c r="T418">
        <v>7.5</v>
      </c>
    </row>
    <row r="419" spans="18:20" x14ac:dyDescent="0.35">
      <c r="R419">
        <v>5.5</v>
      </c>
      <c r="S419" t="e">
        <v>#N/A</v>
      </c>
      <c r="T419" t="e">
        <v>#N/A</v>
      </c>
    </row>
    <row r="420" spans="18:20" x14ac:dyDescent="0.35">
      <c r="R420">
        <v>3.7</v>
      </c>
      <c r="S420" t="e">
        <v>#N/A</v>
      </c>
      <c r="T420" t="e">
        <v>#N/A</v>
      </c>
    </row>
    <row r="421" spans="18:20" x14ac:dyDescent="0.35">
      <c r="R421" t="e">
        <v>#N/A</v>
      </c>
      <c r="S421">
        <v>7</v>
      </c>
      <c r="T421" t="e">
        <v>#N/A</v>
      </c>
    </row>
    <row r="422" spans="18:20" x14ac:dyDescent="0.35">
      <c r="R422" t="e">
        <v>#N/A</v>
      </c>
      <c r="S422">
        <v>5.4</v>
      </c>
      <c r="T422" t="e">
        <v>#N/A</v>
      </c>
    </row>
    <row r="423" spans="18:20" x14ac:dyDescent="0.35">
      <c r="R423" t="e">
        <v>#N/A</v>
      </c>
      <c r="S423">
        <v>1.1000000000000001</v>
      </c>
      <c r="T423" t="e">
        <v>#N/A</v>
      </c>
    </row>
    <row r="424" spans="18:20" x14ac:dyDescent="0.35">
      <c r="R424" t="e">
        <v>#N/A</v>
      </c>
      <c r="S424">
        <v>1.1000000000000001</v>
      </c>
      <c r="T424" t="e">
        <v>#N/A</v>
      </c>
    </row>
    <row r="425" spans="18:20" x14ac:dyDescent="0.35">
      <c r="R425" t="e">
        <v>#N/A</v>
      </c>
      <c r="S425" t="e">
        <v>#N/A</v>
      </c>
      <c r="T425">
        <v>6.2</v>
      </c>
    </row>
    <row r="426" spans="18:20" x14ac:dyDescent="0.35">
      <c r="R426" t="e">
        <v>#N/A</v>
      </c>
      <c r="S426">
        <v>2.6</v>
      </c>
      <c r="T426" t="e">
        <v>#N/A</v>
      </c>
    </row>
    <row r="427" spans="18:20" x14ac:dyDescent="0.35">
      <c r="R427">
        <v>6.7</v>
      </c>
      <c r="S427" t="e">
        <v>#N/A</v>
      </c>
      <c r="T427" t="e">
        <v>#N/A</v>
      </c>
    </row>
    <row r="428" spans="18:20" x14ac:dyDescent="0.35">
      <c r="R428" t="e">
        <v>#N/A</v>
      </c>
      <c r="S428">
        <v>2.7</v>
      </c>
      <c r="T428" t="e">
        <v>#N/A</v>
      </c>
    </row>
    <row r="429" spans="18:20" x14ac:dyDescent="0.35">
      <c r="R429">
        <v>5.0999999999999996</v>
      </c>
      <c r="S429" t="e">
        <v>#N/A</v>
      </c>
      <c r="T429" t="e">
        <v>#N/A</v>
      </c>
    </row>
    <row r="430" spans="18:20" x14ac:dyDescent="0.35">
      <c r="R430" t="e">
        <v>#N/A</v>
      </c>
      <c r="S430" t="e">
        <v>#N/A</v>
      </c>
      <c r="T430">
        <v>1.1000000000000001</v>
      </c>
    </row>
    <row r="431" spans="18:20" x14ac:dyDescent="0.35">
      <c r="R431" t="e">
        <v>#N/A</v>
      </c>
      <c r="S431">
        <v>2.6</v>
      </c>
      <c r="T431" t="e">
        <v>#N/A</v>
      </c>
    </row>
    <row r="432" spans="18:20" x14ac:dyDescent="0.35">
      <c r="R432" t="e">
        <v>#N/A</v>
      </c>
      <c r="S432" t="e">
        <v>#N/A</v>
      </c>
      <c r="T432">
        <v>7.5</v>
      </c>
    </row>
    <row r="433" spans="18:20" x14ac:dyDescent="0.35">
      <c r="R433">
        <v>2.5</v>
      </c>
      <c r="S433" t="e">
        <v>#N/A</v>
      </c>
      <c r="T433" t="e">
        <v>#N/A</v>
      </c>
    </row>
    <row r="434" spans="18:20" x14ac:dyDescent="0.35">
      <c r="R434">
        <v>7.6</v>
      </c>
      <c r="S434" t="e">
        <v>#N/A</v>
      </c>
      <c r="T434" t="e">
        <v>#N/A</v>
      </c>
    </row>
    <row r="435" spans="18:20" x14ac:dyDescent="0.35">
      <c r="R435" t="e">
        <v>#N/A</v>
      </c>
      <c r="S435">
        <v>2.9</v>
      </c>
      <c r="T435" t="e">
        <v>#N/A</v>
      </c>
    </row>
    <row r="436" spans="18:20" x14ac:dyDescent="0.35">
      <c r="R436" t="e">
        <v>#N/A</v>
      </c>
      <c r="S436">
        <v>7.2</v>
      </c>
      <c r="T436" t="e">
        <v>#N/A</v>
      </c>
    </row>
    <row r="437" spans="18:20" x14ac:dyDescent="0.35">
      <c r="R437" t="e">
        <v>#N/A</v>
      </c>
      <c r="S437" t="e">
        <v>#N/A</v>
      </c>
      <c r="T437">
        <v>3.5</v>
      </c>
    </row>
    <row r="438" spans="18:20" x14ac:dyDescent="0.35">
      <c r="R438">
        <v>4</v>
      </c>
      <c r="S438" t="e">
        <v>#N/A</v>
      </c>
      <c r="T438" t="e">
        <v>#N/A</v>
      </c>
    </row>
    <row r="439" spans="18:20" x14ac:dyDescent="0.35">
      <c r="R439">
        <v>2.6</v>
      </c>
      <c r="S439" t="e">
        <v>#N/A</v>
      </c>
      <c r="T439" t="e">
        <v>#N/A</v>
      </c>
    </row>
    <row r="440" spans="18:20" x14ac:dyDescent="0.35">
      <c r="R440">
        <v>5.3</v>
      </c>
      <c r="S440" t="e">
        <v>#N/A</v>
      </c>
      <c r="T440" t="e">
        <v>#N/A</v>
      </c>
    </row>
    <row r="441" spans="18:20" x14ac:dyDescent="0.35">
      <c r="R441">
        <v>7.6</v>
      </c>
      <c r="S441" t="e">
        <v>#N/A</v>
      </c>
      <c r="T441" t="e">
        <v>#N/A</v>
      </c>
    </row>
    <row r="442" spans="18:20" x14ac:dyDescent="0.35">
      <c r="R442" t="e">
        <v>#N/A</v>
      </c>
      <c r="S442">
        <v>3.1</v>
      </c>
      <c r="T442" t="e">
        <v>#N/A</v>
      </c>
    </row>
    <row r="443" spans="18:20" x14ac:dyDescent="0.35">
      <c r="R443" t="e">
        <v>#N/A</v>
      </c>
      <c r="S443" t="e">
        <v>#N/A</v>
      </c>
      <c r="T443">
        <v>3.4</v>
      </c>
    </row>
    <row r="444" spans="18:20" x14ac:dyDescent="0.35">
      <c r="R444" t="e">
        <v>#N/A</v>
      </c>
      <c r="S444" t="e">
        <v>#N/A</v>
      </c>
      <c r="T444">
        <v>4.5</v>
      </c>
    </row>
    <row r="445" spans="18:20" x14ac:dyDescent="0.35">
      <c r="R445">
        <v>7.3</v>
      </c>
      <c r="S445" t="e">
        <v>#N/A</v>
      </c>
      <c r="T445" t="e">
        <v>#N/A</v>
      </c>
    </row>
    <row r="446" spans="18:20" x14ac:dyDescent="0.35">
      <c r="R446" t="e">
        <v>#N/A</v>
      </c>
      <c r="S446" t="e">
        <v>#N/A</v>
      </c>
      <c r="T446">
        <v>5.5</v>
      </c>
    </row>
    <row r="447" spans="18:20" x14ac:dyDescent="0.35">
      <c r="R447" t="e">
        <v>#N/A</v>
      </c>
      <c r="S447" t="e">
        <v>#N/A</v>
      </c>
      <c r="T447">
        <v>6.6</v>
      </c>
    </row>
    <row r="448" spans="18:20" x14ac:dyDescent="0.35">
      <c r="R448" t="e">
        <v>#N/A</v>
      </c>
      <c r="S448">
        <v>7.8</v>
      </c>
      <c r="T448" t="e">
        <v>#N/A</v>
      </c>
    </row>
    <row r="449" spans="18:20" x14ac:dyDescent="0.35">
      <c r="R449">
        <v>5</v>
      </c>
      <c r="S449" t="e">
        <v>#N/A</v>
      </c>
      <c r="T449" t="e">
        <v>#N/A</v>
      </c>
    </row>
    <row r="450" spans="18:20" x14ac:dyDescent="0.35">
      <c r="R450" t="e">
        <v>#N/A</v>
      </c>
      <c r="S450" t="e">
        <v>#N/A</v>
      </c>
      <c r="T450">
        <v>7.6</v>
      </c>
    </row>
    <row r="451" spans="18:20" x14ac:dyDescent="0.35">
      <c r="R451" t="e">
        <v>#N/A</v>
      </c>
      <c r="S451" t="e">
        <v>#N/A</v>
      </c>
      <c r="T451">
        <v>6</v>
      </c>
    </row>
    <row r="452" spans="18:20" x14ac:dyDescent="0.35">
      <c r="R452">
        <v>7.4</v>
      </c>
      <c r="S452" t="e">
        <v>#N/A</v>
      </c>
      <c r="T452" t="e">
        <v>#N/A</v>
      </c>
    </row>
    <row r="453" spans="18:20" x14ac:dyDescent="0.35">
      <c r="R453">
        <v>3.8</v>
      </c>
      <c r="S453" t="e">
        <v>#N/A</v>
      </c>
      <c r="T453" t="e">
        <v>#N/A</v>
      </c>
    </row>
    <row r="454" spans="18:20" x14ac:dyDescent="0.35">
      <c r="R454">
        <v>2.5</v>
      </c>
      <c r="S454" t="e">
        <v>#N/A</v>
      </c>
      <c r="T454" t="e">
        <v>#N/A</v>
      </c>
    </row>
    <row r="455" spans="18:20" x14ac:dyDescent="0.35">
      <c r="R455" t="e">
        <v>#N/A</v>
      </c>
      <c r="S455">
        <v>2.2999999999999998</v>
      </c>
      <c r="T455" t="e">
        <v>#N/A</v>
      </c>
    </row>
    <row r="456" spans="18:20" x14ac:dyDescent="0.35">
      <c r="R456" t="e">
        <v>#N/A</v>
      </c>
      <c r="S456" t="e">
        <v>#N/A</v>
      </c>
      <c r="T456">
        <v>2.4</v>
      </c>
    </row>
    <row r="457" spans="18:20" x14ac:dyDescent="0.35">
      <c r="R457">
        <v>7.4</v>
      </c>
      <c r="S457" t="e">
        <v>#N/A</v>
      </c>
      <c r="T457" t="e">
        <v>#N/A</v>
      </c>
    </row>
    <row r="458" spans="18:20" x14ac:dyDescent="0.35">
      <c r="R458">
        <v>4</v>
      </c>
      <c r="S458" t="e">
        <v>#N/A</v>
      </c>
      <c r="T458" t="e">
        <v>#N/A</v>
      </c>
    </row>
    <row r="459" spans="18:20" x14ac:dyDescent="0.35">
      <c r="R459">
        <v>2.4</v>
      </c>
      <c r="S459" t="e">
        <v>#N/A</v>
      </c>
      <c r="T459" t="e">
        <v>#N/A</v>
      </c>
    </row>
    <row r="460" spans="18:20" x14ac:dyDescent="0.35">
      <c r="R460" t="e">
        <v>#N/A</v>
      </c>
      <c r="S460" t="e">
        <v>#N/A</v>
      </c>
      <c r="T460">
        <v>1.1000000000000001</v>
      </c>
    </row>
    <row r="461" spans="18:20" x14ac:dyDescent="0.35">
      <c r="R461" t="e">
        <v>#N/A</v>
      </c>
      <c r="S461">
        <v>3.9</v>
      </c>
      <c r="T461" t="e">
        <v>#N/A</v>
      </c>
    </row>
    <row r="462" spans="18:20" x14ac:dyDescent="0.35">
      <c r="R462" t="e">
        <v>#N/A</v>
      </c>
      <c r="S462" t="e">
        <v>#N/A</v>
      </c>
      <c r="T462">
        <v>7</v>
      </c>
    </row>
    <row r="463" spans="18:20" x14ac:dyDescent="0.35">
      <c r="R463" t="e">
        <v>#N/A</v>
      </c>
      <c r="S463" t="e">
        <v>#N/A</v>
      </c>
      <c r="T463">
        <v>4.5</v>
      </c>
    </row>
    <row r="464" spans="18:20" x14ac:dyDescent="0.35">
      <c r="R464">
        <v>4.0999999999999996</v>
      </c>
      <c r="S464" t="e">
        <v>#N/A</v>
      </c>
      <c r="T464" t="e">
        <v>#N/A</v>
      </c>
    </row>
    <row r="465" spans="18:20" x14ac:dyDescent="0.35">
      <c r="R465" t="e">
        <v>#N/A</v>
      </c>
      <c r="S465" t="e">
        <v>#N/A</v>
      </c>
      <c r="T465">
        <v>3.7</v>
      </c>
    </row>
    <row r="466" spans="18:20" x14ac:dyDescent="0.35">
      <c r="R466" t="e">
        <v>#N/A</v>
      </c>
      <c r="S466">
        <v>1.9</v>
      </c>
      <c r="T466" t="e">
        <v>#N/A</v>
      </c>
    </row>
    <row r="467" spans="18:20" x14ac:dyDescent="0.35">
      <c r="R467" t="e">
        <v>#N/A</v>
      </c>
      <c r="S467">
        <v>1.4</v>
      </c>
      <c r="T467" t="e">
        <v>#N/A</v>
      </c>
    </row>
    <row r="468" spans="18:20" x14ac:dyDescent="0.35">
      <c r="R468" t="e">
        <v>#N/A</v>
      </c>
      <c r="S468" t="e">
        <v>#N/A</v>
      </c>
      <c r="T468">
        <v>3.8</v>
      </c>
    </row>
    <row r="469" spans="18:20" x14ac:dyDescent="0.35">
      <c r="R469" t="e">
        <v>#N/A</v>
      </c>
      <c r="S469" t="e">
        <v>#N/A</v>
      </c>
      <c r="T469">
        <v>2.9</v>
      </c>
    </row>
    <row r="470" spans="18:20" x14ac:dyDescent="0.35">
      <c r="R470" t="e">
        <v>#N/A</v>
      </c>
      <c r="S470" t="e">
        <v>#N/A</v>
      </c>
      <c r="T470">
        <v>6.2</v>
      </c>
    </row>
    <row r="471" spans="18:20" x14ac:dyDescent="0.35">
      <c r="R471" t="e">
        <v>#N/A</v>
      </c>
      <c r="S471">
        <v>5.0999999999999996</v>
      </c>
      <c r="T471" t="e">
        <v>#N/A</v>
      </c>
    </row>
    <row r="472" spans="18:20" x14ac:dyDescent="0.35">
      <c r="R472" t="e">
        <v>#N/A</v>
      </c>
      <c r="S472" t="e">
        <v>#N/A</v>
      </c>
      <c r="T472">
        <v>4.5</v>
      </c>
    </row>
    <row r="473" spans="18:20" x14ac:dyDescent="0.35">
      <c r="R473">
        <v>6.4</v>
      </c>
      <c r="S473" t="e">
        <v>#N/A</v>
      </c>
      <c r="T473" t="e">
        <v>#N/A</v>
      </c>
    </row>
    <row r="474" spans="18:20" x14ac:dyDescent="0.35">
      <c r="R474">
        <v>2.9</v>
      </c>
      <c r="S474" t="e">
        <v>#N/A</v>
      </c>
      <c r="T474" t="e">
        <v>#N/A</v>
      </c>
    </row>
    <row r="475" spans="18:20" x14ac:dyDescent="0.35">
      <c r="R475" t="e">
        <v>#N/A</v>
      </c>
      <c r="S475" t="e">
        <v>#N/A</v>
      </c>
      <c r="T475">
        <v>1.3</v>
      </c>
    </row>
    <row r="476" spans="18:20" x14ac:dyDescent="0.35">
      <c r="R476">
        <v>2.8</v>
      </c>
      <c r="S476" t="e">
        <v>#N/A</v>
      </c>
      <c r="T476" t="e">
        <v>#N/A</v>
      </c>
    </row>
    <row r="477" spans="18:20" x14ac:dyDescent="0.35">
      <c r="R477" t="e">
        <v>#N/A</v>
      </c>
      <c r="S477" t="e">
        <v>#N/A</v>
      </c>
      <c r="T477">
        <v>3.5</v>
      </c>
    </row>
    <row r="478" spans="18:20" x14ac:dyDescent="0.35">
      <c r="R478">
        <v>1.7</v>
      </c>
      <c r="S478" t="e">
        <v>#N/A</v>
      </c>
      <c r="T478" t="e">
        <v>#N/A</v>
      </c>
    </row>
    <row r="479" spans="18:20" x14ac:dyDescent="0.35">
      <c r="R479">
        <v>4.2</v>
      </c>
      <c r="S479" t="e">
        <v>#N/A</v>
      </c>
      <c r="T479" t="e">
        <v>#N/A</v>
      </c>
    </row>
    <row r="480" spans="18:20" x14ac:dyDescent="0.35">
      <c r="R480" t="e">
        <v>#N/A</v>
      </c>
      <c r="S480">
        <v>4.5999999999999996</v>
      </c>
      <c r="T480" t="e">
        <v>#N/A</v>
      </c>
    </row>
    <row r="481" spans="18:20" x14ac:dyDescent="0.35">
      <c r="R481" t="e">
        <v>#N/A</v>
      </c>
      <c r="S481" t="e">
        <v>#N/A</v>
      </c>
      <c r="T481">
        <v>3.8</v>
      </c>
    </row>
    <row r="482" spans="18:20" x14ac:dyDescent="0.35">
      <c r="R482" t="e">
        <v>#N/A</v>
      </c>
      <c r="S482">
        <v>5.7</v>
      </c>
      <c r="T482" t="e">
        <v>#N/A</v>
      </c>
    </row>
    <row r="483" spans="18:20" x14ac:dyDescent="0.35">
      <c r="R483">
        <v>7.1</v>
      </c>
      <c r="S483" t="e">
        <v>#N/A</v>
      </c>
      <c r="T483" t="e">
        <v>#N/A</v>
      </c>
    </row>
    <row r="484" spans="18:20" x14ac:dyDescent="0.35">
      <c r="R484" t="e">
        <v>#N/A</v>
      </c>
      <c r="S484" t="e">
        <v>#N/A</v>
      </c>
      <c r="T484">
        <v>3</v>
      </c>
    </row>
    <row r="485" spans="18:20" x14ac:dyDescent="0.35">
      <c r="R485" t="e">
        <v>#N/A</v>
      </c>
      <c r="S485" t="e">
        <v>#N/A</v>
      </c>
      <c r="T485">
        <v>4.4000000000000004</v>
      </c>
    </row>
    <row r="486" spans="18:20" x14ac:dyDescent="0.35">
      <c r="R486" t="e">
        <v>#N/A</v>
      </c>
      <c r="S486" t="e">
        <v>#N/A</v>
      </c>
      <c r="T486">
        <v>2.1</v>
      </c>
    </row>
    <row r="487" spans="18:20" x14ac:dyDescent="0.35">
      <c r="R487">
        <v>3.6</v>
      </c>
      <c r="S487" t="e">
        <v>#N/A</v>
      </c>
      <c r="T487" t="e">
        <v>#N/A</v>
      </c>
    </row>
    <row r="488" spans="18:20" x14ac:dyDescent="0.35">
      <c r="R488" t="e">
        <v>#N/A</v>
      </c>
      <c r="S488">
        <v>5.0999999999999996</v>
      </c>
      <c r="T488" t="e">
        <v>#N/A</v>
      </c>
    </row>
    <row r="489" spans="18:20" x14ac:dyDescent="0.35">
      <c r="R489">
        <v>2.2000000000000002</v>
      </c>
      <c r="S489" t="e">
        <v>#N/A</v>
      </c>
      <c r="T489" t="e">
        <v>#N/A</v>
      </c>
    </row>
    <row r="490" spans="18:20" x14ac:dyDescent="0.35">
      <c r="R490" t="e">
        <v>#N/A</v>
      </c>
      <c r="S490" t="e">
        <v>#N/A</v>
      </c>
      <c r="T490">
        <v>1.1000000000000001</v>
      </c>
    </row>
    <row r="491" spans="18:20" x14ac:dyDescent="0.35">
      <c r="R491" t="e">
        <v>#N/A</v>
      </c>
      <c r="S491" t="e">
        <v>#N/A</v>
      </c>
      <c r="T491">
        <v>2</v>
      </c>
    </row>
    <row r="492" spans="18:20" x14ac:dyDescent="0.35">
      <c r="R492" t="e">
        <v>#N/A</v>
      </c>
      <c r="S492">
        <v>7.7</v>
      </c>
      <c r="T492" t="e">
        <v>#N/A</v>
      </c>
    </row>
    <row r="493" spans="18:20" x14ac:dyDescent="0.35">
      <c r="R493">
        <v>4.8</v>
      </c>
      <c r="S493" t="e">
        <v>#N/A</v>
      </c>
      <c r="T493" t="e">
        <v>#N/A</v>
      </c>
    </row>
    <row r="494" spans="18:20" x14ac:dyDescent="0.35">
      <c r="R494">
        <v>3.8</v>
      </c>
      <c r="S494" t="e">
        <v>#N/A</v>
      </c>
      <c r="T494" t="e">
        <v>#N/A</v>
      </c>
    </row>
    <row r="495" spans="18:20" x14ac:dyDescent="0.35">
      <c r="R495" t="e">
        <v>#N/A</v>
      </c>
      <c r="S495">
        <v>5.4</v>
      </c>
      <c r="T495" t="e">
        <v>#N/A</v>
      </c>
    </row>
    <row r="496" spans="18:20" x14ac:dyDescent="0.35">
      <c r="R496" t="e">
        <v>#N/A</v>
      </c>
      <c r="S496">
        <v>2.2999999999999998</v>
      </c>
      <c r="T496" t="e">
        <v>#N/A</v>
      </c>
    </row>
    <row r="497" spans="18:20" x14ac:dyDescent="0.35">
      <c r="R497" t="e">
        <v>#N/A</v>
      </c>
      <c r="S497" t="e">
        <v>#N/A</v>
      </c>
      <c r="T497">
        <v>3.8</v>
      </c>
    </row>
    <row r="498" spans="18:20" x14ac:dyDescent="0.35">
      <c r="R498" t="e">
        <v>#N/A</v>
      </c>
      <c r="S498" t="e">
        <v>#N/A</v>
      </c>
      <c r="T498">
        <v>3.1</v>
      </c>
    </row>
    <row r="499" spans="18:20" x14ac:dyDescent="0.35">
      <c r="R499" t="e">
        <v>#N/A</v>
      </c>
      <c r="S499">
        <v>7.5</v>
      </c>
      <c r="T499" t="e">
        <v>#N/A</v>
      </c>
    </row>
    <row r="500" spans="18:20" x14ac:dyDescent="0.35">
      <c r="R500" t="e">
        <v>#N/A</v>
      </c>
      <c r="S500">
        <v>8</v>
      </c>
      <c r="T500" t="e">
        <v>#N/A</v>
      </c>
    </row>
    <row r="501" spans="18:20" x14ac:dyDescent="0.35">
      <c r="R501">
        <v>5</v>
      </c>
      <c r="S501" t="e">
        <v>#N/A</v>
      </c>
      <c r="T501" t="e">
        <v>#N/A</v>
      </c>
    </row>
    <row r="502" spans="18:20" x14ac:dyDescent="0.35">
      <c r="R502">
        <v>2</v>
      </c>
      <c r="S502" t="e">
        <v>#N/A</v>
      </c>
      <c r="T502" t="e">
        <v>#N/A</v>
      </c>
    </row>
    <row r="503" spans="18:20" x14ac:dyDescent="0.35">
      <c r="R503">
        <v>7.1</v>
      </c>
      <c r="S503" t="e">
        <v>#N/A</v>
      </c>
      <c r="T503" t="e">
        <v>#N/A</v>
      </c>
    </row>
    <row r="504" spans="18:20" x14ac:dyDescent="0.35">
      <c r="R504">
        <v>5.5</v>
      </c>
      <c r="S504" t="e">
        <v>#N/A</v>
      </c>
      <c r="T504" t="e">
        <v>#N/A</v>
      </c>
    </row>
    <row r="505" spans="18:20" x14ac:dyDescent="0.35">
      <c r="R505" t="e">
        <v>#N/A</v>
      </c>
      <c r="S505">
        <v>2.8</v>
      </c>
      <c r="T505" t="e">
        <v>#N/A</v>
      </c>
    </row>
    <row r="506" spans="18:20" x14ac:dyDescent="0.35">
      <c r="R506" t="e">
        <v>#N/A</v>
      </c>
      <c r="S506">
        <v>7.2</v>
      </c>
      <c r="T506" t="e">
        <v>#N/A</v>
      </c>
    </row>
    <row r="507" spans="18:20" x14ac:dyDescent="0.35">
      <c r="R507">
        <v>3.2</v>
      </c>
      <c r="S507" t="e">
        <v>#N/A</v>
      </c>
      <c r="T507" t="e">
        <v>#N/A</v>
      </c>
    </row>
    <row r="508" spans="18:20" x14ac:dyDescent="0.35">
      <c r="R508" t="e">
        <v>#N/A</v>
      </c>
      <c r="S508" t="e">
        <v>#N/A</v>
      </c>
      <c r="T508">
        <v>1.9</v>
      </c>
    </row>
    <row r="509" spans="18:20" x14ac:dyDescent="0.35">
      <c r="R509" t="e">
        <v>#N/A</v>
      </c>
      <c r="S509" t="e">
        <v>#N/A</v>
      </c>
      <c r="T509">
        <v>3.9</v>
      </c>
    </row>
    <row r="510" spans="18:20" x14ac:dyDescent="0.35">
      <c r="R510" t="e">
        <v>#N/A</v>
      </c>
      <c r="S510" t="e">
        <v>#N/A</v>
      </c>
      <c r="T510">
        <v>1.8</v>
      </c>
    </row>
    <row r="511" spans="18:20" x14ac:dyDescent="0.35">
      <c r="R511" t="e">
        <v>#N/A</v>
      </c>
      <c r="S511" t="e">
        <v>#N/A</v>
      </c>
      <c r="T511">
        <v>3.2</v>
      </c>
    </row>
    <row r="512" spans="18:20" x14ac:dyDescent="0.35">
      <c r="R512" t="e">
        <v>#N/A</v>
      </c>
      <c r="S512" t="e">
        <v>#N/A</v>
      </c>
      <c r="T512">
        <v>7.8</v>
      </c>
    </row>
    <row r="513" spans="18:20" x14ac:dyDescent="0.35">
      <c r="R513">
        <v>3</v>
      </c>
      <c r="S513" t="e">
        <v>#N/A</v>
      </c>
      <c r="T513" t="e">
        <v>#N/A</v>
      </c>
    </row>
    <row r="514" spans="18:20" x14ac:dyDescent="0.35">
      <c r="R514" t="e">
        <v>#N/A</v>
      </c>
      <c r="S514" t="e">
        <v>#N/A</v>
      </c>
      <c r="T514">
        <v>7.3</v>
      </c>
    </row>
    <row r="515" spans="18:20" x14ac:dyDescent="0.35">
      <c r="R515" t="e">
        <v>#N/A</v>
      </c>
      <c r="S515" t="e">
        <v>#N/A</v>
      </c>
      <c r="T515">
        <v>6.5</v>
      </c>
    </row>
    <row r="516" spans="18:20" x14ac:dyDescent="0.35">
      <c r="R516" t="e">
        <v>#N/A</v>
      </c>
      <c r="S516" t="e">
        <v>#N/A</v>
      </c>
      <c r="T516">
        <v>7</v>
      </c>
    </row>
    <row r="517" spans="18:20" x14ac:dyDescent="0.35">
      <c r="R517" t="e">
        <v>#N/A</v>
      </c>
      <c r="S517" t="e">
        <v>#N/A</v>
      </c>
      <c r="T517">
        <v>6.3</v>
      </c>
    </row>
    <row r="518" spans="18:20" x14ac:dyDescent="0.35">
      <c r="R518" t="e">
        <v>#N/A</v>
      </c>
      <c r="S518" t="e">
        <v>#N/A</v>
      </c>
      <c r="T518">
        <v>6.6</v>
      </c>
    </row>
    <row r="519" spans="18:20" x14ac:dyDescent="0.35">
      <c r="R519">
        <v>2.2999999999999998</v>
      </c>
      <c r="S519" t="e">
        <v>#N/A</v>
      </c>
      <c r="T519" t="e">
        <v>#N/A</v>
      </c>
    </row>
    <row r="520" spans="18:20" x14ac:dyDescent="0.35">
      <c r="R520">
        <v>2.2999999999999998</v>
      </c>
      <c r="S520" t="e">
        <v>#N/A</v>
      </c>
      <c r="T520" t="e">
        <v>#N/A</v>
      </c>
    </row>
    <row r="521" spans="18:20" x14ac:dyDescent="0.35">
      <c r="R521" t="e">
        <v>#N/A</v>
      </c>
      <c r="S521" t="e">
        <v>#N/A</v>
      </c>
      <c r="T521">
        <v>5.5</v>
      </c>
    </row>
    <row r="522" spans="18:20" x14ac:dyDescent="0.35">
      <c r="R522">
        <v>4.5</v>
      </c>
      <c r="S522" t="e">
        <v>#N/A</v>
      </c>
      <c r="T522" t="e">
        <v>#N/A</v>
      </c>
    </row>
    <row r="523" spans="18:20" x14ac:dyDescent="0.35">
      <c r="R523" t="e">
        <v>#N/A</v>
      </c>
      <c r="S523">
        <v>4.5999999999999996</v>
      </c>
      <c r="T523" t="e">
        <v>#N/A</v>
      </c>
    </row>
    <row r="524" spans="18:20" x14ac:dyDescent="0.35">
      <c r="R524" t="e">
        <v>#N/A</v>
      </c>
      <c r="S524">
        <v>2.5</v>
      </c>
      <c r="T524" t="e">
        <v>#N/A</v>
      </c>
    </row>
    <row r="525" spans="18:20" x14ac:dyDescent="0.35">
      <c r="R525" t="e">
        <v>#N/A</v>
      </c>
      <c r="S525" t="e">
        <v>#N/A</v>
      </c>
      <c r="T525">
        <v>5.2</v>
      </c>
    </row>
    <row r="526" spans="18:20" x14ac:dyDescent="0.35">
      <c r="R526" t="e">
        <v>#N/A</v>
      </c>
      <c r="S526">
        <v>1.8</v>
      </c>
      <c r="T526" t="e">
        <v>#N/A</v>
      </c>
    </row>
    <row r="527" spans="18:20" x14ac:dyDescent="0.35">
      <c r="R527" t="e">
        <v>#N/A</v>
      </c>
      <c r="S527" t="e">
        <v>#N/A</v>
      </c>
      <c r="T527">
        <v>5.8</v>
      </c>
    </row>
    <row r="528" spans="18:20" x14ac:dyDescent="0.35">
      <c r="R528">
        <v>2.2000000000000002</v>
      </c>
      <c r="S528" t="e">
        <v>#N/A</v>
      </c>
      <c r="T528" t="e">
        <v>#N/A</v>
      </c>
    </row>
    <row r="529" spans="18:20" x14ac:dyDescent="0.35">
      <c r="R529">
        <v>4.5</v>
      </c>
      <c r="S529" t="e">
        <v>#N/A</v>
      </c>
      <c r="T529" t="e">
        <v>#N/A</v>
      </c>
    </row>
    <row r="530" spans="18:20" x14ac:dyDescent="0.35">
      <c r="R530" t="e">
        <v>#N/A</v>
      </c>
      <c r="S530" t="e">
        <v>#N/A</v>
      </c>
      <c r="T530">
        <v>5.3</v>
      </c>
    </row>
    <row r="531" spans="18:20" x14ac:dyDescent="0.35">
      <c r="R531" t="e">
        <v>#N/A</v>
      </c>
      <c r="S531">
        <v>7.4</v>
      </c>
      <c r="T531" t="e">
        <v>#N/A</v>
      </c>
    </row>
    <row r="532" spans="18:20" x14ac:dyDescent="0.35">
      <c r="R532" t="e">
        <v>#N/A</v>
      </c>
      <c r="S532" t="e">
        <v>#N/A</v>
      </c>
      <c r="T532">
        <v>5.5</v>
      </c>
    </row>
    <row r="533" spans="18:20" x14ac:dyDescent="0.35">
      <c r="R533" t="e">
        <v>#N/A</v>
      </c>
      <c r="S533" t="e">
        <v>#N/A</v>
      </c>
      <c r="T533">
        <v>5.2</v>
      </c>
    </row>
    <row r="534" spans="18:20" x14ac:dyDescent="0.35">
      <c r="R534">
        <v>6.8</v>
      </c>
      <c r="S534" t="e">
        <v>#N/A</v>
      </c>
      <c r="T534" t="e">
        <v>#N/A</v>
      </c>
    </row>
    <row r="535" spans="18:20" x14ac:dyDescent="0.35">
      <c r="R535" t="e">
        <v>#N/A</v>
      </c>
      <c r="S535">
        <v>1.9</v>
      </c>
      <c r="T535" t="e">
        <v>#N/A</v>
      </c>
    </row>
    <row r="536" spans="18:20" x14ac:dyDescent="0.35">
      <c r="R536" t="e">
        <v>#N/A</v>
      </c>
      <c r="S536" t="e">
        <v>#N/A</v>
      </c>
      <c r="T536">
        <v>7.4</v>
      </c>
    </row>
    <row r="537" spans="18:20" x14ac:dyDescent="0.35">
      <c r="R537" t="e">
        <v>#N/A</v>
      </c>
      <c r="S537">
        <v>3.3</v>
      </c>
      <c r="T537" t="e">
        <v>#N/A</v>
      </c>
    </row>
    <row r="538" spans="18:20" x14ac:dyDescent="0.35">
      <c r="R538">
        <v>4.5999999999999996</v>
      </c>
      <c r="S538" t="e">
        <v>#N/A</v>
      </c>
      <c r="T538" t="e">
        <v>#N/A</v>
      </c>
    </row>
    <row r="539" spans="18:20" x14ac:dyDescent="0.35">
      <c r="R539" t="e">
        <v>#N/A</v>
      </c>
      <c r="S539">
        <v>7.9</v>
      </c>
      <c r="T539" t="e">
        <v>#N/A</v>
      </c>
    </row>
    <row r="540" spans="18:20" x14ac:dyDescent="0.35">
      <c r="R540" t="e">
        <v>#N/A</v>
      </c>
      <c r="S540">
        <v>4.8</v>
      </c>
      <c r="T540" t="e">
        <v>#N/A</v>
      </c>
    </row>
    <row r="541" spans="18:20" x14ac:dyDescent="0.35">
      <c r="R541" t="e">
        <v>#N/A</v>
      </c>
      <c r="S541" t="e">
        <v>#N/A</v>
      </c>
      <c r="T541">
        <v>7.8</v>
      </c>
    </row>
    <row r="542" spans="18:20" x14ac:dyDescent="0.35">
      <c r="R542">
        <v>4.0999999999999996</v>
      </c>
      <c r="S542" t="e">
        <v>#N/A</v>
      </c>
      <c r="T542" t="e">
        <v>#N/A</v>
      </c>
    </row>
    <row r="543" spans="18:20" x14ac:dyDescent="0.35">
      <c r="R543" t="e">
        <v>#N/A</v>
      </c>
      <c r="S543">
        <v>1.6</v>
      </c>
      <c r="T543" t="e">
        <v>#N/A</v>
      </c>
    </row>
    <row r="544" spans="18:20" x14ac:dyDescent="0.35">
      <c r="R544" t="e">
        <v>#N/A</v>
      </c>
      <c r="S544">
        <v>2.8</v>
      </c>
      <c r="T544" t="e">
        <v>#N/A</v>
      </c>
    </row>
    <row r="545" spans="18:20" x14ac:dyDescent="0.35">
      <c r="R545" t="e">
        <v>#N/A</v>
      </c>
      <c r="S545">
        <v>4</v>
      </c>
      <c r="T545" t="e">
        <v>#N/A</v>
      </c>
    </row>
    <row r="546" spans="18:20" x14ac:dyDescent="0.35">
      <c r="R546" t="e">
        <v>#N/A</v>
      </c>
      <c r="S546">
        <v>6</v>
      </c>
      <c r="T546" t="e">
        <v>#N/A</v>
      </c>
    </row>
    <row r="547" spans="18:20" x14ac:dyDescent="0.35">
      <c r="R547" t="e">
        <v>#N/A</v>
      </c>
      <c r="S547">
        <v>1.1000000000000001</v>
      </c>
      <c r="T547" t="e">
        <v>#N/A</v>
      </c>
    </row>
    <row r="548" spans="18:20" x14ac:dyDescent="0.35">
      <c r="R548">
        <v>4.3</v>
      </c>
      <c r="S548" t="e">
        <v>#N/A</v>
      </c>
      <c r="T548" t="e">
        <v>#N/A</v>
      </c>
    </row>
    <row r="549" spans="18:20" x14ac:dyDescent="0.35">
      <c r="R549" t="e">
        <v>#N/A</v>
      </c>
      <c r="S549">
        <v>3.5</v>
      </c>
      <c r="T549" t="e">
        <v>#N/A</v>
      </c>
    </row>
    <row r="550" spans="18:20" x14ac:dyDescent="0.35">
      <c r="R550" t="e">
        <v>#N/A</v>
      </c>
      <c r="S550">
        <v>5.6</v>
      </c>
      <c r="T550" t="e">
        <v>#N/A</v>
      </c>
    </row>
    <row r="551" spans="18:20" x14ac:dyDescent="0.35">
      <c r="R551">
        <v>1.4</v>
      </c>
      <c r="S551" t="e">
        <v>#N/A</v>
      </c>
      <c r="T551" t="e">
        <v>#N/A</v>
      </c>
    </row>
    <row r="552" spans="18:20" x14ac:dyDescent="0.35">
      <c r="R552" t="e">
        <v>#N/A</v>
      </c>
      <c r="S552">
        <v>5.4</v>
      </c>
      <c r="T552" t="e">
        <v>#N/A</v>
      </c>
    </row>
    <row r="553" spans="18:20" x14ac:dyDescent="0.35">
      <c r="R553">
        <v>1.5</v>
      </c>
      <c r="S553" t="e">
        <v>#N/A</v>
      </c>
      <c r="T553" t="e">
        <v>#N/A</v>
      </c>
    </row>
    <row r="554" spans="18:20" x14ac:dyDescent="0.35">
      <c r="R554">
        <v>5.2</v>
      </c>
      <c r="S554" t="e">
        <v>#N/A</v>
      </c>
      <c r="T554" t="e">
        <v>#N/A</v>
      </c>
    </row>
    <row r="555" spans="18:20" x14ac:dyDescent="0.35">
      <c r="R555" t="e">
        <v>#N/A</v>
      </c>
      <c r="S555" t="e">
        <v>#N/A</v>
      </c>
      <c r="T555">
        <v>7.1</v>
      </c>
    </row>
    <row r="556" spans="18:20" x14ac:dyDescent="0.35">
      <c r="R556" t="e">
        <v>#N/A</v>
      </c>
      <c r="S556" t="e">
        <v>#N/A</v>
      </c>
      <c r="T556">
        <v>4.2</v>
      </c>
    </row>
    <row r="557" spans="18:20" x14ac:dyDescent="0.35">
      <c r="R557">
        <v>2.8</v>
      </c>
      <c r="S557" t="e">
        <v>#N/A</v>
      </c>
      <c r="T557" t="e">
        <v>#N/A</v>
      </c>
    </row>
    <row r="558" spans="18:20" x14ac:dyDescent="0.35">
      <c r="R558">
        <v>6.7</v>
      </c>
      <c r="S558" t="e">
        <v>#N/A</v>
      </c>
      <c r="T558" t="e">
        <v>#N/A</v>
      </c>
    </row>
    <row r="559" spans="18:20" x14ac:dyDescent="0.35">
      <c r="R559" t="e">
        <v>#N/A</v>
      </c>
      <c r="S559">
        <v>6.5</v>
      </c>
      <c r="T559" t="e">
        <v>#N/A</v>
      </c>
    </row>
    <row r="560" spans="18:20" x14ac:dyDescent="0.35">
      <c r="R560" t="e">
        <v>#N/A</v>
      </c>
      <c r="S560" t="e">
        <v>#N/A</v>
      </c>
      <c r="T560">
        <v>6.8</v>
      </c>
    </row>
    <row r="561" spans="18:20" x14ac:dyDescent="0.35">
      <c r="R561">
        <v>2.4</v>
      </c>
      <c r="S561" t="e">
        <v>#N/A</v>
      </c>
      <c r="T561" t="e">
        <v>#N/A</v>
      </c>
    </row>
    <row r="562" spans="18:20" x14ac:dyDescent="0.35">
      <c r="R562" t="e">
        <v>#N/A</v>
      </c>
      <c r="S562">
        <v>3.4</v>
      </c>
      <c r="T562" t="e">
        <v>#N/A</v>
      </c>
    </row>
    <row r="563" spans="18:20" x14ac:dyDescent="0.35">
      <c r="R563" t="e">
        <v>#N/A</v>
      </c>
      <c r="S563">
        <v>3.9</v>
      </c>
      <c r="T563" t="e">
        <v>#N/A</v>
      </c>
    </row>
    <row r="564" spans="18:20" x14ac:dyDescent="0.35">
      <c r="R564" t="e">
        <v>#N/A</v>
      </c>
      <c r="S564" t="e">
        <v>#N/A</v>
      </c>
      <c r="T564">
        <v>5.0999999999999996</v>
      </c>
    </row>
    <row r="565" spans="18:20" x14ac:dyDescent="0.35">
      <c r="R565" t="e">
        <v>#N/A</v>
      </c>
      <c r="S565" t="e">
        <v>#N/A</v>
      </c>
      <c r="T565">
        <v>4.4000000000000004</v>
      </c>
    </row>
    <row r="566" spans="18:20" x14ac:dyDescent="0.35">
      <c r="R566" t="e">
        <v>#N/A</v>
      </c>
      <c r="S566" t="e">
        <v>#N/A</v>
      </c>
      <c r="T566">
        <v>4</v>
      </c>
    </row>
    <row r="567" spans="18:20" x14ac:dyDescent="0.35">
      <c r="R567">
        <v>7.9</v>
      </c>
      <c r="S567" t="e">
        <v>#N/A</v>
      </c>
      <c r="T567" t="e">
        <v>#N/A</v>
      </c>
    </row>
    <row r="568" spans="18:20" x14ac:dyDescent="0.35">
      <c r="R568" t="e">
        <v>#N/A</v>
      </c>
      <c r="S568" t="e">
        <v>#N/A</v>
      </c>
      <c r="T568">
        <v>3.6</v>
      </c>
    </row>
    <row r="569" spans="18:20" x14ac:dyDescent="0.35">
      <c r="R569" t="e">
        <v>#N/A</v>
      </c>
      <c r="S569" t="e">
        <v>#N/A</v>
      </c>
      <c r="T569">
        <v>6</v>
      </c>
    </row>
    <row r="570" spans="18:20" x14ac:dyDescent="0.35">
      <c r="R570" t="e">
        <v>#N/A</v>
      </c>
      <c r="S570" t="e">
        <v>#N/A</v>
      </c>
      <c r="T570">
        <v>4.0999999999999996</v>
      </c>
    </row>
    <row r="571" spans="18:20" x14ac:dyDescent="0.35">
      <c r="R571" t="e">
        <v>#N/A</v>
      </c>
      <c r="S571">
        <v>1.3</v>
      </c>
      <c r="T571" t="e">
        <v>#N/A</v>
      </c>
    </row>
    <row r="572" spans="18:20" x14ac:dyDescent="0.35">
      <c r="R572" t="e">
        <v>#N/A</v>
      </c>
      <c r="S572" t="e">
        <v>#N/A</v>
      </c>
      <c r="T572">
        <v>6.3</v>
      </c>
    </row>
    <row r="573" spans="18:20" x14ac:dyDescent="0.35">
      <c r="R573">
        <v>5.4</v>
      </c>
      <c r="S573" t="e">
        <v>#N/A</v>
      </c>
      <c r="T573" t="e">
        <v>#N/A</v>
      </c>
    </row>
    <row r="574" spans="18:20" x14ac:dyDescent="0.35">
      <c r="R574">
        <v>5</v>
      </c>
      <c r="S574" t="e">
        <v>#N/A</v>
      </c>
      <c r="T574" t="e">
        <v>#N/A</v>
      </c>
    </row>
    <row r="575" spans="18:20" x14ac:dyDescent="0.35">
      <c r="R575">
        <v>4.2</v>
      </c>
      <c r="S575" t="e">
        <v>#N/A</v>
      </c>
      <c r="T575" t="e">
        <v>#N/A</v>
      </c>
    </row>
    <row r="576" spans="18:20" x14ac:dyDescent="0.35">
      <c r="R576">
        <v>1.8</v>
      </c>
      <c r="S576" t="e">
        <v>#N/A</v>
      </c>
      <c r="T576" t="e">
        <v>#N/A</v>
      </c>
    </row>
    <row r="577" spans="18:20" x14ac:dyDescent="0.35">
      <c r="R577" t="e">
        <v>#N/A</v>
      </c>
      <c r="S577">
        <v>5.4</v>
      </c>
      <c r="T577" t="e">
        <v>#N/A</v>
      </c>
    </row>
    <row r="578" spans="18:20" x14ac:dyDescent="0.35">
      <c r="R578" t="e">
        <v>#N/A</v>
      </c>
      <c r="S578" t="e">
        <v>#N/A</v>
      </c>
      <c r="T578">
        <v>6.6</v>
      </c>
    </row>
    <row r="579" spans="18:20" x14ac:dyDescent="0.35">
      <c r="R579" t="e">
        <v>#N/A</v>
      </c>
      <c r="S579">
        <v>7.1</v>
      </c>
      <c r="T579" t="e">
        <v>#N/A</v>
      </c>
    </row>
    <row r="580" spans="18:20" x14ac:dyDescent="0.35">
      <c r="R580" t="e">
        <v>#N/A</v>
      </c>
      <c r="S580" t="e">
        <v>#N/A</v>
      </c>
      <c r="T580">
        <v>1.4</v>
      </c>
    </row>
    <row r="581" spans="18:20" x14ac:dyDescent="0.35">
      <c r="R581" t="e">
        <v>#N/A</v>
      </c>
      <c r="S581" t="e">
        <v>#N/A</v>
      </c>
      <c r="T581">
        <v>1.9</v>
      </c>
    </row>
    <row r="582" spans="18:20" x14ac:dyDescent="0.35">
      <c r="R582" t="e">
        <v>#N/A</v>
      </c>
      <c r="S582">
        <v>1.2</v>
      </c>
      <c r="T582" t="e">
        <v>#N/A</v>
      </c>
    </row>
    <row r="583" spans="18:20" x14ac:dyDescent="0.35">
      <c r="R583" t="e">
        <v>#N/A</v>
      </c>
      <c r="S583" t="e">
        <v>#N/A</v>
      </c>
      <c r="T583">
        <v>7.3</v>
      </c>
    </row>
    <row r="584" spans="18:20" x14ac:dyDescent="0.35">
      <c r="R584" t="e">
        <v>#N/A</v>
      </c>
      <c r="S584" t="e">
        <v>#N/A</v>
      </c>
      <c r="T584">
        <v>3.9</v>
      </c>
    </row>
    <row r="585" spans="18:20" x14ac:dyDescent="0.35">
      <c r="R585">
        <v>4</v>
      </c>
      <c r="S585" t="e">
        <v>#N/A</v>
      </c>
      <c r="T585" t="e">
        <v>#N/A</v>
      </c>
    </row>
    <row r="586" spans="18:20" x14ac:dyDescent="0.35">
      <c r="R586" t="e">
        <v>#N/A</v>
      </c>
      <c r="S586" t="e">
        <v>#N/A</v>
      </c>
      <c r="T586">
        <v>7.4</v>
      </c>
    </row>
    <row r="587" spans="18:20" x14ac:dyDescent="0.35">
      <c r="R587">
        <v>7.4</v>
      </c>
      <c r="S587" t="e">
        <v>#N/A</v>
      </c>
      <c r="T587" t="e">
        <v>#N/A</v>
      </c>
    </row>
    <row r="588" spans="18:20" x14ac:dyDescent="0.35">
      <c r="R588" t="e">
        <v>#N/A</v>
      </c>
      <c r="S588">
        <v>7.5</v>
      </c>
      <c r="T588" t="e">
        <v>#N/A</v>
      </c>
    </row>
    <row r="589" spans="18:20" x14ac:dyDescent="0.35">
      <c r="R589">
        <v>3</v>
      </c>
      <c r="S589" t="e">
        <v>#N/A</v>
      </c>
      <c r="T589" t="e">
        <v>#N/A</v>
      </c>
    </row>
    <row r="590" spans="18:20" x14ac:dyDescent="0.35">
      <c r="R590" t="e">
        <v>#N/A</v>
      </c>
      <c r="S590">
        <v>7.5</v>
      </c>
      <c r="T590" t="e">
        <v>#N/A</v>
      </c>
    </row>
    <row r="591" spans="18:20" x14ac:dyDescent="0.35">
      <c r="R591">
        <v>4.4000000000000004</v>
      </c>
      <c r="S591" t="e">
        <v>#N/A</v>
      </c>
      <c r="T591" t="e">
        <v>#N/A</v>
      </c>
    </row>
    <row r="592" spans="18:20" x14ac:dyDescent="0.35">
      <c r="R592">
        <v>7.2</v>
      </c>
      <c r="S592" t="e">
        <v>#N/A</v>
      </c>
      <c r="T592" t="e">
        <v>#N/A</v>
      </c>
    </row>
    <row r="593" spans="18:20" x14ac:dyDescent="0.35">
      <c r="R593" t="e">
        <v>#N/A</v>
      </c>
      <c r="S593" t="e">
        <v>#N/A</v>
      </c>
      <c r="T593">
        <v>2.1</v>
      </c>
    </row>
    <row r="594" spans="18:20" x14ac:dyDescent="0.35">
      <c r="R594" t="e">
        <v>#N/A</v>
      </c>
      <c r="S594" t="e">
        <v>#N/A</v>
      </c>
      <c r="T594">
        <v>5.3</v>
      </c>
    </row>
    <row r="595" spans="18:20" x14ac:dyDescent="0.35">
      <c r="R595">
        <v>2.4</v>
      </c>
      <c r="S595" t="e">
        <v>#N/A</v>
      </c>
      <c r="T595" t="e">
        <v>#N/A</v>
      </c>
    </row>
    <row r="596" spans="18:20" x14ac:dyDescent="0.35">
      <c r="R596" t="e">
        <v>#N/A</v>
      </c>
      <c r="S596" t="e">
        <v>#N/A</v>
      </c>
      <c r="T596">
        <v>4.0999999999999996</v>
      </c>
    </row>
    <row r="597" spans="18:20" x14ac:dyDescent="0.35">
      <c r="R597" t="e">
        <v>#N/A</v>
      </c>
      <c r="S597" t="e">
        <v>#N/A</v>
      </c>
      <c r="T597">
        <v>7.6</v>
      </c>
    </row>
    <row r="598" spans="18:20" x14ac:dyDescent="0.35">
      <c r="R598" t="e">
        <v>#N/A</v>
      </c>
      <c r="S598">
        <v>5.5</v>
      </c>
      <c r="T598" t="e">
        <v>#N/A</v>
      </c>
    </row>
    <row r="599" spans="18:20" x14ac:dyDescent="0.35">
      <c r="R599" t="e">
        <v>#N/A</v>
      </c>
      <c r="S599" t="e">
        <v>#N/A</v>
      </c>
      <c r="T599">
        <v>1.7</v>
      </c>
    </row>
    <row r="600" spans="18:20" x14ac:dyDescent="0.35">
      <c r="R600" t="e">
        <v>#N/A</v>
      </c>
      <c r="S600">
        <v>7.9</v>
      </c>
      <c r="T600" t="e">
        <v>#N/A</v>
      </c>
    </row>
    <row r="601" spans="18:20" x14ac:dyDescent="0.35">
      <c r="R601" t="e">
        <v>#N/A</v>
      </c>
      <c r="S601">
        <v>4.5</v>
      </c>
      <c r="T601" t="e">
        <v>#N/A</v>
      </c>
    </row>
    <row r="602" spans="18:20" x14ac:dyDescent="0.35">
      <c r="R602">
        <v>7.3</v>
      </c>
      <c r="S602" t="e">
        <v>#N/A</v>
      </c>
      <c r="T602" t="e">
        <v>#N/A</v>
      </c>
    </row>
    <row r="603" spans="18:20" x14ac:dyDescent="0.35">
      <c r="R603">
        <v>3.5</v>
      </c>
      <c r="S603" t="e">
        <v>#N/A</v>
      </c>
      <c r="T603" t="e">
        <v>#N/A</v>
      </c>
    </row>
    <row r="604" spans="18:20" x14ac:dyDescent="0.35">
      <c r="R604" t="e">
        <v>#N/A</v>
      </c>
      <c r="S604" t="e">
        <v>#N/A</v>
      </c>
      <c r="T604">
        <v>6.6</v>
      </c>
    </row>
    <row r="605" spans="18:20" x14ac:dyDescent="0.35">
      <c r="R605">
        <v>4.9000000000000004</v>
      </c>
      <c r="S605" t="e">
        <v>#N/A</v>
      </c>
      <c r="T605" t="e">
        <v>#N/A</v>
      </c>
    </row>
    <row r="606" spans="18:20" x14ac:dyDescent="0.35">
      <c r="R606" t="e">
        <v>#N/A</v>
      </c>
      <c r="S606" t="e">
        <v>#N/A</v>
      </c>
      <c r="T606">
        <v>1.5</v>
      </c>
    </row>
    <row r="607" spans="18:20" x14ac:dyDescent="0.35">
      <c r="R607" t="e">
        <v>#N/A</v>
      </c>
      <c r="S607">
        <v>6.6</v>
      </c>
      <c r="T607" t="e">
        <v>#N/A</v>
      </c>
    </row>
    <row r="608" spans="18:20" x14ac:dyDescent="0.35">
      <c r="R608" t="e">
        <v>#N/A</v>
      </c>
      <c r="S608" t="e">
        <v>#N/A</v>
      </c>
      <c r="T608">
        <v>6.2</v>
      </c>
    </row>
    <row r="609" spans="18:20" x14ac:dyDescent="0.35">
      <c r="R609" t="e">
        <v>#N/A</v>
      </c>
      <c r="S609" t="e">
        <v>#N/A</v>
      </c>
      <c r="T609">
        <v>7.3</v>
      </c>
    </row>
    <row r="610" spans="18:20" x14ac:dyDescent="0.35">
      <c r="R610" t="e">
        <v>#N/A</v>
      </c>
      <c r="S610" t="e">
        <v>#N/A</v>
      </c>
      <c r="T610">
        <v>4.3</v>
      </c>
    </row>
    <row r="611" spans="18:20" x14ac:dyDescent="0.35">
      <c r="R611" t="e">
        <v>#N/A</v>
      </c>
      <c r="S611">
        <v>3.1</v>
      </c>
      <c r="T611" t="e">
        <v>#N/A</v>
      </c>
    </row>
    <row r="612" spans="18:20" x14ac:dyDescent="0.35">
      <c r="R612" t="e">
        <v>#N/A</v>
      </c>
      <c r="S612">
        <v>1.1000000000000001</v>
      </c>
      <c r="T612" t="e">
        <v>#N/A</v>
      </c>
    </row>
    <row r="613" spans="18:20" x14ac:dyDescent="0.35">
      <c r="R613" t="e">
        <v>#N/A</v>
      </c>
      <c r="S613">
        <v>3.4</v>
      </c>
      <c r="T613" t="e">
        <v>#N/A</v>
      </c>
    </row>
    <row r="614" spans="18:20" x14ac:dyDescent="0.35">
      <c r="R614">
        <v>7.4</v>
      </c>
      <c r="S614" t="e">
        <v>#N/A</v>
      </c>
      <c r="T614" t="e">
        <v>#N/A</v>
      </c>
    </row>
    <row r="615" spans="18:20" x14ac:dyDescent="0.35">
      <c r="R615" t="e">
        <v>#N/A</v>
      </c>
      <c r="S615">
        <v>3.1</v>
      </c>
      <c r="T615" t="e">
        <v>#N/A</v>
      </c>
    </row>
    <row r="616" spans="18:20" x14ac:dyDescent="0.35">
      <c r="R616" t="e">
        <v>#N/A</v>
      </c>
      <c r="S616" t="e">
        <v>#N/A</v>
      </c>
      <c r="T616">
        <v>5.0999999999999996</v>
      </c>
    </row>
    <row r="617" spans="18:20" x14ac:dyDescent="0.35">
      <c r="R617">
        <v>1.6</v>
      </c>
      <c r="S617" t="e">
        <v>#N/A</v>
      </c>
      <c r="T617" t="e">
        <v>#N/A</v>
      </c>
    </row>
    <row r="618" spans="18:20" x14ac:dyDescent="0.35">
      <c r="R618" t="e">
        <v>#N/A</v>
      </c>
      <c r="S618">
        <v>1.6</v>
      </c>
      <c r="T618" t="e">
        <v>#N/A</v>
      </c>
    </row>
    <row r="619" spans="18:20" x14ac:dyDescent="0.35">
      <c r="R619" t="e">
        <v>#N/A</v>
      </c>
      <c r="S619" t="e">
        <v>#N/A</v>
      </c>
      <c r="T619">
        <v>5.7</v>
      </c>
    </row>
    <row r="620" spans="18:20" x14ac:dyDescent="0.35">
      <c r="R620" t="e">
        <v>#N/A</v>
      </c>
      <c r="S620">
        <v>4.3</v>
      </c>
      <c r="T620" t="e">
        <v>#N/A</v>
      </c>
    </row>
    <row r="621" spans="18:20" x14ac:dyDescent="0.35">
      <c r="R621" t="e">
        <v>#N/A</v>
      </c>
      <c r="S621">
        <v>2.4</v>
      </c>
      <c r="T621" t="e">
        <v>#N/A</v>
      </c>
    </row>
    <row r="622" spans="18:20" x14ac:dyDescent="0.35">
      <c r="R622" t="e">
        <v>#N/A</v>
      </c>
      <c r="S622">
        <v>6</v>
      </c>
      <c r="T622" t="e">
        <v>#N/A</v>
      </c>
    </row>
    <row r="623" spans="18:20" x14ac:dyDescent="0.35">
      <c r="R623" t="e">
        <v>#N/A</v>
      </c>
      <c r="S623">
        <v>5</v>
      </c>
      <c r="T623" t="e">
        <v>#N/A</v>
      </c>
    </row>
    <row r="624" spans="18:20" x14ac:dyDescent="0.35">
      <c r="R624">
        <v>4.3</v>
      </c>
      <c r="S624" t="e">
        <v>#N/A</v>
      </c>
      <c r="T624" t="e">
        <v>#N/A</v>
      </c>
    </row>
    <row r="625" spans="18:20" x14ac:dyDescent="0.35">
      <c r="R625" t="e">
        <v>#N/A</v>
      </c>
      <c r="S625">
        <v>7</v>
      </c>
      <c r="T625" t="e">
        <v>#N/A</v>
      </c>
    </row>
    <row r="626" spans="18:20" x14ac:dyDescent="0.35">
      <c r="R626" t="e">
        <v>#N/A</v>
      </c>
      <c r="S626" t="e">
        <v>#N/A</v>
      </c>
      <c r="T626">
        <v>7.5</v>
      </c>
    </row>
    <row r="627" spans="18:20" x14ac:dyDescent="0.35">
      <c r="R627">
        <v>5.9</v>
      </c>
      <c r="S627" t="e">
        <v>#N/A</v>
      </c>
      <c r="T627" t="e">
        <v>#N/A</v>
      </c>
    </row>
    <row r="628" spans="18:20" x14ac:dyDescent="0.35">
      <c r="R628">
        <v>2.5</v>
      </c>
      <c r="S628" t="e">
        <v>#N/A</v>
      </c>
      <c r="T628" t="e">
        <v>#N/A</v>
      </c>
    </row>
    <row r="629" spans="18:20" x14ac:dyDescent="0.35">
      <c r="R629">
        <v>1.8</v>
      </c>
      <c r="S629" t="e">
        <v>#N/A</v>
      </c>
      <c r="T629" t="e">
        <v>#N/A</v>
      </c>
    </row>
    <row r="630" spans="18:20" x14ac:dyDescent="0.35">
      <c r="R630">
        <v>7.9</v>
      </c>
      <c r="S630" t="e">
        <v>#N/A</v>
      </c>
      <c r="T630" t="e">
        <v>#N/A</v>
      </c>
    </row>
    <row r="631" spans="18:20" x14ac:dyDescent="0.35">
      <c r="R631">
        <v>5.9</v>
      </c>
      <c r="S631" t="e">
        <v>#N/A</v>
      </c>
      <c r="T631" t="e">
        <v>#N/A</v>
      </c>
    </row>
    <row r="632" spans="18:20" x14ac:dyDescent="0.35">
      <c r="R632" t="e">
        <v>#N/A</v>
      </c>
      <c r="S632">
        <v>2.2000000000000002</v>
      </c>
      <c r="T632" t="e">
        <v>#N/A</v>
      </c>
    </row>
    <row r="633" spans="18:20" x14ac:dyDescent="0.35">
      <c r="R633" t="e">
        <v>#N/A</v>
      </c>
      <c r="S633">
        <v>6.4</v>
      </c>
      <c r="T633" t="e">
        <v>#N/A</v>
      </c>
    </row>
    <row r="634" spans="18:20" x14ac:dyDescent="0.35">
      <c r="R634" t="e">
        <v>#N/A</v>
      </c>
      <c r="S634">
        <v>2.9</v>
      </c>
      <c r="T634" t="e">
        <v>#N/A</v>
      </c>
    </row>
    <row r="635" spans="18:20" x14ac:dyDescent="0.35">
      <c r="R635" t="e">
        <v>#N/A</v>
      </c>
      <c r="S635">
        <v>4.5999999999999996</v>
      </c>
      <c r="T635" t="e">
        <v>#N/A</v>
      </c>
    </row>
    <row r="636" spans="18:20" x14ac:dyDescent="0.35">
      <c r="R636">
        <v>5.6</v>
      </c>
      <c r="S636" t="e">
        <v>#N/A</v>
      </c>
      <c r="T636" t="e">
        <v>#N/A</v>
      </c>
    </row>
    <row r="637" spans="18:20" x14ac:dyDescent="0.35">
      <c r="R637" t="e">
        <v>#N/A</v>
      </c>
      <c r="S637" t="e">
        <v>#N/A</v>
      </c>
      <c r="T637">
        <v>7</v>
      </c>
    </row>
    <row r="638" spans="18:20" x14ac:dyDescent="0.35">
      <c r="R638" t="e">
        <v>#N/A</v>
      </c>
      <c r="S638">
        <v>4.5999999999999996</v>
      </c>
      <c r="T638" t="e">
        <v>#N/A</v>
      </c>
    </row>
    <row r="639" spans="18:20" x14ac:dyDescent="0.35">
      <c r="R639">
        <v>5.4</v>
      </c>
      <c r="S639" t="e">
        <v>#N/A</v>
      </c>
      <c r="T639" t="e">
        <v>#N/A</v>
      </c>
    </row>
    <row r="640" spans="18:20" x14ac:dyDescent="0.35">
      <c r="R640" t="e">
        <v>#N/A</v>
      </c>
      <c r="S640" t="e">
        <v>#N/A</v>
      </c>
      <c r="T640">
        <v>6.4</v>
      </c>
    </row>
    <row r="641" spans="18:20" x14ac:dyDescent="0.35">
      <c r="R641" t="e">
        <v>#N/A</v>
      </c>
      <c r="S641">
        <v>1.3</v>
      </c>
      <c r="T641" t="e">
        <v>#N/A</v>
      </c>
    </row>
    <row r="642" spans="18:20" x14ac:dyDescent="0.35">
      <c r="R642" t="e">
        <v>#N/A</v>
      </c>
      <c r="S642">
        <v>5.3</v>
      </c>
      <c r="T642" t="e">
        <v>#N/A</v>
      </c>
    </row>
    <row r="643" spans="18:20" x14ac:dyDescent="0.35">
      <c r="R643">
        <v>7.5</v>
      </c>
      <c r="S643" t="e">
        <v>#N/A</v>
      </c>
      <c r="T643" t="e">
        <v>#N/A</v>
      </c>
    </row>
    <row r="644" spans="18:20" x14ac:dyDescent="0.35">
      <c r="R644" t="e">
        <v>#N/A</v>
      </c>
      <c r="S644">
        <v>7.2</v>
      </c>
      <c r="T644" t="e">
        <v>#N/A</v>
      </c>
    </row>
    <row r="645" spans="18:20" x14ac:dyDescent="0.35">
      <c r="R645">
        <v>5.4</v>
      </c>
      <c r="S645" t="e">
        <v>#N/A</v>
      </c>
      <c r="T645" t="e">
        <v>#N/A</v>
      </c>
    </row>
    <row r="646" spans="18:20" x14ac:dyDescent="0.35">
      <c r="R646" t="e">
        <v>#N/A</v>
      </c>
      <c r="S646" t="e">
        <v>#N/A</v>
      </c>
      <c r="T646">
        <v>3.4</v>
      </c>
    </row>
    <row r="647" spans="18:20" x14ac:dyDescent="0.35">
      <c r="R647" t="e">
        <v>#N/A</v>
      </c>
      <c r="S647">
        <v>2.4</v>
      </c>
      <c r="T647" t="e">
        <v>#N/A</v>
      </c>
    </row>
    <row r="648" spans="18:20" x14ac:dyDescent="0.35">
      <c r="R648">
        <v>2.4</v>
      </c>
      <c r="S648" t="e">
        <v>#N/A</v>
      </c>
      <c r="T648" t="e">
        <v>#N/A</v>
      </c>
    </row>
    <row r="649" spans="18:20" x14ac:dyDescent="0.35">
      <c r="R649" t="e">
        <v>#N/A</v>
      </c>
      <c r="S649" t="e">
        <v>#N/A</v>
      </c>
      <c r="T649">
        <v>8</v>
      </c>
    </row>
    <row r="650" spans="18:20" x14ac:dyDescent="0.35">
      <c r="R650">
        <v>7.9</v>
      </c>
      <c r="S650" t="e">
        <v>#N/A</v>
      </c>
      <c r="T650" t="e">
        <v>#N/A</v>
      </c>
    </row>
    <row r="651" spans="18:20" x14ac:dyDescent="0.35">
      <c r="R651">
        <v>6.9</v>
      </c>
      <c r="S651" t="e">
        <v>#N/A</v>
      </c>
      <c r="T651" t="e">
        <v>#N/A</v>
      </c>
    </row>
    <row r="652" spans="18:20" x14ac:dyDescent="0.35">
      <c r="R652">
        <v>5.4</v>
      </c>
      <c r="S652" t="e">
        <v>#N/A</v>
      </c>
      <c r="T652" t="e">
        <v>#N/A</v>
      </c>
    </row>
    <row r="653" spans="18:20" x14ac:dyDescent="0.35">
      <c r="R653" t="e">
        <v>#N/A</v>
      </c>
      <c r="S653" t="e">
        <v>#N/A</v>
      </c>
      <c r="T653">
        <v>4</v>
      </c>
    </row>
    <row r="654" spans="18:20" x14ac:dyDescent="0.35">
      <c r="R654">
        <v>8</v>
      </c>
      <c r="S654" t="e">
        <v>#N/A</v>
      </c>
      <c r="T654" t="e">
        <v>#N/A</v>
      </c>
    </row>
    <row r="655" spans="18:20" x14ac:dyDescent="0.35">
      <c r="R655" t="e">
        <v>#N/A</v>
      </c>
      <c r="S655" t="e">
        <v>#N/A</v>
      </c>
      <c r="T655">
        <v>3.8</v>
      </c>
    </row>
    <row r="656" spans="18:20" x14ac:dyDescent="0.35">
      <c r="R656" t="e">
        <v>#N/A</v>
      </c>
      <c r="S656" t="e">
        <v>#N/A</v>
      </c>
      <c r="T656">
        <v>6.4</v>
      </c>
    </row>
    <row r="657" spans="18:20" x14ac:dyDescent="0.35">
      <c r="R657" t="e">
        <v>#N/A</v>
      </c>
      <c r="S657" t="e">
        <v>#N/A</v>
      </c>
      <c r="T657">
        <v>4.5</v>
      </c>
    </row>
    <row r="658" spans="18:20" x14ac:dyDescent="0.35">
      <c r="R658" t="e">
        <v>#N/A</v>
      </c>
      <c r="S658">
        <v>5.2</v>
      </c>
      <c r="T658" t="e">
        <v>#N/A</v>
      </c>
    </row>
    <row r="659" spans="18:20" x14ac:dyDescent="0.35">
      <c r="R659" t="e">
        <v>#N/A</v>
      </c>
      <c r="S659">
        <v>7.9</v>
      </c>
      <c r="T659" t="e">
        <v>#N/A</v>
      </c>
    </row>
    <row r="660" spans="18:20" x14ac:dyDescent="0.35">
      <c r="R660" t="e">
        <v>#N/A</v>
      </c>
      <c r="S660">
        <v>2.2999999999999998</v>
      </c>
      <c r="T660" t="e">
        <v>#N/A</v>
      </c>
    </row>
    <row r="661" spans="18:20" x14ac:dyDescent="0.35">
      <c r="R661" t="e">
        <v>#N/A</v>
      </c>
      <c r="S661" t="e">
        <v>#N/A</v>
      </c>
      <c r="T661">
        <v>4.4000000000000004</v>
      </c>
    </row>
    <row r="662" spans="18:20" x14ac:dyDescent="0.35">
      <c r="R662" t="e">
        <v>#N/A</v>
      </c>
      <c r="S662">
        <v>4</v>
      </c>
      <c r="T662" t="e">
        <v>#N/A</v>
      </c>
    </row>
    <row r="663" spans="18:20" x14ac:dyDescent="0.35">
      <c r="R663" t="e">
        <v>#N/A</v>
      </c>
      <c r="S663">
        <v>3.2</v>
      </c>
      <c r="T663" t="e">
        <v>#N/A</v>
      </c>
    </row>
    <row r="664" spans="18:20" x14ac:dyDescent="0.35">
      <c r="R664" t="e">
        <v>#N/A</v>
      </c>
      <c r="S664" t="e">
        <v>#N/A</v>
      </c>
      <c r="T664">
        <v>7.4</v>
      </c>
    </row>
    <row r="665" spans="18:20" x14ac:dyDescent="0.35">
      <c r="R665">
        <v>1.8</v>
      </c>
      <c r="S665" t="e">
        <v>#N/A</v>
      </c>
      <c r="T665" t="e">
        <v>#N/A</v>
      </c>
    </row>
    <row r="666" spans="18:20" x14ac:dyDescent="0.35">
      <c r="R666" t="e">
        <v>#N/A</v>
      </c>
      <c r="S666" t="e">
        <v>#N/A</v>
      </c>
      <c r="T666">
        <v>2.2000000000000002</v>
      </c>
    </row>
    <row r="667" spans="18:20" x14ac:dyDescent="0.35">
      <c r="R667" t="e">
        <v>#N/A</v>
      </c>
      <c r="S667" t="e">
        <v>#N/A</v>
      </c>
      <c r="T667">
        <v>2.7</v>
      </c>
    </row>
    <row r="668" spans="18:20" x14ac:dyDescent="0.35">
      <c r="R668" t="e">
        <v>#N/A</v>
      </c>
      <c r="S668" t="e">
        <v>#N/A</v>
      </c>
      <c r="T668">
        <v>3.9</v>
      </c>
    </row>
    <row r="669" spans="18:20" x14ac:dyDescent="0.35">
      <c r="R669" t="e">
        <v>#N/A</v>
      </c>
      <c r="S669" t="e">
        <v>#N/A</v>
      </c>
      <c r="T669">
        <v>7.1</v>
      </c>
    </row>
    <row r="670" spans="18:20" x14ac:dyDescent="0.35">
      <c r="R670">
        <v>2.5</v>
      </c>
      <c r="S670" t="e">
        <v>#N/A</v>
      </c>
      <c r="T670" t="e">
        <v>#N/A</v>
      </c>
    </row>
    <row r="671" spans="18:20" x14ac:dyDescent="0.35">
      <c r="R671" t="e">
        <v>#N/A</v>
      </c>
      <c r="S671" t="e">
        <v>#N/A</v>
      </c>
      <c r="T671">
        <v>5.2</v>
      </c>
    </row>
    <row r="672" spans="18:20" x14ac:dyDescent="0.35">
      <c r="R672" t="e">
        <v>#N/A</v>
      </c>
      <c r="S672" t="e">
        <v>#N/A</v>
      </c>
      <c r="T672">
        <v>4</v>
      </c>
    </row>
    <row r="673" spans="18:20" x14ac:dyDescent="0.35">
      <c r="R673">
        <v>2</v>
      </c>
      <c r="S673" t="e">
        <v>#N/A</v>
      </c>
      <c r="T673" t="e">
        <v>#N/A</v>
      </c>
    </row>
    <row r="674" spans="18:20" x14ac:dyDescent="0.35">
      <c r="R674" t="e">
        <v>#N/A</v>
      </c>
      <c r="S674">
        <v>7.8</v>
      </c>
      <c r="T674" t="e">
        <v>#N/A</v>
      </c>
    </row>
    <row r="675" spans="18:20" x14ac:dyDescent="0.35">
      <c r="R675" t="e">
        <v>#N/A</v>
      </c>
      <c r="S675">
        <v>2.2000000000000002</v>
      </c>
      <c r="T675" t="e">
        <v>#N/A</v>
      </c>
    </row>
    <row r="676" spans="18:20" x14ac:dyDescent="0.35">
      <c r="R676">
        <v>5.3</v>
      </c>
      <c r="S676" t="e">
        <v>#N/A</v>
      </c>
      <c r="T676" t="e">
        <v>#N/A</v>
      </c>
    </row>
    <row r="677" spans="18:20" x14ac:dyDescent="0.35">
      <c r="R677" t="e">
        <v>#N/A</v>
      </c>
      <c r="S677">
        <v>3.4</v>
      </c>
      <c r="T677" t="e">
        <v>#N/A</v>
      </c>
    </row>
    <row r="678" spans="18:20" x14ac:dyDescent="0.35">
      <c r="R678">
        <v>3.6</v>
      </c>
      <c r="S678" t="e">
        <v>#N/A</v>
      </c>
      <c r="T678" t="e">
        <v>#N/A</v>
      </c>
    </row>
    <row r="679" spans="18:20" x14ac:dyDescent="0.35">
      <c r="R679" t="e">
        <v>#N/A</v>
      </c>
      <c r="S679" t="e">
        <v>#N/A</v>
      </c>
      <c r="T679">
        <v>7</v>
      </c>
    </row>
    <row r="680" spans="18:20" x14ac:dyDescent="0.35">
      <c r="R680" t="e">
        <v>#N/A</v>
      </c>
      <c r="S680">
        <v>5.0999999999999996</v>
      </c>
      <c r="T680" t="e">
        <v>#N/A</v>
      </c>
    </row>
    <row r="681" spans="18:20" x14ac:dyDescent="0.35">
      <c r="R681">
        <v>2.1</v>
      </c>
      <c r="S681" t="e">
        <v>#N/A</v>
      </c>
      <c r="T681" t="e">
        <v>#N/A</v>
      </c>
    </row>
    <row r="682" spans="18:20" x14ac:dyDescent="0.35">
      <c r="R682" t="e">
        <v>#N/A</v>
      </c>
      <c r="S682">
        <v>2.1</v>
      </c>
      <c r="T682" t="e">
        <v>#N/A</v>
      </c>
    </row>
    <row r="683" spans="18:20" x14ac:dyDescent="0.35">
      <c r="R683" t="e">
        <v>#N/A</v>
      </c>
      <c r="S683" t="e">
        <v>#N/A</v>
      </c>
      <c r="T683">
        <v>5.6</v>
      </c>
    </row>
    <row r="684" spans="18:20" x14ac:dyDescent="0.35">
      <c r="R684" t="e">
        <v>#N/A</v>
      </c>
      <c r="S684">
        <v>7</v>
      </c>
      <c r="T684" t="e">
        <v>#N/A</v>
      </c>
    </row>
    <row r="685" spans="18:20" x14ac:dyDescent="0.35">
      <c r="R685">
        <v>6.2</v>
      </c>
      <c r="S685" t="e">
        <v>#N/A</v>
      </c>
      <c r="T685" t="e">
        <v>#N/A</v>
      </c>
    </row>
    <row r="686" spans="18:20" x14ac:dyDescent="0.35">
      <c r="R686" t="e">
        <v>#N/A</v>
      </c>
      <c r="S686">
        <v>6</v>
      </c>
      <c r="T686" t="e">
        <v>#N/A</v>
      </c>
    </row>
    <row r="687" spans="18:20" x14ac:dyDescent="0.35">
      <c r="R687" t="e">
        <v>#N/A</v>
      </c>
      <c r="S687" t="e">
        <v>#N/A</v>
      </c>
      <c r="T687">
        <v>3.9</v>
      </c>
    </row>
    <row r="688" spans="18:20" x14ac:dyDescent="0.35">
      <c r="R688" t="e">
        <v>#N/A</v>
      </c>
      <c r="S688">
        <v>5.9</v>
      </c>
      <c r="T688" t="e">
        <v>#N/A</v>
      </c>
    </row>
    <row r="689" spans="18:20" x14ac:dyDescent="0.35">
      <c r="R689" t="e">
        <v>#N/A</v>
      </c>
      <c r="S689">
        <v>7.5</v>
      </c>
      <c r="T689" t="e">
        <v>#N/A</v>
      </c>
    </row>
    <row r="690" spans="18:20" x14ac:dyDescent="0.35">
      <c r="R690" t="e">
        <v>#N/A</v>
      </c>
      <c r="S690" t="e">
        <v>#N/A</v>
      </c>
      <c r="T690">
        <v>1.5</v>
      </c>
    </row>
    <row r="691" spans="18:20" x14ac:dyDescent="0.35">
      <c r="R691">
        <v>1.3</v>
      </c>
      <c r="S691" t="e">
        <v>#N/A</v>
      </c>
      <c r="T691" t="e">
        <v>#N/A</v>
      </c>
    </row>
    <row r="692" spans="18:20" x14ac:dyDescent="0.35">
      <c r="R692" t="e">
        <v>#N/A</v>
      </c>
      <c r="S692" t="e">
        <v>#N/A</v>
      </c>
      <c r="T692">
        <v>5</v>
      </c>
    </row>
    <row r="693" spans="18:20" x14ac:dyDescent="0.35">
      <c r="R693">
        <v>5.9</v>
      </c>
      <c r="S693" t="e">
        <v>#N/A</v>
      </c>
      <c r="T693" t="e">
        <v>#N/A</v>
      </c>
    </row>
    <row r="694" spans="18:20" x14ac:dyDescent="0.35">
      <c r="R694" t="e">
        <v>#N/A</v>
      </c>
      <c r="S694">
        <v>3.5</v>
      </c>
      <c r="T694" t="e">
        <v>#N/A</v>
      </c>
    </row>
    <row r="695" spans="18:20" x14ac:dyDescent="0.35">
      <c r="R695">
        <v>6.5</v>
      </c>
      <c r="S695" t="e">
        <v>#N/A</v>
      </c>
      <c r="T695" t="e">
        <v>#N/A</v>
      </c>
    </row>
    <row r="696" spans="18:20" x14ac:dyDescent="0.35">
      <c r="R696">
        <v>4</v>
      </c>
      <c r="S696" t="e">
        <v>#N/A</v>
      </c>
      <c r="T696" t="e">
        <v>#N/A</v>
      </c>
    </row>
    <row r="697" spans="18:20" x14ac:dyDescent="0.35">
      <c r="R697" t="e">
        <v>#N/A</v>
      </c>
      <c r="S697">
        <v>1.6</v>
      </c>
      <c r="T697" t="e">
        <v>#N/A</v>
      </c>
    </row>
    <row r="698" spans="18:20" x14ac:dyDescent="0.35">
      <c r="R698" t="e">
        <v>#N/A</v>
      </c>
      <c r="S698" t="e">
        <v>#N/A</v>
      </c>
      <c r="T698">
        <v>1.4</v>
      </c>
    </row>
    <row r="699" spans="18:20" x14ac:dyDescent="0.35">
      <c r="R699">
        <v>5</v>
      </c>
      <c r="S699" t="e">
        <v>#N/A</v>
      </c>
      <c r="T699" t="e">
        <v>#N/A</v>
      </c>
    </row>
    <row r="700" spans="18:20" x14ac:dyDescent="0.35">
      <c r="R700">
        <v>4.8</v>
      </c>
      <c r="S700" t="e">
        <v>#N/A</v>
      </c>
      <c r="T700" t="e">
        <v>#N/A</v>
      </c>
    </row>
    <row r="701" spans="18:20" x14ac:dyDescent="0.35">
      <c r="R701" t="e">
        <v>#N/A</v>
      </c>
      <c r="S701" t="e">
        <v>#N/A</v>
      </c>
      <c r="T701">
        <v>3.9</v>
      </c>
    </row>
    <row r="702" spans="18:20" x14ac:dyDescent="0.35">
      <c r="R702">
        <v>7.9</v>
      </c>
      <c r="S702" t="e">
        <v>#N/A</v>
      </c>
      <c r="T702" t="e">
        <v>#N/A</v>
      </c>
    </row>
    <row r="703" spans="18:20" x14ac:dyDescent="0.35">
      <c r="R703" t="e">
        <v>#N/A</v>
      </c>
      <c r="S703">
        <v>5.8</v>
      </c>
      <c r="T703" t="e">
        <v>#N/A</v>
      </c>
    </row>
    <row r="704" spans="18:20" x14ac:dyDescent="0.35">
      <c r="R704" t="e">
        <v>#N/A</v>
      </c>
      <c r="S704" t="e">
        <v>#N/A</v>
      </c>
      <c r="T704">
        <v>3.5</v>
      </c>
    </row>
    <row r="705" spans="18:20" x14ac:dyDescent="0.35">
      <c r="R705" t="e">
        <v>#N/A</v>
      </c>
      <c r="S705">
        <v>5.8</v>
      </c>
      <c r="T705" t="e">
        <v>#N/A</v>
      </c>
    </row>
    <row r="706" spans="18:20" x14ac:dyDescent="0.35">
      <c r="R706">
        <v>2.5</v>
      </c>
      <c r="S706" t="e">
        <v>#N/A</v>
      </c>
      <c r="T706" t="e">
        <v>#N/A</v>
      </c>
    </row>
    <row r="707" spans="18:20" x14ac:dyDescent="0.35">
      <c r="R707" t="e">
        <v>#N/A</v>
      </c>
      <c r="S707" t="e">
        <v>#N/A</v>
      </c>
      <c r="T707">
        <v>5.2</v>
      </c>
    </row>
    <row r="708" spans="18:20" x14ac:dyDescent="0.35">
      <c r="R708" t="e">
        <v>#N/A</v>
      </c>
      <c r="S708">
        <v>1.3</v>
      </c>
      <c r="T708" t="e">
        <v>#N/A</v>
      </c>
    </row>
    <row r="709" spans="18:20" x14ac:dyDescent="0.35">
      <c r="R709" t="e">
        <v>#N/A</v>
      </c>
      <c r="S709" t="e">
        <v>#N/A</v>
      </c>
      <c r="T709">
        <v>3</v>
      </c>
    </row>
    <row r="710" spans="18:20" x14ac:dyDescent="0.35">
      <c r="R710">
        <v>5.9</v>
      </c>
      <c r="S710" t="e">
        <v>#N/A</v>
      </c>
      <c r="T710" t="e">
        <v>#N/A</v>
      </c>
    </row>
    <row r="711" spans="18:20" x14ac:dyDescent="0.35">
      <c r="R711" t="e">
        <v>#N/A</v>
      </c>
      <c r="S711">
        <v>7.8</v>
      </c>
      <c r="T711" t="e">
        <v>#N/A</v>
      </c>
    </row>
    <row r="712" spans="18:20" x14ac:dyDescent="0.35">
      <c r="R712">
        <v>7.9</v>
      </c>
      <c r="S712" t="e">
        <v>#N/A</v>
      </c>
      <c r="T712" t="e">
        <v>#N/A</v>
      </c>
    </row>
    <row r="713" spans="18:20" x14ac:dyDescent="0.35">
      <c r="R713" t="e">
        <v>#N/A</v>
      </c>
      <c r="S713">
        <v>2.5</v>
      </c>
      <c r="T713" t="e">
        <v>#N/A</v>
      </c>
    </row>
    <row r="714" spans="18:20" x14ac:dyDescent="0.35">
      <c r="R714" t="e">
        <v>#N/A</v>
      </c>
      <c r="S714">
        <v>4.0999999999999996</v>
      </c>
      <c r="T714" t="e">
        <v>#N/A</v>
      </c>
    </row>
    <row r="715" spans="18:20" x14ac:dyDescent="0.35">
      <c r="R715">
        <v>6.4</v>
      </c>
      <c r="S715" t="e">
        <v>#N/A</v>
      </c>
      <c r="T715" t="e">
        <v>#N/A</v>
      </c>
    </row>
    <row r="716" spans="18:20" x14ac:dyDescent="0.35">
      <c r="R716" t="e">
        <v>#N/A</v>
      </c>
      <c r="S716" t="e">
        <v>#N/A</v>
      </c>
      <c r="T716">
        <v>5.2</v>
      </c>
    </row>
    <row r="717" spans="18:20" x14ac:dyDescent="0.35">
      <c r="R717">
        <v>1.2</v>
      </c>
      <c r="S717" t="e">
        <v>#N/A</v>
      </c>
      <c r="T717" t="e">
        <v>#N/A</v>
      </c>
    </row>
    <row r="718" spans="18:20" x14ac:dyDescent="0.35">
      <c r="R718" t="e">
        <v>#N/A</v>
      </c>
      <c r="S718" t="e">
        <v>#N/A</v>
      </c>
      <c r="T718">
        <v>5.2</v>
      </c>
    </row>
    <row r="719" spans="18:20" x14ac:dyDescent="0.35">
      <c r="R719">
        <v>2.7</v>
      </c>
      <c r="S719" t="e">
        <v>#N/A</v>
      </c>
      <c r="T719" t="e">
        <v>#N/A</v>
      </c>
    </row>
    <row r="720" spans="18:20" x14ac:dyDescent="0.35">
      <c r="R720" t="e">
        <v>#N/A</v>
      </c>
      <c r="S720" t="e">
        <v>#N/A</v>
      </c>
      <c r="T720">
        <v>1.5</v>
      </c>
    </row>
    <row r="721" spans="18:20" x14ac:dyDescent="0.35">
      <c r="R721" t="e">
        <v>#N/A</v>
      </c>
      <c r="S721" t="e">
        <v>#N/A</v>
      </c>
      <c r="T721">
        <v>1.2</v>
      </c>
    </row>
    <row r="722" spans="18:20" x14ac:dyDescent="0.35">
      <c r="R722" t="e">
        <v>#N/A</v>
      </c>
      <c r="S722">
        <v>2.2999999999999998</v>
      </c>
      <c r="T722" t="e">
        <v>#N/A</v>
      </c>
    </row>
    <row r="723" spans="18:20" x14ac:dyDescent="0.35">
      <c r="R723">
        <v>2.1</v>
      </c>
      <c r="S723" t="e">
        <v>#N/A</v>
      </c>
      <c r="T723" t="e">
        <v>#N/A</v>
      </c>
    </row>
    <row r="724" spans="18:20" x14ac:dyDescent="0.35">
      <c r="R724" t="e">
        <v>#N/A</v>
      </c>
      <c r="S724">
        <v>2.1</v>
      </c>
      <c r="T724" t="e">
        <v>#N/A</v>
      </c>
    </row>
    <row r="725" spans="18:20" x14ac:dyDescent="0.35">
      <c r="R725" t="e">
        <v>#N/A</v>
      </c>
      <c r="S725" t="e">
        <v>#N/A</v>
      </c>
      <c r="T725">
        <v>2.5</v>
      </c>
    </row>
    <row r="726" spans="18:20" x14ac:dyDescent="0.35">
      <c r="R726" t="e">
        <v>#N/A</v>
      </c>
      <c r="S726">
        <v>3.2</v>
      </c>
      <c r="T726" t="e">
        <v>#N/A</v>
      </c>
    </row>
    <row r="727" spans="18:20" x14ac:dyDescent="0.35">
      <c r="R727">
        <v>5.4</v>
      </c>
      <c r="S727" t="e">
        <v>#N/A</v>
      </c>
      <c r="T727" t="e">
        <v>#N/A</v>
      </c>
    </row>
    <row r="728" spans="18:20" x14ac:dyDescent="0.35">
      <c r="R728" t="e">
        <v>#N/A</v>
      </c>
      <c r="S728" t="e">
        <v>#N/A</v>
      </c>
      <c r="T728">
        <v>5.8</v>
      </c>
    </row>
    <row r="729" spans="18:20" x14ac:dyDescent="0.35">
      <c r="R729">
        <v>1.3</v>
      </c>
      <c r="S729" t="e">
        <v>#N/A</v>
      </c>
      <c r="T729" t="e">
        <v>#N/A</v>
      </c>
    </row>
    <row r="730" spans="18:20" x14ac:dyDescent="0.35">
      <c r="R730">
        <v>3.8</v>
      </c>
      <c r="S730" t="e">
        <v>#N/A</v>
      </c>
      <c r="T730" t="e">
        <v>#N/A</v>
      </c>
    </row>
    <row r="731" spans="18:20" x14ac:dyDescent="0.35">
      <c r="R731" t="e">
        <v>#N/A</v>
      </c>
      <c r="S731" t="e">
        <v>#N/A</v>
      </c>
      <c r="T731">
        <v>1.5</v>
      </c>
    </row>
    <row r="732" spans="18:20" x14ac:dyDescent="0.35">
      <c r="R732">
        <v>6.5</v>
      </c>
      <c r="S732" t="e">
        <v>#N/A</v>
      </c>
      <c r="T732" t="e">
        <v>#N/A</v>
      </c>
    </row>
    <row r="733" spans="18:20" x14ac:dyDescent="0.35">
      <c r="R733" t="e">
        <v>#N/A</v>
      </c>
      <c r="S733">
        <v>7.2</v>
      </c>
      <c r="T733" t="e">
        <v>#N/A</v>
      </c>
    </row>
    <row r="734" spans="18:20" x14ac:dyDescent="0.35">
      <c r="R734">
        <v>3.8</v>
      </c>
      <c r="S734" t="e">
        <v>#N/A</v>
      </c>
      <c r="T734" t="e">
        <v>#N/A</v>
      </c>
    </row>
    <row r="735" spans="18:20" x14ac:dyDescent="0.35">
      <c r="R735" t="e">
        <v>#N/A</v>
      </c>
      <c r="S735" t="e">
        <v>#N/A</v>
      </c>
      <c r="T735">
        <v>5.4</v>
      </c>
    </row>
    <row r="736" spans="18:20" x14ac:dyDescent="0.35">
      <c r="R736" t="e">
        <v>#N/A</v>
      </c>
      <c r="S736" t="e">
        <v>#N/A</v>
      </c>
      <c r="T736">
        <v>1.4</v>
      </c>
    </row>
    <row r="737" spans="18:20" x14ac:dyDescent="0.35">
      <c r="R737" t="e">
        <v>#N/A</v>
      </c>
      <c r="S737" t="e">
        <v>#N/A</v>
      </c>
      <c r="T737">
        <v>5</v>
      </c>
    </row>
    <row r="738" spans="18:20" x14ac:dyDescent="0.35">
      <c r="R738" t="e">
        <v>#N/A</v>
      </c>
      <c r="S738">
        <v>5.5</v>
      </c>
      <c r="T738" t="e">
        <v>#N/A</v>
      </c>
    </row>
    <row r="739" spans="18:20" x14ac:dyDescent="0.35">
      <c r="R739">
        <v>2.8</v>
      </c>
      <c r="S739" t="e">
        <v>#N/A</v>
      </c>
      <c r="T739" t="e">
        <v>#N/A</v>
      </c>
    </row>
    <row r="740" spans="18:20" x14ac:dyDescent="0.35">
      <c r="R740" t="e">
        <v>#N/A</v>
      </c>
      <c r="S740">
        <v>7</v>
      </c>
      <c r="T740" t="e">
        <v>#N/A</v>
      </c>
    </row>
    <row r="741" spans="18:20" x14ac:dyDescent="0.35">
      <c r="R741" t="e">
        <v>#N/A</v>
      </c>
      <c r="S741">
        <v>4.0999999999999996</v>
      </c>
      <c r="T741" t="e">
        <v>#N/A</v>
      </c>
    </row>
    <row r="742" spans="18:20" x14ac:dyDescent="0.35">
      <c r="R742" t="e">
        <v>#N/A</v>
      </c>
      <c r="S742" t="e">
        <v>#N/A</v>
      </c>
      <c r="T742">
        <v>5.3</v>
      </c>
    </row>
    <row r="743" spans="18:20" x14ac:dyDescent="0.35">
      <c r="R743">
        <v>4.3</v>
      </c>
      <c r="S743" t="e">
        <v>#N/A</v>
      </c>
      <c r="T743" t="e">
        <v>#N/A</v>
      </c>
    </row>
    <row r="744" spans="18:20" x14ac:dyDescent="0.35">
      <c r="R744" t="e">
        <v>#N/A</v>
      </c>
      <c r="S744" t="e">
        <v>#N/A</v>
      </c>
      <c r="T744">
        <v>6.1</v>
      </c>
    </row>
    <row r="745" spans="18:20" x14ac:dyDescent="0.35">
      <c r="R745">
        <v>3.8</v>
      </c>
      <c r="S745" t="e">
        <v>#N/A</v>
      </c>
      <c r="T745" t="e">
        <v>#N/A</v>
      </c>
    </row>
    <row r="746" spans="18:20" x14ac:dyDescent="0.35">
      <c r="R746">
        <v>5.6</v>
      </c>
      <c r="S746" t="e">
        <v>#N/A</v>
      </c>
      <c r="T746" t="e">
        <v>#N/A</v>
      </c>
    </row>
    <row r="747" spans="18:20" x14ac:dyDescent="0.35">
      <c r="R747">
        <v>4.0999999999999996</v>
      </c>
      <c r="S747" t="e">
        <v>#N/A</v>
      </c>
      <c r="T747" t="e">
        <v>#N/A</v>
      </c>
    </row>
    <row r="748" spans="18:20" x14ac:dyDescent="0.35">
      <c r="R748">
        <v>3.3</v>
      </c>
      <c r="S748" t="e">
        <v>#N/A</v>
      </c>
      <c r="T748" t="e">
        <v>#N/A</v>
      </c>
    </row>
    <row r="749" spans="18:20" x14ac:dyDescent="0.35">
      <c r="R749" t="e">
        <v>#N/A</v>
      </c>
      <c r="S749" t="e">
        <v>#N/A</v>
      </c>
      <c r="T749">
        <v>1.4</v>
      </c>
    </row>
    <row r="750" spans="18:20" x14ac:dyDescent="0.35">
      <c r="R750" t="e">
        <v>#N/A</v>
      </c>
      <c r="S750" t="e">
        <v>#N/A</v>
      </c>
      <c r="T750">
        <v>2.7</v>
      </c>
    </row>
    <row r="751" spans="18:20" x14ac:dyDescent="0.35">
      <c r="R751">
        <v>3.9</v>
      </c>
      <c r="S751" t="e">
        <v>#N/A</v>
      </c>
      <c r="T751" t="e">
        <v>#N/A</v>
      </c>
    </row>
    <row r="752" spans="18:20" x14ac:dyDescent="0.35">
      <c r="R752" t="e">
        <v>#N/A</v>
      </c>
      <c r="S752">
        <v>5.5</v>
      </c>
      <c r="T752" t="e">
        <v>#N/A</v>
      </c>
    </row>
    <row r="753" spans="18:20" x14ac:dyDescent="0.35">
      <c r="R753" t="e">
        <v>#N/A</v>
      </c>
      <c r="S753">
        <v>3.1</v>
      </c>
      <c r="T753" t="e">
        <v>#N/A</v>
      </c>
    </row>
    <row r="754" spans="18:20" x14ac:dyDescent="0.35">
      <c r="R754" t="e">
        <v>#N/A</v>
      </c>
      <c r="S754" t="e">
        <v>#N/A</v>
      </c>
      <c r="T754">
        <v>3.8</v>
      </c>
    </row>
    <row r="755" spans="18:20" x14ac:dyDescent="0.35">
      <c r="R755">
        <v>5.6</v>
      </c>
      <c r="S755" t="e">
        <v>#N/A</v>
      </c>
      <c r="T755" t="e">
        <v>#N/A</v>
      </c>
    </row>
    <row r="756" spans="18:20" x14ac:dyDescent="0.35">
      <c r="R756" t="e">
        <v>#N/A</v>
      </c>
      <c r="S756" t="e">
        <v>#N/A</v>
      </c>
      <c r="T756">
        <v>4.2</v>
      </c>
    </row>
    <row r="757" spans="18:20" x14ac:dyDescent="0.35">
      <c r="R757" t="e">
        <v>#N/A</v>
      </c>
      <c r="S757">
        <v>4.7</v>
      </c>
      <c r="T757" t="e">
        <v>#N/A</v>
      </c>
    </row>
    <row r="758" spans="18:20" x14ac:dyDescent="0.35">
      <c r="R758">
        <v>5.8</v>
      </c>
      <c r="S758" t="e">
        <v>#N/A</v>
      </c>
      <c r="T758" t="e">
        <v>#N/A</v>
      </c>
    </row>
    <row r="759" spans="18:20" x14ac:dyDescent="0.35">
      <c r="R759" t="e">
        <v>#N/A</v>
      </c>
      <c r="S759">
        <v>3.6</v>
      </c>
      <c r="T759" t="e">
        <v>#N/A</v>
      </c>
    </row>
    <row r="760" spans="18:20" x14ac:dyDescent="0.35">
      <c r="R760">
        <v>2.9</v>
      </c>
      <c r="S760" t="e">
        <v>#N/A</v>
      </c>
      <c r="T760" t="e">
        <v>#N/A</v>
      </c>
    </row>
    <row r="761" spans="18:20" x14ac:dyDescent="0.35">
      <c r="R761" t="e">
        <v>#N/A</v>
      </c>
      <c r="S761" t="e">
        <v>#N/A</v>
      </c>
      <c r="T761">
        <v>1.8</v>
      </c>
    </row>
    <row r="762" spans="18:20" x14ac:dyDescent="0.35">
      <c r="R762">
        <v>6.4</v>
      </c>
      <c r="S762" t="e">
        <v>#N/A</v>
      </c>
      <c r="T762" t="e">
        <v>#N/A</v>
      </c>
    </row>
    <row r="763" spans="18:20" x14ac:dyDescent="0.35">
      <c r="R763">
        <v>3.4</v>
      </c>
      <c r="S763" t="e">
        <v>#N/A</v>
      </c>
      <c r="T763" t="e">
        <v>#N/A</v>
      </c>
    </row>
    <row r="764" spans="18:20" x14ac:dyDescent="0.35">
      <c r="R764">
        <v>7.9</v>
      </c>
      <c r="S764" t="e">
        <v>#N/A</v>
      </c>
      <c r="T764" t="e">
        <v>#N/A</v>
      </c>
    </row>
    <row r="765" spans="18:20" x14ac:dyDescent="0.35">
      <c r="R765">
        <v>5.2</v>
      </c>
      <c r="S765" t="e">
        <v>#N/A</v>
      </c>
      <c r="T765" t="e">
        <v>#N/A</v>
      </c>
    </row>
    <row r="766" spans="18:20" x14ac:dyDescent="0.35">
      <c r="R766">
        <v>3.2</v>
      </c>
      <c r="S766" t="e">
        <v>#N/A</v>
      </c>
      <c r="T766" t="e">
        <v>#N/A</v>
      </c>
    </row>
    <row r="767" spans="18:20" x14ac:dyDescent="0.35">
      <c r="R767" t="e">
        <v>#N/A</v>
      </c>
      <c r="S767" t="e">
        <v>#N/A</v>
      </c>
      <c r="T767">
        <v>6.9</v>
      </c>
    </row>
    <row r="768" spans="18:20" x14ac:dyDescent="0.35">
      <c r="R768">
        <v>7.6</v>
      </c>
      <c r="S768" t="e">
        <v>#N/A</v>
      </c>
      <c r="T768" t="e">
        <v>#N/A</v>
      </c>
    </row>
    <row r="769" spans="18:20" x14ac:dyDescent="0.35">
      <c r="R769">
        <v>4.9000000000000004</v>
      </c>
      <c r="S769" t="e">
        <v>#N/A</v>
      </c>
      <c r="T769" t="e">
        <v>#N/A</v>
      </c>
    </row>
    <row r="770" spans="18:20" x14ac:dyDescent="0.35">
      <c r="R770" t="e">
        <v>#N/A</v>
      </c>
      <c r="S770" t="e">
        <v>#N/A</v>
      </c>
      <c r="T770">
        <v>3.9</v>
      </c>
    </row>
    <row r="771" spans="18:20" x14ac:dyDescent="0.35">
      <c r="R771">
        <v>7.4</v>
      </c>
      <c r="S771" t="e">
        <v>#N/A</v>
      </c>
      <c r="T771" t="e">
        <v>#N/A</v>
      </c>
    </row>
    <row r="772" spans="18:20" x14ac:dyDescent="0.35">
      <c r="R772" t="e">
        <v>#N/A</v>
      </c>
      <c r="S772" t="e">
        <v>#N/A</v>
      </c>
      <c r="T772">
        <v>1.5</v>
      </c>
    </row>
    <row r="773" spans="18:20" x14ac:dyDescent="0.35">
      <c r="R773" t="e">
        <v>#N/A</v>
      </c>
      <c r="S773" t="e">
        <v>#N/A</v>
      </c>
      <c r="T773">
        <v>2.8</v>
      </c>
    </row>
    <row r="774" spans="18:20" x14ac:dyDescent="0.35">
      <c r="R774">
        <v>7</v>
      </c>
      <c r="S774" t="e">
        <v>#N/A</v>
      </c>
      <c r="T774" t="e">
        <v>#N/A</v>
      </c>
    </row>
    <row r="775" spans="18:20" x14ac:dyDescent="0.35">
      <c r="R775" t="e">
        <v>#N/A</v>
      </c>
      <c r="S775">
        <v>5</v>
      </c>
      <c r="T775" t="e">
        <v>#N/A</v>
      </c>
    </row>
    <row r="776" spans="18:20" x14ac:dyDescent="0.35">
      <c r="R776" t="e">
        <v>#N/A</v>
      </c>
      <c r="S776" t="e">
        <v>#N/A</v>
      </c>
      <c r="T776">
        <v>3.4</v>
      </c>
    </row>
    <row r="777" spans="18:20" x14ac:dyDescent="0.35">
      <c r="R777">
        <v>5.0999999999999996</v>
      </c>
      <c r="S777" t="e">
        <v>#N/A</v>
      </c>
      <c r="T777" t="e">
        <v>#N/A</v>
      </c>
    </row>
    <row r="778" spans="18:20" x14ac:dyDescent="0.35">
      <c r="R778" t="e">
        <v>#N/A</v>
      </c>
      <c r="S778" t="e">
        <v>#N/A</v>
      </c>
      <c r="T778">
        <v>7.5</v>
      </c>
    </row>
    <row r="779" spans="18:20" x14ac:dyDescent="0.35">
      <c r="R779" t="e">
        <v>#N/A</v>
      </c>
      <c r="S779" t="e">
        <v>#N/A</v>
      </c>
      <c r="T779">
        <v>2.8</v>
      </c>
    </row>
    <row r="780" spans="18:20" x14ac:dyDescent="0.35">
      <c r="R780">
        <v>5.3</v>
      </c>
      <c r="S780" t="e">
        <v>#N/A</v>
      </c>
      <c r="T780" t="e">
        <v>#N/A</v>
      </c>
    </row>
    <row r="781" spans="18:20" x14ac:dyDescent="0.35">
      <c r="R781">
        <v>4.4000000000000004</v>
      </c>
      <c r="S781" t="e">
        <v>#N/A</v>
      </c>
      <c r="T781" t="e">
        <v>#N/A</v>
      </c>
    </row>
    <row r="782" spans="18:20" x14ac:dyDescent="0.35">
      <c r="R782" t="e">
        <v>#N/A</v>
      </c>
      <c r="S782">
        <v>4</v>
      </c>
      <c r="T782" t="e">
        <v>#N/A</v>
      </c>
    </row>
    <row r="783" spans="18:20" x14ac:dyDescent="0.35">
      <c r="R783" t="e">
        <v>#N/A</v>
      </c>
      <c r="S783">
        <v>7.2</v>
      </c>
      <c r="T783" t="e">
        <v>#N/A</v>
      </c>
    </row>
    <row r="784" spans="18:20" x14ac:dyDescent="0.35">
      <c r="R784">
        <v>6.4</v>
      </c>
      <c r="S784" t="e">
        <v>#N/A</v>
      </c>
      <c r="T784" t="e">
        <v>#N/A</v>
      </c>
    </row>
    <row r="785" spans="18:20" x14ac:dyDescent="0.35">
      <c r="R785" t="e">
        <v>#N/A</v>
      </c>
      <c r="S785" t="e">
        <v>#N/A</v>
      </c>
      <c r="T785">
        <v>5.6</v>
      </c>
    </row>
    <row r="786" spans="18:20" x14ac:dyDescent="0.35">
      <c r="R786" t="e">
        <v>#N/A</v>
      </c>
      <c r="S786" t="e">
        <v>#N/A</v>
      </c>
      <c r="T786">
        <v>7</v>
      </c>
    </row>
    <row r="787" spans="18:20" x14ac:dyDescent="0.35">
      <c r="R787" t="e">
        <v>#N/A</v>
      </c>
      <c r="S787">
        <v>7.4</v>
      </c>
      <c r="T787" t="e">
        <v>#N/A</v>
      </c>
    </row>
    <row r="788" spans="18:20" x14ac:dyDescent="0.35">
      <c r="R788" t="e">
        <v>#N/A</v>
      </c>
      <c r="S788">
        <v>1.9</v>
      </c>
      <c r="T788" t="e">
        <v>#N/A</v>
      </c>
    </row>
    <row r="789" spans="18:20" x14ac:dyDescent="0.35">
      <c r="R789" t="e">
        <v>#N/A</v>
      </c>
      <c r="S789">
        <v>5.7</v>
      </c>
      <c r="T789" t="e">
        <v>#N/A</v>
      </c>
    </row>
    <row r="790" spans="18:20" x14ac:dyDescent="0.35">
      <c r="R790" t="e">
        <v>#N/A</v>
      </c>
      <c r="S790" t="e">
        <v>#N/A</v>
      </c>
      <c r="T790">
        <v>4</v>
      </c>
    </row>
    <row r="791" spans="18:20" x14ac:dyDescent="0.35">
      <c r="R791" t="e">
        <v>#N/A</v>
      </c>
      <c r="S791" t="e">
        <v>#N/A</v>
      </c>
      <c r="T791">
        <v>7.5</v>
      </c>
    </row>
    <row r="792" spans="18:20" x14ac:dyDescent="0.35">
      <c r="R792" t="e">
        <v>#N/A</v>
      </c>
      <c r="S792" t="e">
        <v>#N/A</v>
      </c>
      <c r="T792">
        <v>6.7</v>
      </c>
    </row>
    <row r="793" spans="18:20" x14ac:dyDescent="0.35">
      <c r="R793" t="e">
        <v>#N/A</v>
      </c>
      <c r="S793">
        <v>2.7</v>
      </c>
      <c r="T793" t="e">
        <v>#N/A</v>
      </c>
    </row>
    <row r="794" spans="18:20" x14ac:dyDescent="0.35">
      <c r="R794" t="e">
        <v>#N/A</v>
      </c>
      <c r="S794">
        <v>4.5999999999999996</v>
      </c>
      <c r="T794" t="e">
        <v>#N/A</v>
      </c>
    </row>
    <row r="795" spans="18:20" x14ac:dyDescent="0.35">
      <c r="R795" t="e">
        <v>#N/A</v>
      </c>
      <c r="S795" t="e">
        <v>#N/A</v>
      </c>
      <c r="T795">
        <v>6.5</v>
      </c>
    </row>
    <row r="796" spans="18:20" x14ac:dyDescent="0.35">
      <c r="R796" t="e">
        <v>#N/A</v>
      </c>
      <c r="S796">
        <v>7.4</v>
      </c>
      <c r="T796" t="e">
        <v>#N/A</v>
      </c>
    </row>
    <row r="797" spans="18:20" x14ac:dyDescent="0.35">
      <c r="R797">
        <v>7.6</v>
      </c>
      <c r="S797" t="e">
        <v>#N/A</v>
      </c>
      <c r="T797" t="e">
        <v>#N/A</v>
      </c>
    </row>
    <row r="798" spans="18:20" x14ac:dyDescent="0.35">
      <c r="R798" t="e">
        <v>#N/A</v>
      </c>
      <c r="S798" t="e">
        <v>#N/A</v>
      </c>
      <c r="T798">
        <v>7.3</v>
      </c>
    </row>
    <row r="799" spans="18:20" x14ac:dyDescent="0.35">
      <c r="R799" t="e">
        <v>#N/A</v>
      </c>
      <c r="S799">
        <v>1.9</v>
      </c>
      <c r="T799" t="e">
        <v>#N/A</v>
      </c>
    </row>
    <row r="800" spans="18:20" x14ac:dyDescent="0.35">
      <c r="R800" t="e">
        <v>#N/A</v>
      </c>
      <c r="S800">
        <v>6.2</v>
      </c>
      <c r="T800" t="e">
        <v>#N/A</v>
      </c>
    </row>
    <row r="801" spans="18:20" x14ac:dyDescent="0.35">
      <c r="R801">
        <v>1.6</v>
      </c>
      <c r="S801" t="e">
        <v>#N/A</v>
      </c>
      <c r="T801" t="e">
        <v>#N/A</v>
      </c>
    </row>
    <row r="802" spans="18:20" x14ac:dyDescent="0.35">
      <c r="R802">
        <v>2.8</v>
      </c>
      <c r="S802" t="e">
        <v>#N/A</v>
      </c>
      <c r="T802" t="e">
        <v>#N/A</v>
      </c>
    </row>
    <row r="803" spans="18:20" x14ac:dyDescent="0.35">
      <c r="R803">
        <v>2.2000000000000002</v>
      </c>
      <c r="S803" t="e">
        <v>#N/A</v>
      </c>
      <c r="T803" t="e">
        <v>#N/A</v>
      </c>
    </row>
    <row r="804" spans="18:20" x14ac:dyDescent="0.35">
      <c r="R804">
        <v>7.5</v>
      </c>
      <c r="S804" t="e">
        <v>#N/A</v>
      </c>
      <c r="T804" t="e">
        <v>#N/A</v>
      </c>
    </row>
    <row r="805" spans="18:20" x14ac:dyDescent="0.35">
      <c r="R805" t="e">
        <v>#N/A</v>
      </c>
      <c r="S805">
        <v>3.6</v>
      </c>
      <c r="T805" t="e">
        <v>#N/A</v>
      </c>
    </row>
    <row r="806" spans="18:20" x14ac:dyDescent="0.35">
      <c r="R806">
        <v>3</v>
      </c>
      <c r="S806" t="e">
        <v>#N/A</v>
      </c>
      <c r="T806" t="e">
        <v>#N/A</v>
      </c>
    </row>
    <row r="807" spans="18:20" x14ac:dyDescent="0.35">
      <c r="R807" t="e">
        <v>#N/A</v>
      </c>
      <c r="S807">
        <v>7.6</v>
      </c>
      <c r="T807" t="e">
        <v>#N/A</v>
      </c>
    </row>
    <row r="808" spans="18:20" x14ac:dyDescent="0.35">
      <c r="R808" t="e">
        <v>#N/A</v>
      </c>
      <c r="S808">
        <v>7.2</v>
      </c>
      <c r="T808" t="e">
        <v>#N/A</v>
      </c>
    </row>
    <row r="809" spans="18:20" x14ac:dyDescent="0.35">
      <c r="R809" t="e">
        <v>#N/A</v>
      </c>
      <c r="S809" t="e">
        <v>#N/A</v>
      </c>
      <c r="T809">
        <v>2.2999999999999998</v>
      </c>
    </row>
    <row r="810" spans="18:20" x14ac:dyDescent="0.35">
      <c r="R810" t="e">
        <v>#N/A</v>
      </c>
      <c r="S810" t="e">
        <v>#N/A</v>
      </c>
      <c r="T810">
        <v>7.3</v>
      </c>
    </row>
    <row r="811" spans="18:20" x14ac:dyDescent="0.35">
      <c r="R811" t="e">
        <v>#N/A</v>
      </c>
      <c r="S811" t="e">
        <v>#N/A</v>
      </c>
      <c r="T811">
        <v>7</v>
      </c>
    </row>
    <row r="812" spans="18:20" x14ac:dyDescent="0.35">
      <c r="R812" t="e">
        <v>#N/A</v>
      </c>
      <c r="S812">
        <v>2.8</v>
      </c>
      <c r="T812" t="e">
        <v>#N/A</v>
      </c>
    </row>
    <row r="813" spans="18:20" x14ac:dyDescent="0.35">
      <c r="R813" t="e">
        <v>#N/A</v>
      </c>
      <c r="S813">
        <v>7.9</v>
      </c>
      <c r="T813" t="e">
        <v>#N/A</v>
      </c>
    </row>
    <row r="814" spans="18:20" x14ac:dyDescent="0.35">
      <c r="R814">
        <v>5.0999999999999996</v>
      </c>
      <c r="S814" t="e">
        <v>#N/A</v>
      </c>
      <c r="T814" t="e">
        <v>#N/A</v>
      </c>
    </row>
    <row r="815" spans="18:20" x14ac:dyDescent="0.35">
      <c r="R815">
        <v>6.6</v>
      </c>
      <c r="S815" t="e">
        <v>#N/A</v>
      </c>
      <c r="T815" t="e">
        <v>#N/A</v>
      </c>
    </row>
    <row r="816" spans="18:20" x14ac:dyDescent="0.35">
      <c r="R816" t="e">
        <v>#N/A</v>
      </c>
      <c r="S816" t="e">
        <v>#N/A</v>
      </c>
      <c r="T816">
        <v>5.2</v>
      </c>
    </row>
    <row r="817" spans="18:20" x14ac:dyDescent="0.35">
      <c r="R817" t="e">
        <v>#N/A</v>
      </c>
      <c r="S817">
        <v>6.2</v>
      </c>
      <c r="T817" t="e">
        <v>#N/A</v>
      </c>
    </row>
    <row r="818" spans="18:20" x14ac:dyDescent="0.35">
      <c r="R818">
        <v>2.1</v>
      </c>
      <c r="S818" t="e">
        <v>#N/A</v>
      </c>
      <c r="T818" t="e">
        <v>#N/A</v>
      </c>
    </row>
    <row r="819" spans="18:20" x14ac:dyDescent="0.35">
      <c r="R819">
        <v>6.4</v>
      </c>
      <c r="S819" t="e">
        <v>#N/A</v>
      </c>
      <c r="T819" t="e">
        <v>#N/A</v>
      </c>
    </row>
    <row r="820" spans="18:20" x14ac:dyDescent="0.35">
      <c r="R820" t="e">
        <v>#N/A</v>
      </c>
      <c r="S820">
        <v>1.3</v>
      </c>
      <c r="T820" t="e">
        <v>#N/A</v>
      </c>
    </row>
    <row r="821" spans="18:20" x14ac:dyDescent="0.35">
      <c r="R821" t="e">
        <v>#N/A</v>
      </c>
      <c r="S821" t="e">
        <v>#N/A</v>
      </c>
      <c r="T821">
        <v>7.4</v>
      </c>
    </row>
    <row r="822" spans="18:20" x14ac:dyDescent="0.35">
      <c r="R822">
        <v>6.2</v>
      </c>
      <c r="S822" t="e">
        <v>#N/A</v>
      </c>
      <c r="T822" t="e">
        <v>#N/A</v>
      </c>
    </row>
    <row r="823" spans="18:20" x14ac:dyDescent="0.35">
      <c r="R823" t="e">
        <v>#N/A</v>
      </c>
      <c r="S823" t="e">
        <v>#N/A</v>
      </c>
      <c r="T823">
        <v>5.3</v>
      </c>
    </row>
    <row r="824" spans="18:20" x14ac:dyDescent="0.35">
      <c r="R824" t="e">
        <v>#N/A</v>
      </c>
      <c r="S824" t="e">
        <v>#N/A</v>
      </c>
      <c r="T824">
        <v>2.2999999999999998</v>
      </c>
    </row>
    <row r="825" spans="18:20" x14ac:dyDescent="0.35">
      <c r="R825">
        <v>4.7</v>
      </c>
      <c r="S825" t="e">
        <v>#N/A</v>
      </c>
      <c r="T825" t="e">
        <v>#N/A</v>
      </c>
    </row>
    <row r="826" spans="18:20" x14ac:dyDescent="0.35">
      <c r="R826" t="e">
        <v>#N/A</v>
      </c>
      <c r="S826" t="e">
        <v>#N/A</v>
      </c>
      <c r="T826">
        <v>7.1</v>
      </c>
    </row>
    <row r="827" spans="18:20" x14ac:dyDescent="0.35">
      <c r="R827" t="e">
        <v>#N/A</v>
      </c>
      <c r="S827" t="e">
        <v>#N/A</v>
      </c>
      <c r="T827">
        <v>3.4</v>
      </c>
    </row>
    <row r="828" spans="18:20" x14ac:dyDescent="0.35">
      <c r="R828">
        <v>5.4</v>
      </c>
      <c r="S828" t="e">
        <v>#N/A</v>
      </c>
      <c r="T828" t="e">
        <v>#N/A</v>
      </c>
    </row>
    <row r="829" spans="18:20" x14ac:dyDescent="0.35">
      <c r="R829" t="e">
        <v>#N/A</v>
      </c>
      <c r="S829">
        <v>4.5</v>
      </c>
      <c r="T829" t="e">
        <v>#N/A</v>
      </c>
    </row>
    <row r="830" spans="18:20" x14ac:dyDescent="0.35">
      <c r="R830">
        <v>2.7</v>
      </c>
      <c r="S830" t="e">
        <v>#N/A</v>
      </c>
      <c r="T830" t="e">
        <v>#N/A</v>
      </c>
    </row>
    <row r="831" spans="18:20" x14ac:dyDescent="0.35">
      <c r="R831" t="e">
        <v>#N/A</v>
      </c>
      <c r="S831" t="e">
        <v>#N/A</v>
      </c>
      <c r="T831">
        <v>3.7</v>
      </c>
    </row>
    <row r="832" spans="18:20" x14ac:dyDescent="0.35">
      <c r="R832" t="e">
        <v>#N/A</v>
      </c>
      <c r="S832" t="e">
        <v>#N/A</v>
      </c>
      <c r="T832">
        <v>6.7</v>
      </c>
    </row>
    <row r="833" spans="18:20" x14ac:dyDescent="0.35">
      <c r="R833">
        <v>4.3</v>
      </c>
      <c r="S833" t="e">
        <v>#N/A</v>
      </c>
      <c r="T833" t="e">
        <v>#N/A</v>
      </c>
    </row>
    <row r="834" spans="18:20" x14ac:dyDescent="0.35">
      <c r="R834" t="e">
        <v>#N/A</v>
      </c>
      <c r="S834">
        <v>6.9</v>
      </c>
      <c r="T834" t="e">
        <v>#N/A</v>
      </c>
    </row>
    <row r="835" spans="18:20" x14ac:dyDescent="0.35">
      <c r="R835">
        <v>7.7</v>
      </c>
      <c r="S835" t="e">
        <v>#N/A</v>
      </c>
      <c r="T835" t="e">
        <v>#N/A</v>
      </c>
    </row>
    <row r="836" spans="18:20" x14ac:dyDescent="0.35">
      <c r="R836" t="e">
        <v>#N/A</v>
      </c>
      <c r="S836">
        <v>1</v>
      </c>
      <c r="T836" t="e">
        <v>#N/A</v>
      </c>
    </row>
    <row r="837" spans="18:20" x14ac:dyDescent="0.35">
      <c r="R837">
        <v>8</v>
      </c>
      <c r="S837" t="e">
        <v>#N/A</v>
      </c>
      <c r="T837" t="e">
        <v>#N/A</v>
      </c>
    </row>
    <row r="838" spans="18:20" x14ac:dyDescent="0.35">
      <c r="R838" t="e">
        <v>#N/A</v>
      </c>
      <c r="S838" t="e">
        <v>#N/A</v>
      </c>
      <c r="T838">
        <v>4</v>
      </c>
    </row>
    <row r="839" spans="18:20" x14ac:dyDescent="0.35">
      <c r="R839" t="e">
        <v>#N/A</v>
      </c>
      <c r="S839" t="e">
        <v>#N/A</v>
      </c>
      <c r="T839">
        <v>3.7</v>
      </c>
    </row>
    <row r="840" spans="18:20" x14ac:dyDescent="0.35">
      <c r="R840" t="e">
        <v>#N/A</v>
      </c>
      <c r="S840">
        <v>6.4</v>
      </c>
      <c r="T840" t="e">
        <v>#N/A</v>
      </c>
    </row>
    <row r="841" spans="18:20" x14ac:dyDescent="0.35">
      <c r="R841" t="e">
        <v>#N/A</v>
      </c>
      <c r="S841">
        <v>4</v>
      </c>
      <c r="T841" t="e">
        <v>#N/A</v>
      </c>
    </row>
    <row r="842" spans="18:20" x14ac:dyDescent="0.35">
      <c r="R842" t="e">
        <v>#N/A</v>
      </c>
      <c r="S842">
        <v>5.4</v>
      </c>
      <c r="T842" t="e">
        <v>#N/A</v>
      </c>
    </row>
    <row r="843" spans="18:20" x14ac:dyDescent="0.35">
      <c r="R843" t="e">
        <v>#N/A</v>
      </c>
      <c r="S843" t="e">
        <v>#N/A</v>
      </c>
      <c r="T843">
        <v>7.8</v>
      </c>
    </row>
    <row r="844" spans="18:20" x14ac:dyDescent="0.35">
      <c r="R844" t="e">
        <v>#N/A</v>
      </c>
      <c r="S844" t="e">
        <v>#N/A</v>
      </c>
      <c r="T844">
        <v>3.5</v>
      </c>
    </row>
    <row r="845" spans="18:20" x14ac:dyDescent="0.35">
      <c r="R845" t="e">
        <v>#N/A</v>
      </c>
      <c r="S845" t="e">
        <v>#N/A</v>
      </c>
      <c r="T845">
        <v>4.5</v>
      </c>
    </row>
    <row r="846" spans="18:20" x14ac:dyDescent="0.35">
      <c r="R846">
        <v>2.2000000000000002</v>
      </c>
      <c r="S846" t="e">
        <v>#N/A</v>
      </c>
      <c r="T846" t="e">
        <v>#N/A</v>
      </c>
    </row>
    <row r="847" spans="18:20" x14ac:dyDescent="0.35">
      <c r="R847">
        <v>4.4000000000000004</v>
      </c>
      <c r="S847" t="e">
        <v>#N/A</v>
      </c>
      <c r="T847" t="e">
        <v>#N/A</v>
      </c>
    </row>
    <row r="848" spans="18:20" x14ac:dyDescent="0.35">
      <c r="R848" t="e">
        <v>#N/A</v>
      </c>
      <c r="S848">
        <v>3.5</v>
      </c>
      <c r="T848" t="e">
        <v>#N/A</v>
      </c>
    </row>
    <row r="849" spans="18:20" x14ac:dyDescent="0.35">
      <c r="R849" t="e">
        <v>#N/A</v>
      </c>
      <c r="S849" t="e">
        <v>#N/A</v>
      </c>
      <c r="T849">
        <v>6.8</v>
      </c>
    </row>
    <row r="850" spans="18:20" x14ac:dyDescent="0.35">
      <c r="R850" t="e">
        <v>#N/A</v>
      </c>
      <c r="S850">
        <v>6.5</v>
      </c>
      <c r="T850" t="e">
        <v>#N/A</v>
      </c>
    </row>
    <row r="851" spans="18:20" x14ac:dyDescent="0.35">
      <c r="R851">
        <v>4.7</v>
      </c>
      <c r="S851" t="e">
        <v>#N/A</v>
      </c>
      <c r="T851" t="e">
        <v>#N/A</v>
      </c>
    </row>
    <row r="852" spans="18:20" x14ac:dyDescent="0.35">
      <c r="R852">
        <v>2.7</v>
      </c>
      <c r="S852" t="e">
        <v>#N/A</v>
      </c>
      <c r="T852" t="e">
        <v>#N/A</v>
      </c>
    </row>
    <row r="853" spans="18:20" x14ac:dyDescent="0.35">
      <c r="R853">
        <v>3.2</v>
      </c>
      <c r="S853" t="e">
        <v>#N/A</v>
      </c>
      <c r="T853" t="e">
        <v>#N/A</v>
      </c>
    </row>
    <row r="854" spans="18:20" x14ac:dyDescent="0.35">
      <c r="R854" t="e">
        <v>#N/A</v>
      </c>
      <c r="S854" t="e">
        <v>#N/A</v>
      </c>
      <c r="T854">
        <v>7.6</v>
      </c>
    </row>
    <row r="855" spans="18:20" x14ac:dyDescent="0.35">
      <c r="R855">
        <v>5.4</v>
      </c>
      <c r="S855" t="e">
        <v>#N/A</v>
      </c>
      <c r="T855" t="e">
        <v>#N/A</v>
      </c>
    </row>
    <row r="856" spans="18:20" x14ac:dyDescent="0.35">
      <c r="R856" t="e">
        <v>#N/A</v>
      </c>
      <c r="S856" t="e">
        <v>#N/A</v>
      </c>
      <c r="T856">
        <v>1.2</v>
      </c>
    </row>
    <row r="857" spans="18:20" x14ac:dyDescent="0.35">
      <c r="R857">
        <v>3.6</v>
      </c>
      <c r="S857" t="e">
        <v>#N/A</v>
      </c>
      <c r="T857" t="e">
        <v>#N/A</v>
      </c>
    </row>
    <row r="858" spans="18:20" x14ac:dyDescent="0.35">
      <c r="R858" t="e">
        <v>#N/A</v>
      </c>
      <c r="S858" t="e">
        <v>#N/A</v>
      </c>
      <c r="T858">
        <v>4.8</v>
      </c>
    </row>
    <row r="859" spans="18:20" x14ac:dyDescent="0.35">
      <c r="R859" t="e">
        <v>#N/A</v>
      </c>
      <c r="S859" t="e">
        <v>#N/A</v>
      </c>
      <c r="T859">
        <v>6.4</v>
      </c>
    </row>
    <row r="860" spans="18:20" x14ac:dyDescent="0.35">
      <c r="R860" t="e">
        <v>#N/A</v>
      </c>
      <c r="S860" t="e">
        <v>#N/A</v>
      </c>
      <c r="T860">
        <v>3.8</v>
      </c>
    </row>
    <row r="861" spans="18:20" x14ac:dyDescent="0.35">
      <c r="R861" t="e">
        <v>#N/A</v>
      </c>
      <c r="S861" t="e">
        <v>#N/A</v>
      </c>
      <c r="T861">
        <v>2.2000000000000002</v>
      </c>
    </row>
    <row r="862" spans="18:20" x14ac:dyDescent="0.35">
      <c r="R862">
        <v>6.9</v>
      </c>
      <c r="S862" t="e">
        <v>#N/A</v>
      </c>
      <c r="T862" t="e">
        <v>#N/A</v>
      </c>
    </row>
    <row r="863" spans="18:20" x14ac:dyDescent="0.35">
      <c r="R863" t="e">
        <v>#N/A</v>
      </c>
      <c r="S863" t="e">
        <v>#N/A</v>
      </c>
      <c r="T863">
        <v>6.2</v>
      </c>
    </row>
    <row r="864" spans="18:20" x14ac:dyDescent="0.35">
      <c r="R864">
        <v>3.6</v>
      </c>
      <c r="S864" t="e">
        <v>#N/A</v>
      </c>
      <c r="T864" t="e">
        <v>#N/A</v>
      </c>
    </row>
    <row r="865" spans="18:20" x14ac:dyDescent="0.35">
      <c r="R865" t="e">
        <v>#N/A</v>
      </c>
      <c r="S865">
        <v>6.3</v>
      </c>
      <c r="T865" t="e">
        <v>#N/A</v>
      </c>
    </row>
    <row r="866" spans="18:20" x14ac:dyDescent="0.35">
      <c r="R866" t="e">
        <v>#N/A</v>
      </c>
      <c r="S866">
        <v>3.8</v>
      </c>
      <c r="T866" t="e">
        <v>#N/A</v>
      </c>
    </row>
    <row r="867" spans="18:20" x14ac:dyDescent="0.35">
      <c r="R867" t="e">
        <v>#N/A</v>
      </c>
      <c r="S867" t="e">
        <v>#N/A</v>
      </c>
      <c r="T867">
        <v>4.9000000000000004</v>
      </c>
    </row>
    <row r="868" spans="18:20" x14ac:dyDescent="0.35">
      <c r="R868">
        <v>4.0999999999999996</v>
      </c>
      <c r="S868" t="e">
        <v>#N/A</v>
      </c>
      <c r="T868" t="e">
        <v>#N/A</v>
      </c>
    </row>
    <row r="869" spans="18:20" x14ac:dyDescent="0.35">
      <c r="R869" t="e">
        <v>#N/A</v>
      </c>
      <c r="S869" t="e">
        <v>#N/A</v>
      </c>
      <c r="T869">
        <v>7.5</v>
      </c>
    </row>
    <row r="870" spans="18:20" x14ac:dyDescent="0.35">
      <c r="R870" t="e">
        <v>#N/A</v>
      </c>
      <c r="S870" t="e">
        <v>#N/A</v>
      </c>
      <c r="T870">
        <v>2.6</v>
      </c>
    </row>
    <row r="871" spans="18:20" x14ac:dyDescent="0.35">
      <c r="R871" t="e">
        <v>#N/A</v>
      </c>
      <c r="S871">
        <v>4</v>
      </c>
      <c r="T871" t="e">
        <v>#N/A</v>
      </c>
    </row>
    <row r="872" spans="18:20" x14ac:dyDescent="0.35">
      <c r="R872" t="e">
        <v>#N/A</v>
      </c>
      <c r="S872" t="e">
        <v>#N/A</v>
      </c>
      <c r="T872">
        <v>7.2</v>
      </c>
    </row>
    <row r="873" spans="18:20" x14ac:dyDescent="0.35">
      <c r="R873" t="e">
        <v>#N/A</v>
      </c>
      <c r="S873" t="e">
        <v>#N/A</v>
      </c>
      <c r="T873">
        <v>6.5</v>
      </c>
    </row>
    <row r="874" spans="18:20" x14ac:dyDescent="0.35">
      <c r="R874" t="e">
        <v>#N/A</v>
      </c>
      <c r="S874" t="e">
        <v>#N/A</v>
      </c>
      <c r="T874">
        <v>3.3</v>
      </c>
    </row>
    <row r="875" spans="18:20" x14ac:dyDescent="0.35">
      <c r="R875" t="e">
        <v>#N/A</v>
      </c>
      <c r="S875">
        <v>5.0999999999999996</v>
      </c>
      <c r="T875" t="e">
        <v>#N/A</v>
      </c>
    </row>
    <row r="876" spans="18:20" x14ac:dyDescent="0.35">
      <c r="R876" t="e">
        <v>#N/A</v>
      </c>
      <c r="S876">
        <v>6.3</v>
      </c>
      <c r="T876" t="e">
        <v>#N/A</v>
      </c>
    </row>
    <row r="877" spans="18:20" x14ac:dyDescent="0.35">
      <c r="R877" t="e">
        <v>#N/A</v>
      </c>
      <c r="S877" t="e">
        <v>#N/A</v>
      </c>
      <c r="T877">
        <v>3.9</v>
      </c>
    </row>
    <row r="878" spans="18:20" x14ac:dyDescent="0.35">
      <c r="R878" t="e">
        <v>#N/A</v>
      </c>
      <c r="S878" t="e">
        <v>#N/A</v>
      </c>
      <c r="T878">
        <v>4</v>
      </c>
    </row>
    <row r="879" spans="18:20" x14ac:dyDescent="0.35">
      <c r="R879" t="e">
        <v>#N/A</v>
      </c>
      <c r="S879" t="e">
        <v>#N/A</v>
      </c>
      <c r="T879">
        <v>7.2</v>
      </c>
    </row>
    <row r="880" spans="18:20" x14ac:dyDescent="0.35">
      <c r="R880" t="e">
        <v>#N/A</v>
      </c>
      <c r="S880" t="e">
        <v>#N/A</v>
      </c>
      <c r="T880">
        <v>6.2</v>
      </c>
    </row>
    <row r="881" spans="18:20" x14ac:dyDescent="0.35">
      <c r="R881" t="e">
        <v>#N/A</v>
      </c>
      <c r="S881" t="e">
        <v>#N/A</v>
      </c>
      <c r="T881">
        <v>3.1</v>
      </c>
    </row>
    <row r="882" spans="18:20" x14ac:dyDescent="0.35">
      <c r="R882" t="e">
        <v>#N/A</v>
      </c>
      <c r="S882">
        <v>3.4</v>
      </c>
      <c r="T882" t="e">
        <v>#N/A</v>
      </c>
    </row>
    <row r="883" spans="18:20" x14ac:dyDescent="0.35">
      <c r="R883">
        <v>2.7</v>
      </c>
      <c r="S883" t="e">
        <v>#N/A</v>
      </c>
      <c r="T883" t="e">
        <v>#N/A</v>
      </c>
    </row>
    <row r="884" spans="18:20" x14ac:dyDescent="0.35">
      <c r="R884" t="e">
        <v>#N/A</v>
      </c>
      <c r="S884">
        <v>2.2999999999999998</v>
      </c>
      <c r="T884" t="e">
        <v>#N/A</v>
      </c>
    </row>
    <row r="885" spans="18:20" x14ac:dyDescent="0.35">
      <c r="R885" t="e">
        <v>#N/A</v>
      </c>
      <c r="S885">
        <v>6.4</v>
      </c>
      <c r="T885" t="e">
        <v>#N/A</v>
      </c>
    </row>
    <row r="886" spans="18:20" x14ac:dyDescent="0.35">
      <c r="R886">
        <v>8</v>
      </c>
      <c r="S886" t="e">
        <v>#N/A</v>
      </c>
      <c r="T886" t="e">
        <v>#N/A</v>
      </c>
    </row>
    <row r="887" spans="18:20" x14ac:dyDescent="0.35">
      <c r="R887" t="e">
        <v>#N/A</v>
      </c>
      <c r="S887" t="e">
        <v>#N/A</v>
      </c>
      <c r="T887">
        <v>4.8</v>
      </c>
    </row>
    <row r="888" spans="18:20" x14ac:dyDescent="0.35">
      <c r="R888" t="e">
        <v>#N/A</v>
      </c>
      <c r="S888" t="e">
        <v>#N/A</v>
      </c>
      <c r="T888">
        <v>5.7</v>
      </c>
    </row>
    <row r="889" spans="18:20" x14ac:dyDescent="0.35">
      <c r="R889">
        <v>6.6</v>
      </c>
      <c r="S889" t="e">
        <v>#N/A</v>
      </c>
      <c r="T889" t="e">
        <v>#N/A</v>
      </c>
    </row>
    <row r="890" spans="18:20" x14ac:dyDescent="0.35">
      <c r="R890" t="e">
        <v>#N/A</v>
      </c>
      <c r="S890">
        <v>3.8</v>
      </c>
      <c r="T890" t="e">
        <v>#N/A</v>
      </c>
    </row>
    <row r="891" spans="18:20" x14ac:dyDescent="0.35">
      <c r="R891">
        <v>3</v>
      </c>
      <c r="S891" t="e">
        <v>#N/A</v>
      </c>
      <c r="T891" t="e">
        <v>#N/A</v>
      </c>
    </row>
    <row r="892" spans="18:20" x14ac:dyDescent="0.35">
      <c r="R892" t="e">
        <v>#N/A</v>
      </c>
      <c r="S892" t="e">
        <v>#N/A</v>
      </c>
      <c r="T892">
        <v>3.6</v>
      </c>
    </row>
    <row r="893" spans="18:20" x14ac:dyDescent="0.35">
      <c r="R893" t="e">
        <v>#N/A</v>
      </c>
      <c r="S893" t="e">
        <v>#N/A</v>
      </c>
      <c r="T893">
        <v>2.2999999999999998</v>
      </c>
    </row>
    <row r="894" spans="18:20" x14ac:dyDescent="0.35">
      <c r="R894" t="e">
        <v>#N/A</v>
      </c>
      <c r="S894" t="e">
        <v>#N/A</v>
      </c>
      <c r="T894">
        <v>4.8</v>
      </c>
    </row>
    <row r="895" spans="18:20" x14ac:dyDescent="0.35">
      <c r="R895">
        <v>5.5</v>
      </c>
      <c r="S895" t="e">
        <v>#N/A</v>
      </c>
      <c r="T895" t="e">
        <v>#N/A</v>
      </c>
    </row>
    <row r="896" spans="18:20" x14ac:dyDescent="0.35">
      <c r="R896">
        <v>2.5</v>
      </c>
      <c r="S896" t="e">
        <v>#N/A</v>
      </c>
      <c r="T896" t="e">
        <v>#N/A</v>
      </c>
    </row>
    <row r="897" spans="18:20" x14ac:dyDescent="0.35">
      <c r="R897">
        <v>1.9</v>
      </c>
      <c r="S897" t="e">
        <v>#N/A</v>
      </c>
      <c r="T897" t="e">
        <v>#N/A</v>
      </c>
    </row>
    <row r="898" spans="18:20" x14ac:dyDescent="0.35">
      <c r="R898" t="e">
        <v>#N/A</v>
      </c>
      <c r="S898">
        <v>7.6</v>
      </c>
      <c r="T898" t="e">
        <v>#N/A</v>
      </c>
    </row>
    <row r="899" spans="18:20" x14ac:dyDescent="0.35">
      <c r="R899" t="e">
        <v>#N/A</v>
      </c>
      <c r="S899">
        <v>5.4</v>
      </c>
      <c r="T899" t="e">
        <v>#N/A</v>
      </c>
    </row>
    <row r="900" spans="18:20" x14ac:dyDescent="0.35">
      <c r="R900">
        <v>3.8</v>
      </c>
      <c r="S900" t="e">
        <v>#N/A</v>
      </c>
      <c r="T900" t="e">
        <v>#N/A</v>
      </c>
    </row>
    <row r="901" spans="18:20" x14ac:dyDescent="0.35">
      <c r="R901">
        <v>4.9000000000000004</v>
      </c>
      <c r="S901" t="e">
        <v>#N/A</v>
      </c>
      <c r="T901" t="e">
        <v>#N/A</v>
      </c>
    </row>
    <row r="902" spans="18:20" x14ac:dyDescent="0.35">
      <c r="R902" t="e">
        <v>#N/A</v>
      </c>
      <c r="S902" t="e">
        <v>#N/A</v>
      </c>
      <c r="T902">
        <v>4.2</v>
      </c>
    </row>
    <row r="903" spans="18:20" x14ac:dyDescent="0.35">
      <c r="R903" t="e">
        <v>#N/A</v>
      </c>
      <c r="S903">
        <v>1.5</v>
      </c>
      <c r="T903" t="e">
        <v>#N/A</v>
      </c>
    </row>
    <row r="904" spans="18:20" x14ac:dyDescent="0.35">
      <c r="R904" t="e">
        <v>#N/A</v>
      </c>
      <c r="S904" t="e">
        <v>#N/A</v>
      </c>
      <c r="T904">
        <v>7.2</v>
      </c>
    </row>
    <row r="905" spans="18:20" x14ac:dyDescent="0.35">
      <c r="R905" t="e">
        <v>#N/A</v>
      </c>
      <c r="S905" t="e">
        <v>#N/A</v>
      </c>
      <c r="T905">
        <v>3.4</v>
      </c>
    </row>
    <row r="906" spans="18:20" x14ac:dyDescent="0.35">
      <c r="R906" t="e">
        <v>#N/A</v>
      </c>
      <c r="S906">
        <v>1.5</v>
      </c>
      <c r="T906" t="e">
        <v>#N/A</v>
      </c>
    </row>
    <row r="907" spans="18:20" x14ac:dyDescent="0.35">
      <c r="R907" t="e">
        <v>#N/A</v>
      </c>
      <c r="S907" t="e">
        <v>#N/A</v>
      </c>
      <c r="T907">
        <v>7.9</v>
      </c>
    </row>
    <row r="908" spans="18:20" x14ac:dyDescent="0.35">
      <c r="R908" t="e">
        <v>#N/A</v>
      </c>
      <c r="S908">
        <v>5.3</v>
      </c>
      <c r="T908" t="e">
        <v>#N/A</v>
      </c>
    </row>
    <row r="909" spans="18:20" x14ac:dyDescent="0.35">
      <c r="R909" t="e">
        <v>#N/A</v>
      </c>
      <c r="S909" t="e">
        <v>#N/A</v>
      </c>
      <c r="T909">
        <v>1.9</v>
      </c>
    </row>
    <row r="910" spans="18:20" x14ac:dyDescent="0.35">
      <c r="R910">
        <v>1.1000000000000001</v>
      </c>
      <c r="S910" t="e">
        <v>#N/A</v>
      </c>
      <c r="T910" t="e">
        <v>#N/A</v>
      </c>
    </row>
    <row r="911" spans="18:20" x14ac:dyDescent="0.35">
      <c r="R911">
        <v>4.9000000000000004</v>
      </c>
      <c r="S911" t="e">
        <v>#N/A</v>
      </c>
      <c r="T911" t="e">
        <v>#N/A</v>
      </c>
    </row>
    <row r="912" spans="18:20" x14ac:dyDescent="0.35">
      <c r="R912" t="e">
        <v>#N/A</v>
      </c>
      <c r="S912" t="e">
        <v>#N/A</v>
      </c>
      <c r="T912">
        <v>2</v>
      </c>
    </row>
    <row r="913" spans="18:20" x14ac:dyDescent="0.35">
      <c r="R913" t="e">
        <v>#N/A</v>
      </c>
      <c r="S913">
        <v>6.4</v>
      </c>
      <c r="T913" t="e">
        <v>#N/A</v>
      </c>
    </row>
    <row r="914" spans="18:20" x14ac:dyDescent="0.35">
      <c r="R914" t="e">
        <v>#N/A</v>
      </c>
      <c r="S914">
        <v>7.4</v>
      </c>
      <c r="T914" t="e">
        <v>#N/A</v>
      </c>
    </row>
    <row r="915" spans="18:20" x14ac:dyDescent="0.35">
      <c r="R915" t="e">
        <v>#N/A</v>
      </c>
      <c r="S915">
        <v>2.2999999999999998</v>
      </c>
      <c r="T915" t="e">
        <v>#N/A</v>
      </c>
    </row>
    <row r="916" spans="18:20" x14ac:dyDescent="0.35">
      <c r="R916" t="e">
        <v>#N/A</v>
      </c>
      <c r="S916" t="e">
        <v>#N/A</v>
      </c>
      <c r="T916">
        <v>5.8</v>
      </c>
    </row>
    <row r="917" spans="18:20" x14ac:dyDescent="0.35">
      <c r="R917" t="e">
        <v>#N/A</v>
      </c>
      <c r="S917">
        <v>6.5</v>
      </c>
      <c r="T917" t="e">
        <v>#N/A</v>
      </c>
    </row>
    <row r="918" spans="18:20" x14ac:dyDescent="0.35">
      <c r="R918">
        <v>4.7</v>
      </c>
      <c r="S918" t="e">
        <v>#N/A</v>
      </c>
      <c r="T918" t="e">
        <v>#N/A</v>
      </c>
    </row>
    <row r="919" spans="18:20" x14ac:dyDescent="0.35">
      <c r="R919" t="e">
        <v>#N/A</v>
      </c>
      <c r="S919">
        <v>1.7</v>
      </c>
      <c r="T919" t="e">
        <v>#N/A</v>
      </c>
    </row>
    <row r="920" spans="18:20" x14ac:dyDescent="0.35">
      <c r="R920">
        <v>2.1</v>
      </c>
      <c r="S920" t="e">
        <v>#N/A</v>
      </c>
      <c r="T920" t="e">
        <v>#N/A</v>
      </c>
    </row>
    <row r="921" spans="18:20" x14ac:dyDescent="0.35">
      <c r="R921" t="e">
        <v>#N/A</v>
      </c>
      <c r="S921" t="e">
        <v>#N/A</v>
      </c>
      <c r="T921">
        <v>2.7</v>
      </c>
    </row>
    <row r="922" spans="18:20" x14ac:dyDescent="0.35">
      <c r="R922">
        <v>2</v>
      </c>
      <c r="S922" t="e">
        <v>#N/A</v>
      </c>
      <c r="T922" t="e">
        <v>#N/A</v>
      </c>
    </row>
    <row r="923" spans="18:20" x14ac:dyDescent="0.35">
      <c r="R923" t="e">
        <v>#N/A</v>
      </c>
      <c r="S923">
        <v>7.9</v>
      </c>
      <c r="T923" t="e">
        <v>#N/A</v>
      </c>
    </row>
    <row r="924" spans="18:20" x14ac:dyDescent="0.35">
      <c r="R924">
        <v>6.9</v>
      </c>
      <c r="S924" t="e">
        <v>#N/A</v>
      </c>
      <c r="T924" t="e">
        <v>#N/A</v>
      </c>
    </row>
    <row r="925" spans="18:20" x14ac:dyDescent="0.35">
      <c r="R925" t="e">
        <v>#N/A</v>
      </c>
      <c r="S925">
        <v>2</v>
      </c>
      <c r="T925" t="e">
        <v>#N/A</v>
      </c>
    </row>
    <row r="926" spans="18:20" x14ac:dyDescent="0.35">
      <c r="R926">
        <v>3.6</v>
      </c>
      <c r="S926" t="e">
        <v>#N/A</v>
      </c>
      <c r="T926" t="e">
        <v>#N/A</v>
      </c>
    </row>
    <row r="927" spans="18:20" x14ac:dyDescent="0.35">
      <c r="R927" t="e">
        <v>#N/A</v>
      </c>
      <c r="S927">
        <v>2</v>
      </c>
      <c r="T927" t="e">
        <v>#N/A</v>
      </c>
    </row>
    <row r="928" spans="18:20" x14ac:dyDescent="0.35">
      <c r="R928" t="e">
        <v>#N/A</v>
      </c>
      <c r="S928">
        <v>5</v>
      </c>
      <c r="T928" t="e">
        <v>#N/A</v>
      </c>
    </row>
    <row r="929" spans="18:20" x14ac:dyDescent="0.35">
      <c r="R929" t="e">
        <v>#N/A</v>
      </c>
      <c r="S929" t="e">
        <v>#N/A</v>
      </c>
      <c r="T929">
        <v>4.0999999999999996</v>
      </c>
    </row>
    <row r="930" spans="18:20" x14ac:dyDescent="0.35">
      <c r="R930" t="e">
        <v>#N/A</v>
      </c>
      <c r="S930" t="e">
        <v>#N/A</v>
      </c>
      <c r="T930">
        <v>1.7</v>
      </c>
    </row>
    <row r="931" spans="18:20" x14ac:dyDescent="0.35">
      <c r="R931" t="e">
        <v>#N/A</v>
      </c>
      <c r="S931">
        <v>5</v>
      </c>
      <c r="T931" t="e">
        <v>#N/A</v>
      </c>
    </row>
    <row r="932" spans="18:20" x14ac:dyDescent="0.35">
      <c r="R932" t="e">
        <v>#N/A</v>
      </c>
      <c r="S932" t="e">
        <v>#N/A</v>
      </c>
      <c r="T932">
        <v>4.7</v>
      </c>
    </row>
    <row r="933" spans="18:20" x14ac:dyDescent="0.35">
      <c r="R933">
        <v>6.3</v>
      </c>
      <c r="S933" t="e">
        <v>#N/A</v>
      </c>
      <c r="T933" t="e">
        <v>#N/A</v>
      </c>
    </row>
    <row r="934" spans="18:20" x14ac:dyDescent="0.35">
      <c r="R934" t="e">
        <v>#N/A</v>
      </c>
      <c r="S934" t="e">
        <v>#N/A</v>
      </c>
      <c r="T934">
        <v>6.6</v>
      </c>
    </row>
    <row r="935" spans="18:20" x14ac:dyDescent="0.35">
      <c r="R935">
        <v>4.5999999999999996</v>
      </c>
      <c r="S935" t="e">
        <v>#N/A</v>
      </c>
      <c r="T935" t="e">
        <v>#N/A</v>
      </c>
    </row>
    <row r="936" spans="18:20" x14ac:dyDescent="0.35">
      <c r="R936" t="e">
        <v>#N/A</v>
      </c>
      <c r="S936">
        <v>1.8</v>
      </c>
      <c r="T936" t="e">
        <v>#N/A</v>
      </c>
    </row>
    <row r="937" spans="18:20" x14ac:dyDescent="0.35">
      <c r="R937">
        <v>8</v>
      </c>
      <c r="S937" t="e">
        <v>#N/A</v>
      </c>
      <c r="T937" t="e">
        <v>#N/A</v>
      </c>
    </row>
    <row r="938" spans="18:20" x14ac:dyDescent="0.35">
      <c r="R938">
        <v>1.2</v>
      </c>
      <c r="S938" t="e">
        <v>#N/A</v>
      </c>
      <c r="T938" t="e">
        <v>#N/A</v>
      </c>
    </row>
    <row r="939" spans="18:20" x14ac:dyDescent="0.35">
      <c r="R939">
        <v>2</v>
      </c>
      <c r="S939" t="e">
        <v>#N/A</v>
      </c>
      <c r="T939" t="e">
        <v>#N/A</v>
      </c>
    </row>
    <row r="940" spans="18:20" x14ac:dyDescent="0.35">
      <c r="R940" t="e">
        <v>#N/A</v>
      </c>
      <c r="S940" t="e">
        <v>#N/A</v>
      </c>
      <c r="T940">
        <v>4.8</v>
      </c>
    </row>
    <row r="941" spans="18:20" x14ac:dyDescent="0.35">
      <c r="R941">
        <v>1.8</v>
      </c>
      <c r="S941" t="e">
        <v>#N/A</v>
      </c>
      <c r="T941" t="e">
        <v>#N/A</v>
      </c>
    </row>
    <row r="942" spans="18:20" x14ac:dyDescent="0.35">
      <c r="R942" t="e">
        <v>#N/A</v>
      </c>
      <c r="S942">
        <v>6.1</v>
      </c>
      <c r="T942" t="e">
        <v>#N/A</v>
      </c>
    </row>
    <row r="943" spans="18:20" x14ac:dyDescent="0.35">
      <c r="R943" t="e">
        <v>#N/A</v>
      </c>
      <c r="S943" t="e">
        <v>#N/A</v>
      </c>
      <c r="T943">
        <v>3.5</v>
      </c>
    </row>
    <row r="944" spans="18:20" x14ac:dyDescent="0.35">
      <c r="R944" t="e">
        <v>#N/A</v>
      </c>
      <c r="S944">
        <v>5.3</v>
      </c>
      <c r="T944" t="e">
        <v>#N/A</v>
      </c>
    </row>
    <row r="945" spans="18:20" x14ac:dyDescent="0.35">
      <c r="R945" t="e">
        <v>#N/A</v>
      </c>
      <c r="S945" t="e">
        <v>#N/A</v>
      </c>
      <c r="T945">
        <v>4.5999999999999996</v>
      </c>
    </row>
    <row r="946" spans="18:20" x14ac:dyDescent="0.35">
      <c r="R946" t="e">
        <v>#N/A</v>
      </c>
      <c r="S946">
        <v>3.9</v>
      </c>
      <c r="T946" t="e">
        <v>#N/A</v>
      </c>
    </row>
    <row r="947" spans="18:20" x14ac:dyDescent="0.35">
      <c r="R947" t="e">
        <v>#N/A</v>
      </c>
      <c r="S947" t="e">
        <v>#N/A</v>
      </c>
      <c r="T947">
        <v>7.6</v>
      </c>
    </row>
    <row r="948" spans="18:20" x14ac:dyDescent="0.35">
      <c r="R948">
        <v>3.7</v>
      </c>
      <c r="S948" t="e">
        <v>#N/A</v>
      </c>
      <c r="T948" t="e">
        <v>#N/A</v>
      </c>
    </row>
    <row r="949" spans="18:20" x14ac:dyDescent="0.35">
      <c r="R949">
        <v>2.6</v>
      </c>
      <c r="S949" t="e">
        <v>#N/A</v>
      </c>
      <c r="T949" t="e">
        <v>#N/A</v>
      </c>
    </row>
    <row r="950" spans="18:20" x14ac:dyDescent="0.35">
      <c r="R950" t="e">
        <v>#N/A</v>
      </c>
      <c r="S950" t="e">
        <v>#N/A</v>
      </c>
      <c r="T950">
        <v>7.4</v>
      </c>
    </row>
    <row r="951" spans="18:20" x14ac:dyDescent="0.35">
      <c r="R951">
        <v>7</v>
      </c>
      <c r="S951" t="e">
        <v>#N/A</v>
      </c>
      <c r="T951" t="e">
        <v>#N/A</v>
      </c>
    </row>
    <row r="952" spans="18:20" x14ac:dyDescent="0.35">
      <c r="R952" t="e">
        <v>#N/A</v>
      </c>
      <c r="S952" t="e">
        <v>#N/A</v>
      </c>
      <c r="T952">
        <v>2.7</v>
      </c>
    </row>
    <row r="953" spans="18:20" x14ac:dyDescent="0.35">
      <c r="R953" t="e">
        <v>#N/A</v>
      </c>
      <c r="S953">
        <v>7</v>
      </c>
      <c r="T953" t="e">
        <v>#N/A</v>
      </c>
    </row>
    <row r="954" spans="18:20" x14ac:dyDescent="0.35">
      <c r="R954">
        <v>4.8</v>
      </c>
      <c r="S954" t="e">
        <v>#N/A</v>
      </c>
      <c r="T954" t="e">
        <v>#N/A</v>
      </c>
    </row>
    <row r="955" spans="18:20" x14ac:dyDescent="0.35">
      <c r="R955" t="e">
        <v>#N/A</v>
      </c>
      <c r="S955">
        <v>2.2000000000000002</v>
      </c>
      <c r="T955" t="e">
        <v>#N/A</v>
      </c>
    </row>
    <row r="956" spans="18:20" x14ac:dyDescent="0.35">
      <c r="R956">
        <v>7.9</v>
      </c>
      <c r="S956" t="e">
        <v>#N/A</v>
      </c>
      <c r="T956" t="e">
        <v>#N/A</v>
      </c>
    </row>
    <row r="957" spans="18:20" x14ac:dyDescent="0.35">
      <c r="R957" t="e">
        <v>#N/A</v>
      </c>
      <c r="S957">
        <v>3.9</v>
      </c>
      <c r="T957" t="e">
        <v>#N/A</v>
      </c>
    </row>
    <row r="958" spans="18:20" x14ac:dyDescent="0.35">
      <c r="R958" t="e">
        <v>#N/A</v>
      </c>
      <c r="S958" t="e">
        <v>#N/A</v>
      </c>
      <c r="T958">
        <v>7.2</v>
      </c>
    </row>
    <row r="959" spans="18:20" x14ac:dyDescent="0.35">
      <c r="R959" t="e">
        <v>#N/A</v>
      </c>
      <c r="S959">
        <v>5.0999999999999996</v>
      </c>
      <c r="T959" t="e">
        <v>#N/A</v>
      </c>
    </row>
    <row r="960" spans="18:20" x14ac:dyDescent="0.35">
      <c r="R960" t="e">
        <v>#N/A</v>
      </c>
      <c r="S960">
        <v>7.3</v>
      </c>
      <c r="T960" t="e">
        <v>#N/A</v>
      </c>
    </row>
    <row r="961" spans="18:20" x14ac:dyDescent="0.35">
      <c r="R961" t="e">
        <v>#N/A</v>
      </c>
      <c r="S961">
        <v>7.1</v>
      </c>
      <c r="T961" t="e">
        <v>#N/A</v>
      </c>
    </row>
    <row r="962" spans="18:20" x14ac:dyDescent="0.35">
      <c r="R962" t="e">
        <v>#N/A</v>
      </c>
      <c r="S962">
        <v>5.3</v>
      </c>
      <c r="T962" t="e">
        <v>#N/A</v>
      </c>
    </row>
    <row r="963" spans="18:20" x14ac:dyDescent="0.35">
      <c r="R963" t="e">
        <v>#N/A</v>
      </c>
      <c r="S963" t="e">
        <v>#N/A</v>
      </c>
      <c r="T963">
        <v>2.2999999999999998</v>
      </c>
    </row>
    <row r="964" spans="18:20" x14ac:dyDescent="0.35">
      <c r="R964" t="e">
        <v>#N/A</v>
      </c>
      <c r="S964" t="e">
        <v>#N/A</v>
      </c>
      <c r="T964">
        <v>2.5</v>
      </c>
    </row>
    <row r="965" spans="18:20" x14ac:dyDescent="0.35">
      <c r="R965">
        <v>2.7</v>
      </c>
      <c r="S965" t="e">
        <v>#N/A</v>
      </c>
      <c r="T965" t="e">
        <v>#N/A</v>
      </c>
    </row>
    <row r="966" spans="18:20" x14ac:dyDescent="0.35">
      <c r="R966" t="e">
        <v>#N/A</v>
      </c>
      <c r="S966" t="e">
        <v>#N/A</v>
      </c>
      <c r="T966">
        <v>5.8</v>
      </c>
    </row>
    <row r="967" spans="18:20" x14ac:dyDescent="0.35">
      <c r="R967" t="e">
        <v>#N/A</v>
      </c>
      <c r="S967">
        <v>7.7</v>
      </c>
      <c r="T967" t="e">
        <v>#N/A</v>
      </c>
    </row>
    <row r="968" spans="18:20" x14ac:dyDescent="0.35">
      <c r="R968">
        <v>6.5</v>
      </c>
      <c r="S968" t="e">
        <v>#N/A</v>
      </c>
      <c r="T968" t="e">
        <v>#N/A</v>
      </c>
    </row>
    <row r="969" spans="18:20" x14ac:dyDescent="0.35">
      <c r="R969">
        <v>3.9</v>
      </c>
      <c r="S969" t="e">
        <v>#N/A</v>
      </c>
      <c r="T969" t="e">
        <v>#N/A</v>
      </c>
    </row>
    <row r="970" spans="18:20" x14ac:dyDescent="0.35">
      <c r="R970" t="e">
        <v>#N/A</v>
      </c>
      <c r="S970">
        <v>2.1</v>
      </c>
      <c r="T970" t="e">
        <v>#N/A</v>
      </c>
    </row>
    <row r="971" spans="18:20" x14ac:dyDescent="0.35">
      <c r="R971">
        <v>8</v>
      </c>
      <c r="S971" t="e">
        <v>#N/A</v>
      </c>
      <c r="T971" t="e">
        <v>#N/A</v>
      </c>
    </row>
    <row r="972" spans="18:20" x14ac:dyDescent="0.35">
      <c r="R972" t="e">
        <v>#N/A</v>
      </c>
      <c r="S972" t="e">
        <v>#N/A</v>
      </c>
      <c r="T972">
        <v>5.0999999999999996</v>
      </c>
    </row>
    <row r="973" spans="18:20" x14ac:dyDescent="0.35">
      <c r="R973">
        <v>1.1000000000000001</v>
      </c>
      <c r="S973" t="e">
        <v>#N/A</v>
      </c>
      <c r="T973" t="e">
        <v>#N/A</v>
      </c>
    </row>
    <row r="974" spans="18:20" x14ac:dyDescent="0.35">
      <c r="R974" t="e">
        <v>#N/A</v>
      </c>
      <c r="S974">
        <v>2.4</v>
      </c>
      <c r="T974" t="e">
        <v>#N/A</v>
      </c>
    </row>
    <row r="975" spans="18:20" x14ac:dyDescent="0.35">
      <c r="R975">
        <v>6.7</v>
      </c>
      <c r="S975" t="e">
        <v>#N/A</v>
      </c>
      <c r="T975" t="e">
        <v>#N/A</v>
      </c>
    </row>
    <row r="976" spans="18:20" x14ac:dyDescent="0.35">
      <c r="R976" t="e">
        <v>#N/A</v>
      </c>
      <c r="S976">
        <v>1.5</v>
      </c>
      <c r="T976" t="e">
        <v>#N/A</v>
      </c>
    </row>
    <row r="977" spans="18:20" x14ac:dyDescent="0.35">
      <c r="R977" t="e">
        <v>#N/A</v>
      </c>
      <c r="S977" t="e">
        <v>#N/A</v>
      </c>
      <c r="T977">
        <v>3.9</v>
      </c>
    </row>
    <row r="978" spans="18:20" x14ac:dyDescent="0.35">
      <c r="R978" t="e">
        <v>#N/A</v>
      </c>
      <c r="S978">
        <v>7.2</v>
      </c>
      <c r="T978" t="e">
        <v>#N/A</v>
      </c>
    </row>
    <row r="979" spans="18:20" x14ac:dyDescent="0.35">
      <c r="R979" t="e">
        <v>#N/A</v>
      </c>
      <c r="S979">
        <v>7.8</v>
      </c>
      <c r="T979" t="e">
        <v>#N/A</v>
      </c>
    </row>
    <row r="980" spans="18:20" x14ac:dyDescent="0.35">
      <c r="R980">
        <v>4.9000000000000004</v>
      </c>
      <c r="S980" t="e">
        <v>#N/A</v>
      </c>
      <c r="T980" t="e">
        <v>#N/A</v>
      </c>
    </row>
    <row r="981" spans="18:20" x14ac:dyDescent="0.35">
      <c r="R981" t="e">
        <v>#N/A</v>
      </c>
      <c r="S981" t="e">
        <v>#N/A</v>
      </c>
      <c r="T981">
        <v>7.2</v>
      </c>
    </row>
    <row r="982" spans="18:20" x14ac:dyDescent="0.35">
      <c r="R982">
        <v>7.2</v>
      </c>
      <c r="S982" t="e">
        <v>#N/A</v>
      </c>
      <c r="T982" t="e">
        <v>#N/A</v>
      </c>
    </row>
    <row r="983" spans="18:20" x14ac:dyDescent="0.35">
      <c r="R983" t="e">
        <v>#N/A</v>
      </c>
      <c r="S983">
        <v>7.7</v>
      </c>
      <c r="T983" t="e">
        <v>#N/A</v>
      </c>
    </row>
    <row r="984" spans="18:20" x14ac:dyDescent="0.35">
      <c r="R984">
        <v>8</v>
      </c>
      <c r="S984" t="e">
        <v>#N/A</v>
      </c>
      <c r="T984" t="e">
        <v>#N/A</v>
      </c>
    </row>
    <row r="985" spans="18:20" x14ac:dyDescent="0.35">
      <c r="R985" t="e">
        <v>#N/A</v>
      </c>
      <c r="S985">
        <v>3.7</v>
      </c>
      <c r="T985" t="e">
        <v>#N/A</v>
      </c>
    </row>
    <row r="986" spans="18:20" x14ac:dyDescent="0.35">
      <c r="R986" t="e">
        <v>#N/A</v>
      </c>
      <c r="S986" t="e">
        <v>#N/A</v>
      </c>
      <c r="T986">
        <v>4</v>
      </c>
    </row>
    <row r="987" spans="18:20" x14ac:dyDescent="0.35">
      <c r="R987" t="e">
        <v>#N/A</v>
      </c>
      <c r="S987" t="e">
        <v>#N/A</v>
      </c>
      <c r="T987">
        <v>1.3</v>
      </c>
    </row>
    <row r="988" spans="18:20" x14ac:dyDescent="0.35">
      <c r="R988" t="e">
        <v>#N/A</v>
      </c>
      <c r="S988">
        <v>3.3</v>
      </c>
      <c r="T988" t="e">
        <v>#N/A</v>
      </c>
    </row>
    <row r="989" spans="18:20" x14ac:dyDescent="0.35">
      <c r="R989" t="e">
        <v>#N/A</v>
      </c>
      <c r="S989">
        <v>2.4</v>
      </c>
      <c r="T989" t="e">
        <v>#N/A</v>
      </c>
    </row>
    <row r="990" spans="18:20" x14ac:dyDescent="0.35">
      <c r="R990" t="e">
        <v>#N/A</v>
      </c>
      <c r="S990">
        <v>4.7</v>
      </c>
      <c r="T990" t="e">
        <v>#N/A</v>
      </c>
    </row>
    <row r="991" spans="18:20" x14ac:dyDescent="0.35">
      <c r="R991" t="e">
        <v>#N/A</v>
      </c>
      <c r="S991" t="e">
        <v>#N/A</v>
      </c>
      <c r="T991">
        <v>1.7</v>
      </c>
    </row>
    <row r="992" spans="18:20" x14ac:dyDescent="0.35">
      <c r="R992">
        <v>6.8</v>
      </c>
      <c r="S992" t="e">
        <v>#N/A</v>
      </c>
      <c r="T992" t="e">
        <v>#N/A</v>
      </c>
    </row>
    <row r="993" spans="18:20" x14ac:dyDescent="0.35">
      <c r="R993">
        <v>6.2</v>
      </c>
      <c r="S993" t="e">
        <v>#N/A</v>
      </c>
      <c r="T993" t="e">
        <v>#N/A</v>
      </c>
    </row>
    <row r="994" spans="18:20" x14ac:dyDescent="0.35">
      <c r="R994" t="e">
        <v>#N/A</v>
      </c>
      <c r="S994" t="e">
        <v>#N/A</v>
      </c>
      <c r="T994">
        <v>4.5</v>
      </c>
    </row>
    <row r="995" spans="18:20" x14ac:dyDescent="0.35">
      <c r="R995" t="e">
        <v>#N/A</v>
      </c>
      <c r="S995">
        <v>6.4</v>
      </c>
      <c r="T995" t="e">
        <v>#N/A</v>
      </c>
    </row>
    <row r="996" spans="18:20" x14ac:dyDescent="0.35">
      <c r="R996" t="e">
        <v>#N/A</v>
      </c>
      <c r="S996" t="e">
        <v>#N/A</v>
      </c>
      <c r="T996">
        <v>3.6</v>
      </c>
    </row>
    <row r="997" spans="18:20" x14ac:dyDescent="0.35">
      <c r="R997">
        <v>5.3</v>
      </c>
      <c r="S997" t="e">
        <v>#N/A</v>
      </c>
      <c r="T997" t="e">
        <v>#N/A</v>
      </c>
    </row>
    <row r="998" spans="18:20" x14ac:dyDescent="0.35">
      <c r="R998" t="e">
        <v>#N/A</v>
      </c>
      <c r="S998">
        <v>6.6</v>
      </c>
      <c r="T998" t="e">
        <v>#N/A</v>
      </c>
    </row>
    <row r="999" spans="18:20" x14ac:dyDescent="0.35">
      <c r="R999" t="e">
        <v>#N/A</v>
      </c>
      <c r="S999" t="e">
        <v>#N/A</v>
      </c>
      <c r="T999">
        <v>2.9</v>
      </c>
    </row>
    <row r="1000" spans="18:20" x14ac:dyDescent="0.35">
      <c r="R1000" t="e">
        <v>#N/A</v>
      </c>
      <c r="S1000" t="e">
        <v>#N/A</v>
      </c>
      <c r="T1000">
        <v>3.8</v>
      </c>
    </row>
    <row r="1001" spans="18:20" x14ac:dyDescent="0.35">
      <c r="R1001">
        <v>8</v>
      </c>
      <c r="S1001" t="e">
        <v>#N/A</v>
      </c>
      <c r="T1001" t="e">
        <v>#N/A</v>
      </c>
    </row>
    <row r="1002" spans="18:20" x14ac:dyDescent="0.35">
      <c r="R1002" t="e">
        <v>#N/A</v>
      </c>
      <c r="S1002" t="e">
        <v>#N/A</v>
      </c>
      <c r="T1002">
        <v>4</v>
      </c>
    </row>
    <row r="1003" spans="18:20" x14ac:dyDescent="0.35">
      <c r="R1003">
        <v>7.6</v>
      </c>
      <c r="S1003" t="e">
        <v>#N/A</v>
      </c>
      <c r="T1003" t="e">
        <v>#N/A</v>
      </c>
    </row>
    <row r="1004" spans="18:20" x14ac:dyDescent="0.35">
      <c r="R1004" t="e">
        <v>#N/A</v>
      </c>
      <c r="S1004" t="e">
        <v>#N/A</v>
      </c>
      <c r="T1004">
        <v>6</v>
      </c>
    </row>
    <row r="1005" spans="18:20" x14ac:dyDescent="0.35">
      <c r="R1005">
        <v>5.9</v>
      </c>
      <c r="S1005" t="e">
        <v>#N/A</v>
      </c>
      <c r="T1005" t="e">
        <v>#N/A</v>
      </c>
    </row>
    <row r="1006" spans="18:20" x14ac:dyDescent="0.35">
      <c r="R1006" t="e">
        <v>#N/A</v>
      </c>
      <c r="S1006" t="e">
        <v>#N/A</v>
      </c>
      <c r="T1006">
        <v>3.3</v>
      </c>
    </row>
    <row r="1007" spans="18:20" x14ac:dyDescent="0.35">
      <c r="R1007" t="e">
        <v>#N/A</v>
      </c>
      <c r="S1007" t="e">
        <v>#N/A</v>
      </c>
      <c r="T1007">
        <v>1.5</v>
      </c>
    </row>
    <row r="1008" spans="18:20" x14ac:dyDescent="0.35">
      <c r="R1008" t="e">
        <v>#N/A</v>
      </c>
      <c r="S1008" t="e">
        <v>#N/A</v>
      </c>
      <c r="T1008">
        <v>4.4000000000000004</v>
      </c>
    </row>
    <row r="1009" spans="18:20" x14ac:dyDescent="0.35">
      <c r="R1009" t="e">
        <v>#N/A</v>
      </c>
      <c r="S1009">
        <v>4.5999999999999996</v>
      </c>
      <c r="T1009" t="e">
        <v>#N/A</v>
      </c>
    </row>
    <row r="1010" spans="18:20" x14ac:dyDescent="0.35">
      <c r="R1010">
        <v>3.8</v>
      </c>
      <c r="S1010" t="e">
        <v>#N/A</v>
      </c>
      <c r="T1010" t="e">
        <v>#N/A</v>
      </c>
    </row>
    <row r="1011" spans="18:20" x14ac:dyDescent="0.35">
      <c r="R1011" t="e">
        <v>#N/A</v>
      </c>
      <c r="S1011">
        <v>4.2</v>
      </c>
      <c r="T1011" t="e">
        <v>#N/A</v>
      </c>
    </row>
    <row r="1012" spans="18:20" x14ac:dyDescent="0.35">
      <c r="R1012">
        <v>4.9000000000000004</v>
      </c>
      <c r="S1012" t="e">
        <v>#N/A</v>
      </c>
      <c r="T1012" t="e">
        <v>#N/A</v>
      </c>
    </row>
    <row r="1013" spans="18:20" x14ac:dyDescent="0.35">
      <c r="R1013" t="e">
        <v>#N/A</v>
      </c>
      <c r="S1013">
        <v>5.0999999999999996</v>
      </c>
      <c r="T1013" t="e">
        <v>#N/A</v>
      </c>
    </row>
    <row r="1014" spans="18:20" x14ac:dyDescent="0.35">
      <c r="R1014">
        <v>5.2</v>
      </c>
      <c r="S1014" t="e">
        <v>#N/A</v>
      </c>
      <c r="T1014" t="e">
        <v>#N/A</v>
      </c>
    </row>
    <row r="1015" spans="18:20" x14ac:dyDescent="0.35">
      <c r="R1015" t="e">
        <v>#N/A</v>
      </c>
      <c r="S1015">
        <v>4.8</v>
      </c>
      <c r="T1015" t="e">
        <v>#N/A</v>
      </c>
    </row>
    <row r="1016" spans="18:20" x14ac:dyDescent="0.35">
      <c r="R1016" t="e">
        <v>#N/A</v>
      </c>
      <c r="S1016" t="e">
        <v>#N/A</v>
      </c>
      <c r="T1016">
        <v>7.6</v>
      </c>
    </row>
    <row r="1017" spans="18:20" x14ac:dyDescent="0.35">
      <c r="R1017" t="e">
        <v>#N/A</v>
      </c>
      <c r="S1017" t="e">
        <v>#N/A</v>
      </c>
      <c r="T1017">
        <v>1.7</v>
      </c>
    </row>
    <row r="1018" spans="18:20" x14ac:dyDescent="0.35">
      <c r="R1018" t="e">
        <v>#N/A</v>
      </c>
      <c r="S1018" t="e">
        <v>#N/A</v>
      </c>
      <c r="T1018">
        <v>7.3</v>
      </c>
    </row>
    <row r="1019" spans="18:20" x14ac:dyDescent="0.35">
      <c r="R1019" t="e">
        <v>#N/A</v>
      </c>
      <c r="S1019">
        <v>4.8</v>
      </c>
      <c r="T1019" t="e">
        <v>#N/A</v>
      </c>
    </row>
    <row r="1020" spans="18:20" x14ac:dyDescent="0.35">
      <c r="R1020">
        <v>7.3</v>
      </c>
      <c r="S1020" t="e">
        <v>#N/A</v>
      </c>
      <c r="T1020" t="e">
        <v>#N/A</v>
      </c>
    </row>
    <row r="1021" spans="18:20" x14ac:dyDescent="0.35">
      <c r="R1021" t="e">
        <v>#N/A</v>
      </c>
      <c r="S1021">
        <v>5.7</v>
      </c>
      <c r="T1021" t="e">
        <v>#N/A</v>
      </c>
    </row>
    <row r="1022" spans="18:20" x14ac:dyDescent="0.35">
      <c r="R1022">
        <v>3.8</v>
      </c>
      <c r="S1022" t="e">
        <v>#N/A</v>
      </c>
      <c r="T1022" t="e">
        <v>#N/A</v>
      </c>
    </row>
    <row r="1023" spans="18:20" x14ac:dyDescent="0.35">
      <c r="R1023" t="e">
        <v>#N/A</v>
      </c>
      <c r="S1023" t="e">
        <v>#N/A</v>
      </c>
      <c r="T1023">
        <v>5.4</v>
      </c>
    </row>
    <row r="1024" spans="18:20" x14ac:dyDescent="0.35">
      <c r="R1024" t="e">
        <v>#N/A</v>
      </c>
      <c r="S1024">
        <v>2.2000000000000002</v>
      </c>
      <c r="T1024" t="e">
        <v>#N/A</v>
      </c>
    </row>
    <row r="1025" spans="18:20" x14ac:dyDescent="0.35">
      <c r="R1025">
        <v>2.7</v>
      </c>
      <c r="S1025" t="e">
        <v>#N/A</v>
      </c>
      <c r="T1025" t="e">
        <v>#N/A</v>
      </c>
    </row>
    <row r="1026" spans="18:20" x14ac:dyDescent="0.35">
      <c r="R1026">
        <v>1.8</v>
      </c>
      <c r="S1026" t="e">
        <v>#N/A</v>
      </c>
      <c r="T1026" t="e">
        <v>#N/A</v>
      </c>
    </row>
    <row r="1027" spans="18:20" x14ac:dyDescent="0.35">
      <c r="R1027" t="e">
        <v>#N/A</v>
      </c>
      <c r="S1027">
        <v>6.6</v>
      </c>
      <c r="T1027" t="e">
        <v>#N/A</v>
      </c>
    </row>
    <row r="1028" spans="18:20" x14ac:dyDescent="0.35">
      <c r="R1028" t="e">
        <v>#N/A</v>
      </c>
      <c r="S1028" t="e">
        <v>#N/A</v>
      </c>
      <c r="T1028">
        <v>3.5</v>
      </c>
    </row>
    <row r="1029" spans="18:20" x14ac:dyDescent="0.35">
      <c r="R1029">
        <v>3.5</v>
      </c>
      <c r="S1029" t="e">
        <v>#N/A</v>
      </c>
      <c r="T1029" t="e">
        <v>#N/A</v>
      </c>
    </row>
    <row r="1030" spans="18:20" x14ac:dyDescent="0.35">
      <c r="R1030" t="e">
        <v>#N/A</v>
      </c>
      <c r="S1030">
        <v>4.7</v>
      </c>
      <c r="T1030" t="e">
        <v>#N/A</v>
      </c>
    </row>
    <row r="1031" spans="18:20" x14ac:dyDescent="0.35">
      <c r="R1031">
        <v>6.2</v>
      </c>
      <c r="S1031" t="e">
        <v>#N/A</v>
      </c>
      <c r="T1031" t="e">
        <v>#N/A</v>
      </c>
    </row>
    <row r="1032" spans="18:20" x14ac:dyDescent="0.35">
      <c r="R1032" t="e">
        <v>#N/A</v>
      </c>
      <c r="S1032">
        <v>7.5</v>
      </c>
      <c r="T1032" t="e">
        <v>#N/A</v>
      </c>
    </row>
    <row r="1033" spans="18:20" x14ac:dyDescent="0.35">
      <c r="R1033" t="e">
        <v>#N/A</v>
      </c>
      <c r="S1033" t="e">
        <v>#N/A</v>
      </c>
      <c r="T1033">
        <v>5.9</v>
      </c>
    </row>
    <row r="1034" spans="18:20" x14ac:dyDescent="0.35">
      <c r="R1034" t="e">
        <v>#N/A</v>
      </c>
      <c r="S1034">
        <v>6.6</v>
      </c>
      <c r="T1034" t="e">
        <v>#N/A</v>
      </c>
    </row>
    <row r="1035" spans="18:20" x14ac:dyDescent="0.35">
      <c r="R1035" t="e">
        <v>#N/A</v>
      </c>
      <c r="S1035">
        <v>3.1</v>
      </c>
      <c r="T1035" t="e">
        <v>#N/A</v>
      </c>
    </row>
    <row r="1036" spans="18:20" x14ac:dyDescent="0.35">
      <c r="R1036" t="e">
        <v>#N/A</v>
      </c>
      <c r="S1036" t="e">
        <v>#N/A</v>
      </c>
      <c r="T1036">
        <v>2</v>
      </c>
    </row>
    <row r="1037" spans="18:20" x14ac:dyDescent="0.35">
      <c r="R1037" t="e">
        <v>#N/A</v>
      </c>
      <c r="S1037" t="e">
        <v>#N/A</v>
      </c>
      <c r="T1037">
        <v>4.0999999999999996</v>
      </c>
    </row>
    <row r="1038" spans="18:20" x14ac:dyDescent="0.35">
      <c r="R1038">
        <v>5.3</v>
      </c>
      <c r="S1038" t="e">
        <v>#N/A</v>
      </c>
      <c r="T1038" t="e">
        <v>#N/A</v>
      </c>
    </row>
    <row r="1039" spans="18:20" x14ac:dyDescent="0.35">
      <c r="R1039" t="e">
        <v>#N/A</v>
      </c>
      <c r="S1039">
        <v>6.8</v>
      </c>
      <c r="T1039" t="e">
        <v>#N/A</v>
      </c>
    </row>
    <row r="1040" spans="18:20" x14ac:dyDescent="0.35">
      <c r="R1040" t="e">
        <v>#N/A</v>
      </c>
      <c r="S1040">
        <v>4.5</v>
      </c>
      <c r="T1040" t="e">
        <v>#N/A</v>
      </c>
    </row>
    <row r="1041" spans="18:20" x14ac:dyDescent="0.35">
      <c r="R1041">
        <v>2.9</v>
      </c>
      <c r="S1041" t="e">
        <v>#N/A</v>
      </c>
      <c r="T1041" t="e">
        <v>#N/A</v>
      </c>
    </row>
    <row r="1042" spans="18:20" x14ac:dyDescent="0.35">
      <c r="R1042">
        <v>6.8</v>
      </c>
      <c r="S1042" t="e">
        <v>#N/A</v>
      </c>
      <c r="T1042" t="e">
        <v>#N/A</v>
      </c>
    </row>
    <row r="1043" spans="18:20" x14ac:dyDescent="0.35">
      <c r="R1043" t="e">
        <v>#N/A</v>
      </c>
      <c r="S1043">
        <v>4.5</v>
      </c>
      <c r="T1043" t="e">
        <v>#N/A</v>
      </c>
    </row>
    <row r="1044" spans="18:20" x14ac:dyDescent="0.35">
      <c r="R1044" t="e">
        <v>#N/A</v>
      </c>
      <c r="S1044">
        <v>1.6</v>
      </c>
      <c r="T1044" t="e">
        <v>#N/A</v>
      </c>
    </row>
    <row r="1045" spans="18:20" x14ac:dyDescent="0.35">
      <c r="R1045" t="e">
        <v>#N/A</v>
      </c>
      <c r="S1045" t="e">
        <v>#N/A</v>
      </c>
      <c r="T1045">
        <v>1.1000000000000001</v>
      </c>
    </row>
    <row r="1046" spans="18:20" x14ac:dyDescent="0.35">
      <c r="R1046">
        <v>7.5</v>
      </c>
      <c r="S1046" t="e">
        <v>#N/A</v>
      </c>
      <c r="T1046" t="e">
        <v>#N/A</v>
      </c>
    </row>
    <row r="1047" spans="18:20" x14ac:dyDescent="0.35">
      <c r="R1047" t="e">
        <v>#N/A</v>
      </c>
      <c r="S1047" t="e">
        <v>#N/A</v>
      </c>
      <c r="T1047">
        <v>7.4</v>
      </c>
    </row>
    <row r="1048" spans="18:20" x14ac:dyDescent="0.35">
      <c r="R1048" t="e">
        <v>#N/A</v>
      </c>
      <c r="S1048">
        <v>6.2</v>
      </c>
      <c r="T1048" t="e">
        <v>#N/A</v>
      </c>
    </row>
    <row r="1049" spans="18:20" x14ac:dyDescent="0.35">
      <c r="R1049" t="e">
        <v>#N/A</v>
      </c>
      <c r="S1049">
        <v>7.4</v>
      </c>
      <c r="T1049" t="e">
        <v>#N/A</v>
      </c>
    </row>
    <row r="1050" spans="18:20" x14ac:dyDescent="0.35">
      <c r="R1050">
        <v>5.8</v>
      </c>
      <c r="S1050" t="e">
        <v>#N/A</v>
      </c>
      <c r="T1050" t="e">
        <v>#N/A</v>
      </c>
    </row>
    <row r="1051" spans="18:20" x14ac:dyDescent="0.35">
      <c r="R1051" t="e">
        <v>#N/A</v>
      </c>
      <c r="S1051" t="e">
        <v>#N/A</v>
      </c>
      <c r="T1051">
        <v>3.2</v>
      </c>
    </row>
    <row r="1052" spans="18:20" x14ac:dyDescent="0.35">
      <c r="R1052" t="e">
        <v>#N/A</v>
      </c>
      <c r="S1052">
        <v>1.2</v>
      </c>
      <c r="T1052" t="e">
        <v>#N/A</v>
      </c>
    </row>
    <row r="1053" spans="18:20" x14ac:dyDescent="0.35">
      <c r="R1053">
        <v>3.1</v>
      </c>
      <c r="S1053" t="e">
        <v>#N/A</v>
      </c>
      <c r="T1053" t="e">
        <v>#N/A</v>
      </c>
    </row>
    <row r="1054" spans="18:20" x14ac:dyDescent="0.35">
      <c r="R1054">
        <v>4.5</v>
      </c>
      <c r="S1054" t="e">
        <v>#N/A</v>
      </c>
      <c r="T1054" t="e">
        <v>#N/A</v>
      </c>
    </row>
    <row r="1055" spans="18:20" x14ac:dyDescent="0.35">
      <c r="R1055" t="e">
        <v>#N/A</v>
      </c>
      <c r="S1055">
        <v>2.9</v>
      </c>
      <c r="T1055" t="e">
        <v>#N/A</v>
      </c>
    </row>
    <row r="1056" spans="18:20" x14ac:dyDescent="0.35">
      <c r="R1056">
        <v>1.3</v>
      </c>
      <c r="S1056" t="e">
        <v>#N/A</v>
      </c>
      <c r="T1056" t="e">
        <v>#N/A</v>
      </c>
    </row>
    <row r="1057" spans="18:20" x14ac:dyDescent="0.35">
      <c r="R1057">
        <v>7.1</v>
      </c>
      <c r="S1057" t="e">
        <v>#N/A</v>
      </c>
      <c r="T1057" t="e">
        <v>#N/A</v>
      </c>
    </row>
    <row r="1058" spans="18:20" x14ac:dyDescent="0.35">
      <c r="R1058">
        <v>7.7</v>
      </c>
      <c r="S1058" t="e">
        <v>#N/A</v>
      </c>
      <c r="T1058" t="e">
        <v>#N/A</v>
      </c>
    </row>
    <row r="1059" spans="18:20" x14ac:dyDescent="0.35">
      <c r="R1059" t="e">
        <v>#N/A</v>
      </c>
      <c r="S1059" t="e">
        <v>#N/A</v>
      </c>
      <c r="T1059">
        <v>5.7</v>
      </c>
    </row>
    <row r="1060" spans="18:20" x14ac:dyDescent="0.35">
      <c r="R1060" t="e">
        <v>#N/A</v>
      </c>
      <c r="S1060" t="e">
        <v>#N/A</v>
      </c>
      <c r="T1060">
        <v>6.1</v>
      </c>
    </row>
    <row r="1061" spans="18:20" x14ac:dyDescent="0.35">
      <c r="R1061" t="e">
        <v>#N/A</v>
      </c>
      <c r="S1061">
        <v>3.2</v>
      </c>
      <c r="T1061" t="e">
        <v>#N/A</v>
      </c>
    </row>
    <row r="1062" spans="18:20" x14ac:dyDescent="0.35">
      <c r="R1062" t="e">
        <v>#N/A</v>
      </c>
      <c r="S1062">
        <v>7.7</v>
      </c>
      <c r="T1062" t="e">
        <v>#N/A</v>
      </c>
    </row>
    <row r="1063" spans="18:20" x14ac:dyDescent="0.35">
      <c r="R1063" t="e">
        <v>#N/A</v>
      </c>
      <c r="S1063">
        <v>6.4</v>
      </c>
      <c r="T1063" t="e">
        <v>#N/A</v>
      </c>
    </row>
    <row r="1064" spans="18:20" x14ac:dyDescent="0.35">
      <c r="R1064">
        <v>1.2</v>
      </c>
      <c r="S1064" t="e">
        <v>#N/A</v>
      </c>
      <c r="T1064" t="e">
        <v>#N/A</v>
      </c>
    </row>
    <row r="1065" spans="18:20" x14ac:dyDescent="0.35">
      <c r="R1065" t="e">
        <v>#N/A</v>
      </c>
      <c r="S1065">
        <v>1.6</v>
      </c>
      <c r="T1065" t="e">
        <v>#N/A</v>
      </c>
    </row>
    <row r="1066" spans="18:20" x14ac:dyDescent="0.35">
      <c r="R1066" t="e">
        <v>#N/A</v>
      </c>
      <c r="S1066" t="e">
        <v>#N/A</v>
      </c>
      <c r="T1066">
        <v>1.7</v>
      </c>
    </row>
    <row r="1067" spans="18:20" x14ac:dyDescent="0.35">
      <c r="R1067" t="e">
        <v>#N/A</v>
      </c>
      <c r="S1067" t="e">
        <v>#N/A</v>
      </c>
      <c r="T1067">
        <v>6</v>
      </c>
    </row>
    <row r="1068" spans="18:20" x14ac:dyDescent="0.35">
      <c r="R1068" t="e">
        <v>#N/A</v>
      </c>
      <c r="S1068">
        <v>3.5</v>
      </c>
      <c r="T1068" t="e">
        <v>#N/A</v>
      </c>
    </row>
    <row r="1069" spans="18:20" x14ac:dyDescent="0.35">
      <c r="R1069" t="e">
        <v>#N/A</v>
      </c>
      <c r="S1069">
        <v>4.2</v>
      </c>
      <c r="T1069" t="e">
        <v>#N/A</v>
      </c>
    </row>
    <row r="1070" spans="18:20" x14ac:dyDescent="0.35">
      <c r="R1070" t="e">
        <v>#N/A</v>
      </c>
      <c r="S1070" t="e">
        <v>#N/A</v>
      </c>
      <c r="T1070">
        <v>5.3</v>
      </c>
    </row>
    <row r="1071" spans="18:20" x14ac:dyDescent="0.35">
      <c r="R1071" t="e">
        <v>#N/A</v>
      </c>
      <c r="S1071" t="e">
        <v>#N/A</v>
      </c>
      <c r="T1071">
        <v>6.3</v>
      </c>
    </row>
    <row r="1072" spans="18:20" x14ac:dyDescent="0.35">
      <c r="R1072">
        <v>4.5</v>
      </c>
      <c r="S1072" t="e">
        <v>#N/A</v>
      </c>
      <c r="T1072" t="e">
        <v>#N/A</v>
      </c>
    </row>
    <row r="1073" spans="18:20" x14ac:dyDescent="0.35">
      <c r="R1073" t="e">
        <v>#N/A</v>
      </c>
      <c r="S1073" t="e">
        <v>#N/A</v>
      </c>
      <c r="T1073">
        <v>5</v>
      </c>
    </row>
    <row r="1074" spans="18:20" x14ac:dyDescent="0.35">
      <c r="R1074" t="e">
        <v>#N/A</v>
      </c>
      <c r="S1074">
        <v>1.8</v>
      </c>
      <c r="T1074" t="e">
        <v>#N/A</v>
      </c>
    </row>
    <row r="1075" spans="18:20" x14ac:dyDescent="0.35">
      <c r="R1075" t="e">
        <v>#N/A</v>
      </c>
      <c r="S1075" t="e">
        <v>#N/A</v>
      </c>
      <c r="T1075">
        <v>2.6</v>
      </c>
    </row>
    <row r="1076" spans="18:20" x14ac:dyDescent="0.35">
      <c r="R1076" t="e">
        <v>#N/A</v>
      </c>
      <c r="S1076">
        <v>4.8</v>
      </c>
      <c r="T1076" t="e">
        <v>#N/A</v>
      </c>
    </row>
    <row r="1077" spans="18:20" x14ac:dyDescent="0.35">
      <c r="R1077" t="e">
        <v>#N/A</v>
      </c>
      <c r="S1077">
        <v>2.9</v>
      </c>
      <c r="T1077" t="e">
        <v>#N/A</v>
      </c>
    </row>
    <row r="1078" spans="18:20" x14ac:dyDescent="0.35">
      <c r="R1078" t="e">
        <v>#N/A</v>
      </c>
      <c r="S1078" t="e">
        <v>#N/A</v>
      </c>
      <c r="T1078">
        <v>5</v>
      </c>
    </row>
    <row r="1079" spans="18:20" x14ac:dyDescent="0.35">
      <c r="R1079">
        <v>1.9</v>
      </c>
      <c r="S1079" t="e">
        <v>#N/A</v>
      </c>
      <c r="T1079" t="e">
        <v>#N/A</v>
      </c>
    </row>
    <row r="1080" spans="18:20" x14ac:dyDescent="0.35">
      <c r="R1080">
        <v>5.9</v>
      </c>
      <c r="S1080" t="e">
        <v>#N/A</v>
      </c>
      <c r="T1080" t="e">
        <v>#N/A</v>
      </c>
    </row>
    <row r="1081" spans="18:20" x14ac:dyDescent="0.35">
      <c r="R1081" t="e">
        <v>#N/A</v>
      </c>
      <c r="S1081" t="e">
        <v>#N/A</v>
      </c>
      <c r="T1081">
        <v>1.2</v>
      </c>
    </row>
    <row r="1082" spans="18:20" x14ac:dyDescent="0.35">
      <c r="R1082">
        <v>3.2</v>
      </c>
      <c r="S1082" t="e">
        <v>#N/A</v>
      </c>
      <c r="T1082" t="e">
        <v>#N/A</v>
      </c>
    </row>
    <row r="1083" spans="18:20" x14ac:dyDescent="0.35">
      <c r="R1083" t="e">
        <v>#N/A</v>
      </c>
      <c r="S1083" t="e">
        <v>#N/A</v>
      </c>
      <c r="T1083">
        <v>2.2000000000000002</v>
      </c>
    </row>
    <row r="1084" spans="18:20" x14ac:dyDescent="0.35">
      <c r="R1084" t="e">
        <v>#N/A</v>
      </c>
      <c r="S1084">
        <v>2.6</v>
      </c>
      <c r="T1084" t="e">
        <v>#N/A</v>
      </c>
    </row>
    <row r="1085" spans="18:20" x14ac:dyDescent="0.35">
      <c r="R1085" t="e">
        <v>#N/A</v>
      </c>
      <c r="S1085" t="e">
        <v>#N/A</v>
      </c>
      <c r="T1085">
        <v>6.3</v>
      </c>
    </row>
    <row r="1086" spans="18:20" x14ac:dyDescent="0.35">
      <c r="R1086">
        <v>2.5</v>
      </c>
      <c r="S1086" t="e">
        <v>#N/A</v>
      </c>
      <c r="T1086" t="e">
        <v>#N/A</v>
      </c>
    </row>
    <row r="1087" spans="18:20" x14ac:dyDescent="0.35">
      <c r="R1087" t="e">
        <v>#N/A</v>
      </c>
      <c r="S1087">
        <v>7.9</v>
      </c>
      <c r="T1087" t="e">
        <v>#N/A</v>
      </c>
    </row>
    <row r="1088" spans="18:20" x14ac:dyDescent="0.35">
      <c r="R1088">
        <v>1</v>
      </c>
      <c r="S1088" t="e">
        <v>#N/A</v>
      </c>
      <c r="T1088" t="e">
        <v>#N/A</v>
      </c>
    </row>
    <row r="1089" spans="18:20" x14ac:dyDescent="0.35">
      <c r="R1089" t="e">
        <v>#N/A</v>
      </c>
      <c r="S1089">
        <v>2</v>
      </c>
      <c r="T1089" t="e">
        <v>#N/A</v>
      </c>
    </row>
    <row r="1090" spans="18:20" x14ac:dyDescent="0.35">
      <c r="R1090">
        <v>6.7</v>
      </c>
      <c r="S1090" t="e">
        <v>#N/A</v>
      </c>
      <c r="T1090" t="e">
        <v>#N/A</v>
      </c>
    </row>
    <row r="1091" spans="18:20" x14ac:dyDescent="0.35">
      <c r="R1091">
        <v>3.6</v>
      </c>
      <c r="S1091" t="e">
        <v>#N/A</v>
      </c>
      <c r="T1091" t="e">
        <v>#N/A</v>
      </c>
    </row>
    <row r="1092" spans="18:20" x14ac:dyDescent="0.35">
      <c r="R1092">
        <v>3.7</v>
      </c>
      <c r="S1092" t="e">
        <v>#N/A</v>
      </c>
      <c r="T1092" t="e">
        <v>#N/A</v>
      </c>
    </row>
    <row r="1093" spans="18:20" x14ac:dyDescent="0.35">
      <c r="R1093" t="e">
        <v>#N/A</v>
      </c>
      <c r="S1093" t="e">
        <v>#N/A</v>
      </c>
      <c r="T1093">
        <v>5.5</v>
      </c>
    </row>
    <row r="1094" spans="18:20" x14ac:dyDescent="0.35">
      <c r="R1094">
        <v>5.5</v>
      </c>
      <c r="S1094" t="e">
        <v>#N/A</v>
      </c>
      <c r="T1094" t="e">
        <v>#N/A</v>
      </c>
    </row>
    <row r="1095" spans="18:20" x14ac:dyDescent="0.35">
      <c r="R1095" t="e">
        <v>#N/A</v>
      </c>
      <c r="S1095">
        <v>5.7</v>
      </c>
      <c r="T1095" t="e">
        <v>#N/A</v>
      </c>
    </row>
    <row r="1096" spans="18:20" x14ac:dyDescent="0.35">
      <c r="R1096">
        <v>2.8</v>
      </c>
      <c r="S1096" t="e">
        <v>#N/A</v>
      </c>
      <c r="T1096" t="e">
        <v>#N/A</v>
      </c>
    </row>
    <row r="1097" spans="18:20" x14ac:dyDescent="0.35">
      <c r="R1097" t="e">
        <v>#N/A</v>
      </c>
      <c r="S1097">
        <v>7.5</v>
      </c>
      <c r="T1097" t="e">
        <v>#N/A</v>
      </c>
    </row>
    <row r="1098" spans="18:20" x14ac:dyDescent="0.35">
      <c r="R1098">
        <v>2.7</v>
      </c>
      <c r="S1098" t="e">
        <v>#N/A</v>
      </c>
      <c r="T1098" t="e">
        <v>#N/A</v>
      </c>
    </row>
    <row r="1099" spans="18:20" x14ac:dyDescent="0.35">
      <c r="R1099" t="e">
        <v>#N/A</v>
      </c>
      <c r="S1099" t="e">
        <v>#N/A</v>
      </c>
      <c r="T1099">
        <v>2.5</v>
      </c>
    </row>
    <row r="1100" spans="18:20" x14ac:dyDescent="0.35">
      <c r="R1100" t="e">
        <v>#N/A</v>
      </c>
      <c r="S1100">
        <v>1.6</v>
      </c>
      <c r="T1100" t="e">
        <v>#N/A</v>
      </c>
    </row>
    <row r="1101" spans="18:20" x14ac:dyDescent="0.35">
      <c r="R1101">
        <v>4.5999999999999996</v>
      </c>
      <c r="S1101" t="e">
        <v>#N/A</v>
      </c>
      <c r="T1101" t="e">
        <v>#N/A</v>
      </c>
    </row>
    <row r="1102" spans="18:20" x14ac:dyDescent="0.35">
      <c r="R1102" t="e">
        <v>#N/A</v>
      </c>
      <c r="S1102">
        <v>2.5</v>
      </c>
      <c r="T1102" t="e">
        <v>#N/A</v>
      </c>
    </row>
    <row r="1103" spans="18:20" x14ac:dyDescent="0.35">
      <c r="R1103" t="e">
        <v>#N/A</v>
      </c>
      <c r="S1103" t="e">
        <v>#N/A</v>
      </c>
      <c r="T1103">
        <v>6.8</v>
      </c>
    </row>
    <row r="1104" spans="18:20" x14ac:dyDescent="0.35">
      <c r="R1104">
        <v>7.9</v>
      </c>
      <c r="S1104" t="e">
        <v>#N/A</v>
      </c>
      <c r="T1104" t="e">
        <v>#N/A</v>
      </c>
    </row>
    <row r="1105" spans="18:20" x14ac:dyDescent="0.35">
      <c r="R1105" t="e">
        <v>#N/A</v>
      </c>
      <c r="S1105">
        <v>6.1</v>
      </c>
      <c r="T1105" t="e">
        <v>#N/A</v>
      </c>
    </row>
    <row r="1106" spans="18:20" x14ac:dyDescent="0.35">
      <c r="R1106" t="e">
        <v>#N/A</v>
      </c>
      <c r="S1106" t="e">
        <v>#N/A</v>
      </c>
      <c r="T1106">
        <v>1.5</v>
      </c>
    </row>
    <row r="1107" spans="18:20" x14ac:dyDescent="0.35">
      <c r="R1107" t="e">
        <v>#N/A</v>
      </c>
      <c r="S1107" t="e">
        <v>#N/A</v>
      </c>
      <c r="T1107">
        <v>2.4</v>
      </c>
    </row>
    <row r="1108" spans="18:20" x14ac:dyDescent="0.35">
      <c r="R1108" t="e">
        <v>#N/A</v>
      </c>
      <c r="S1108">
        <v>4.3</v>
      </c>
      <c r="T1108" t="e">
        <v>#N/A</v>
      </c>
    </row>
    <row r="1109" spans="18:20" x14ac:dyDescent="0.35">
      <c r="R1109">
        <v>1.3</v>
      </c>
      <c r="S1109" t="e">
        <v>#N/A</v>
      </c>
      <c r="T1109" t="e">
        <v>#N/A</v>
      </c>
    </row>
    <row r="1110" spans="18:20" x14ac:dyDescent="0.35">
      <c r="R1110" t="e">
        <v>#N/A</v>
      </c>
      <c r="S1110" t="e">
        <v>#N/A</v>
      </c>
      <c r="T1110">
        <v>7.7</v>
      </c>
    </row>
    <row r="1111" spans="18:20" x14ac:dyDescent="0.35">
      <c r="R1111" t="e">
        <v>#N/A</v>
      </c>
      <c r="S1111">
        <v>5.8</v>
      </c>
      <c r="T1111" t="e">
        <v>#N/A</v>
      </c>
    </row>
    <row r="1112" spans="18:20" x14ac:dyDescent="0.35">
      <c r="R1112">
        <v>1.6</v>
      </c>
      <c r="S1112" t="e">
        <v>#N/A</v>
      </c>
      <c r="T1112" t="e">
        <v>#N/A</v>
      </c>
    </row>
    <row r="1113" spans="18:20" x14ac:dyDescent="0.35">
      <c r="R1113" t="e">
        <v>#N/A</v>
      </c>
      <c r="S1113" t="e">
        <v>#N/A</v>
      </c>
      <c r="T1113">
        <v>5.3</v>
      </c>
    </row>
    <row r="1114" spans="18:20" x14ac:dyDescent="0.35">
      <c r="R1114">
        <v>5</v>
      </c>
      <c r="S1114" t="e">
        <v>#N/A</v>
      </c>
      <c r="T1114" t="e">
        <v>#N/A</v>
      </c>
    </row>
    <row r="1115" spans="18:20" x14ac:dyDescent="0.35">
      <c r="R1115" t="e">
        <v>#N/A</v>
      </c>
      <c r="S1115" t="e">
        <v>#N/A</v>
      </c>
      <c r="T1115">
        <v>1.8</v>
      </c>
    </row>
    <row r="1116" spans="18:20" x14ac:dyDescent="0.35">
      <c r="R1116" t="e">
        <v>#N/A</v>
      </c>
      <c r="S1116">
        <v>7.5</v>
      </c>
      <c r="T1116" t="e">
        <v>#N/A</v>
      </c>
    </row>
    <row r="1117" spans="18:20" x14ac:dyDescent="0.35">
      <c r="R1117">
        <v>4.2</v>
      </c>
      <c r="S1117" t="e">
        <v>#N/A</v>
      </c>
      <c r="T1117" t="e">
        <v>#N/A</v>
      </c>
    </row>
    <row r="1118" spans="18:20" x14ac:dyDescent="0.35">
      <c r="R1118" t="e">
        <v>#N/A</v>
      </c>
      <c r="S1118" t="e">
        <v>#N/A</v>
      </c>
      <c r="T1118">
        <v>4</v>
      </c>
    </row>
    <row r="1119" spans="18:20" x14ac:dyDescent="0.35">
      <c r="R1119" t="e">
        <v>#N/A</v>
      </c>
      <c r="S1119" t="e">
        <v>#N/A</v>
      </c>
      <c r="T1119">
        <v>7.9</v>
      </c>
    </row>
    <row r="1120" spans="18:20" x14ac:dyDescent="0.35">
      <c r="R1120" t="e">
        <v>#N/A</v>
      </c>
      <c r="S1120" t="e">
        <v>#N/A</v>
      </c>
      <c r="T1120">
        <v>2.6</v>
      </c>
    </row>
    <row r="1121" spans="18:20" x14ac:dyDescent="0.35">
      <c r="R1121" t="e">
        <v>#N/A</v>
      </c>
      <c r="S1121" t="e">
        <v>#N/A</v>
      </c>
      <c r="T1121">
        <v>4.5999999999999996</v>
      </c>
    </row>
    <row r="1122" spans="18:20" x14ac:dyDescent="0.35">
      <c r="R1122" t="e">
        <v>#N/A</v>
      </c>
      <c r="S1122" t="e">
        <v>#N/A</v>
      </c>
      <c r="T1122">
        <v>1.2</v>
      </c>
    </row>
    <row r="1123" spans="18:20" x14ac:dyDescent="0.35">
      <c r="R1123" t="e">
        <v>#N/A</v>
      </c>
      <c r="S1123" t="e">
        <v>#N/A</v>
      </c>
      <c r="T1123">
        <v>5.6</v>
      </c>
    </row>
    <row r="1124" spans="18:20" x14ac:dyDescent="0.35">
      <c r="R1124">
        <v>4.3</v>
      </c>
      <c r="S1124" t="e">
        <v>#N/A</v>
      </c>
      <c r="T1124" t="e">
        <v>#N/A</v>
      </c>
    </row>
    <row r="1125" spans="18:20" x14ac:dyDescent="0.35">
      <c r="R1125">
        <v>4.0999999999999996</v>
      </c>
      <c r="S1125" t="e">
        <v>#N/A</v>
      </c>
      <c r="T1125" t="e">
        <v>#N/A</v>
      </c>
    </row>
    <row r="1126" spans="18:20" x14ac:dyDescent="0.35">
      <c r="R1126" t="e">
        <v>#N/A</v>
      </c>
      <c r="S1126" t="e">
        <v>#N/A</v>
      </c>
      <c r="T1126">
        <v>1.6</v>
      </c>
    </row>
    <row r="1127" spans="18:20" x14ac:dyDescent="0.35">
      <c r="R1127">
        <v>2</v>
      </c>
      <c r="S1127" t="e">
        <v>#N/A</v>
      </c>
      <c r="T1127" t="e">
        <v>#N/A</v>
      </c>
    </row>
    <row r="1128" spans="18:20" x14ac:dyDescent="0.35">
      <c r="R1128" t="e">
        <v>#N/A</v>
      </c>
      <c r="S1128">
        <v>2</v>
      </c>
      <c r="T1128" t="e">
        <v>#N/A</v>
      </c>
    </row>
    <row r="1129" spans="18:20" x14ac:dyDescent="0.35">
      <c r="R1129">
        <v>1.6</v>
      </c>
      <c r="S1129" t="e">
        <v>#N/A</v>
      </c>
      <c r="T1129" t="e">
        <v>#N/A</v>
      </c>
    </row>
    <row r="1130" spans="18:20" x14ac:dyDescent="0.35">
      <c r="R1130" t="e">
        <v>#N/A</v>
      </c>
      <c r="S1130" t="e">
        <v>#N/A</v>
      </c>
      <c r="T1130">
        <v>6.5</v>
      </c>
    </row>
    <row r="1131" spans="18:20" x14ac:dyDescent="0.35">
      <c r="R1131">
        <v>2.2999999999999998</v>
      </c>
      <c r="S1131" t="e">
        <v>#N/A</v>
      </c>
      <c r="T1131" t="e">
        <v>#N/A</v>
      </c>
    </row>
    <row r="1132" spans="18:20" x14ac:dyDescent="0.35">
      <c r="R1132">
        <v>1.3</v>
      </c>
      <c r="S1132" t="e">
        <v>#N/A</v>
      </c>
      <c r="T1132" t="e">
        <v>#N/A</v>
      </c>
    </row>
    <row r="1133" spans="18:20" x14ac:dyDescent="0.35">
      <c r="R1133" t="e">
        <v>#N/A</v>
      </c>
      <c r="S1133" t="e">
        <v>#N/A</v>
      </c>
      <c r="T1133">
        <v>2.4</v>
      </c>
    </row>
    <row r="1134" spans="18:20" x14ac:dyDescent="0.35">
      <c r="R1134" t="e">
        <v>#N/A</v>
      </c>
      <c r="S1134">
        <v>2</v>
      </c>
      <c r="T1134" t="e">
        <v>#N/A</v>
      </c>
    </row>
    <row r="1135" spans="18:20" x14ac:dyDescent="0.35">
      <c r="R1135" t="e">
        <v>#N/A</v>
      </c>
      <c r="S1135">
        <v>4.7</v>
      </c>
      <c r="T1135" t="e">
        <v>#N/A</v>
      </c>
    </row>
    <row r="1136" spans="18:20" x14ac:dyDescent="0.35">
      <c r="R1136" t="e">
        <v>#N/A</v>
      </c>
      <c r="S1136">
        <v>3.5</v>
      </c>
      <c r="T1136" t="e">
        <v>#N/A</v>
      </c>
    </row>
    <row r="1137" spans="18:20" x14ac:dyDescent="0.35">
      <c r="R1137" t="e">
        <v>#N/A</v>
      </c>
      <c r="S1137">
        <v>4.9000000000000004</v>
      </c>
      <c r="T1137" t="e">
        <v>#N/A</v>
      </c>
    </row>
    <row r="1138" spans="18:20" x14ac:dyDescent="0.35">
      <c r="R1138" t="e">
        <v>#N/A</v>
      </c>
      <c r="S1138">
        <v>2.2999999999999998</v>
      </c>
      <c r="T1138" t="e">
        <v>#N/A</v>
      </c>
    </row>
    <row r="1139" spans="18:20" x14ac:dyDescent="0.35">
      <c r="R1139" t="e">
        <v>#N/A</v>
      </c>
      <c r="S1139" t="e">
        <v>#N/A</v>
      </c>
      <c r="T1139">
        <v>6</v>
      </c>
    </row>
    <row r="1140" spans="18:20" x14ac:dyDescent="0.35">
      <c r="R1140" t="e">
        <v>#N/A</v>
      </c>
      <c r="S1140">
        <v>1.2</v>
      </c>
      <c r="T1140" t="e">
        <v>#N/A</v>
      </c>
    </row>
    <row r="1141" spans="18:20" x14ac:dyDescent="0.35">
      <c r="R1141">
        <v>5.3</v>
      </c>
      <c r="S1141" t="e">
        <v>#N/A</v>
      </c>
      <c r="T1141" t="e">
        <v>#N/A</v>
      </c>
    </row>
    <row r="1142" spans="18:20" x14ac:dyDescent="0.35">
      <c r="R1142" t="e">
        <v>#N/A</v>
      </c>
      <c r="S1142" t="e">
        <v>#N/A</v>
      </c>
      <c r="T1142">
        <v>2.7</v>
      </c>
    </row>
    <row r="1143" spans="18:20" x14ac:dyDescent="0.35">
      <c r="R1143" t="e">
        <v>#N/A</v>
      </c>
      <c r="S1143" t="e">
        <v>#N/A</v>
      </c>
      <c r="T1143">
        <v>5.9</v>
      </c>
    </row>
    <row r="1144" spans="18:20" x14ac:dyDescent="0.35">
      <c r="R1144" t="e">
        <v>#N/A</v>
      </c>
      <c r="S1144">
        <v>4.4000000000000004</v>
      </c>
      <c r="T1144" t="e">
        <v>#N/A</v>
      </c>
    </row>
    <row r="1145" spans="18:20" x14ac:dyDescent="0.35">
      <c r="R1145" t="e">
        <v>#N/A</v>
      </c>
      <c r="S1145" t="e">
        <v>#N/A</v>
      </c>
      <c r="T1145">
        <v>4.5999999999999996</v>
      </c>
    </row>
    <row r="1146" spans="18:20" x14ac:dyDescent="0.35">
      <c r="R1146">
        <v>1.8</v>
      </c>
      <c r="S1146" t="e">
        <v>#N/A</v>
      </c>
      <c r="T1146" t="e">
        <v>#N/A</v>
      </c>
    </row>
    <row r="1147" spans="18:20" x14ac:dyDescent="0.35">
      <c r="R1147">
        <v>7</v>
      </c>
      <c r="S1147" t="e">
        <v>#N/A</v>
      </c>
      <c r="T1147" t="e">
        <v>#N/A</v>
      </c>
    </row>
    <row r="1148" spans="18:20" x14ac:dyDescent="0.35">
      <c r="R1148" t="e">
        <v>#N/A</v>
      </c>
      <c r="S1148" t="e">
        <v>#N/A</v>
      </c>
      <c r="T1148">
        <v>4.4000000000000004</v>
      </c>
    </row>
    <row r="1149" spans="18:20" x14ac:dyDescent="0.35">
      <c r="R1149" t="e">
        <v>#N/A</v>
      </c>
      <c r="S1149" t="e">
        <v>#N/A</v>
      </c>
      <c r="T1149">
        <v>6.4</v>
      </c>
    </row>
    <row r="1150" spans="18:20" x14ac:dyDescent="0.35">
      <c r="R1150">
        <v>6.6</v>
      </c>
      <c r="S1150" t="e">
        <v>#N/A</v>
      </c>
      <c r="T1150" t="e">
        <v>#N/A</v>
      </c>
    </row>
    <row r="1151" spans="18:20" x14ac:dyDescent="0.35">
      <c r="R1151">
        <v>1.5</v>
      </c>
      <c r="S1151" t="e">
        <v>#N/A</v>
      </c>
      <c r="T1151" t="e">
        <v>#N/A</v>
      </c>
    </row>
    <row r="1152" spans="18:20" x14ac:dyDescent="0.35">
      <c r="R1152" t="e">
        <v>#N/A</v>
      </c>
      <c r="S1152">
        <v>1.8</v>
      </c>
      <c r="T1152" t="e">
        <v>#N/A</v>
      </c>
    </row>
    <row r="1153" spans="18:20" x14ac:dyDescent="0.35">
      <c r="R1153" t="e">
        <v>#N/A</v>
      </c>
      <c r="S1153" t="e">
        <v>#N/A</v>
      </c>
      <c r="T1153">
        <v>5</v>
      </c>
    </row>
    <row r="1154" spans="18:20" x14ac:dyDescent="0.35">
      <c r="R1154" t="e">
        <v>#N/A</v>
      </c>
      <c r="S1154">
        <v>4.8</v>
      </c>
      <c r="T1154" t="e">
        <v>#N/A</v>
      </c>
    </row>
    <row r="1155" spans="18:20" x14ac:dyDescent="0.35">
      <c r="R1155">
        <v>6.9</v>
      </c>
      <c r="S1155" t="e">
        <v>#N/A</v>
      </c>
      <c r="T1155" t="e">
        <v>#N/A</v>
      </c>
    </row>
    <row r="1156" spans="18:20" x14ac:dyDescent="0.35">
      <c r="R1156" t="e">
        <v>#N/A</v>
      </c>
      <c r="S1156" t="e">
        <v>#N/A</v>
      </c>
      <c r="T1156">
        <v>6.6</v>
      </c>
    </row>
    <row r="1157" spans="18:20" x14ac:dyDescent="0.35">
      <c r="R1157" t="e">
        <v>#N/A</v>
      </c>
      <c r="S1157">
        <v>1.5</v>
      </c>
      <c r="T1157" t="e">
        <v>#N/A</v>
      </c>
    </row>
    <row r="1158" spans="18:20" x14ac:dyDescent="0.35">
      <c r="R1158" t="e">
        <v>#N/A</v>
      </c>
      <c r="S1158">
        <v>1.8</v>
      </c>
      <c r="T1158" t="e">
        <v>#N/A</v>
      </c>
    </row>
    <row r="1159" spans="18:20" x14ac:dyDescent="0.35">
      <c r="R1159">
        <v>2</v>
      </c>
      <c r="S1159" t="e">
        <v>#N/A</v>
      </c>
      <c r="T1159" t="e">
        <v>#N/A</v>
      </c>
    </row>
    <row r="1160" spans="18:20" x14ac:dyDescent="0.35">
      <c r="R1160" t="e">
        <v>#N/A</v>
      </c>
      <c r="S1160" t="e">
        <v>#N/A</v>
      </c>
      <c r="T1160">
        <v>5.9</v>
      </c>
    </row>
    <row r="1161" spans="18:20" x14ac:dyDescent="0.35">
      <c r="R1161" t="e">
        <v>#N/A</v>
      </c>
      <c r="S1161" t="e">
        <v>#N/A</v>
      </c>
      <c r="T1161">
        <v>2.9</v>
      </c>
    </row>
    <row r="1162" spans="18:20" x14ac:dyDescent="0.35">
      <c r="R1162" t="e">
        <v>#N/A</v>
      </c>
      <c r="S1162">
        <v>3.5</v>
      </c>
      <c r="T1162" t="e">
        <v>#N/A</v>
      </c>
    </row>
    <row r="1163" spans="18:20" x14ac:dyDescent="0.35">
      <c r="R1163" t="e">
        <v>#N/A</v>
      </c>
      <c r="S1163">
        <v>6.9</v>
      </c>
      <c r="T1163" t="e">
        <v>#N/A</v>
      </c>
    </row>
    <row r="1164" spans="18:20" x14ac:dyDescent="0.35">
      <c r="R1164">
        <v>7</v>
      </c>
      <c r="S1164" t="e">
        <v>#N/A</v>
      </c>
      <c r="T1164" t="e">
        <v>#N/A</v>
      </c>
    </row>
    <row r="1165" spans="18:20" x14ac:dyDescent="0.35">
      <c r="R1165">
        <v>3.2</v>
      </c>
      <c r="S1165" t="e">
        <v>#N/A</v>
      </c>
      <c r="T1165" t="e">
        <v>#N/A</v>
      </c>
    </row>
    <row r="1166" spans="18:20" x14ac:dyDescent="0.35">
      <c r="R1166" t="e">
        <v>#N/A</v>
      </c>
      <c r="S1166" t="e">
        <v>#N/A</v>
      </c>
      <c r="T1166">
        <v>5.8</v>
      </c>
    </row>
    <row r="1167" spans="18:20" x14ac:dyDescent="0.35">
      <c r="R1167" t="e">
        <v>#N/A</v>
      </c>
      <c r="S1167">
        <v>1.5</v>
      </c>
      <c r="T1167" t="e">
        <v>#N/A</v>
      </c>
    </row>
    <row r="1168" spans="18:20" x14ac:dyDescent="0.35">
      <c r="R1168">
        <v>5.7</v>
      </c>
      <c r="S1168" t="e">
        <v>#N/A</v>
      </c>
      <c r="T1168" t="e">
        <v>#N/A</v>
      </c>
    </row>
    <row r="1169" spans="18:20" x14ac:dyDescent="0.35">
      <c r="R1169" t="e">
        <v>#N/A</v>
      </c>
      <c r="S1169">
        <v>5.2</v>
      </c>
      <c r="T1169" t="e">
        <v>#N/A</v>
      </c>
    </row>
    <row r="1170" spans="18:20" x14ac:dyDescent="0.35">
      <c r="R1170" t="e">
        <v>#N/A</v>
      </c>
      <c r="S1170">
        <v>7.2</v>
      </c>
      <c r="T1170" t="e">
        <v>#N/A</v>
      </c>
    </row>
    <row r="1171" spans="18:20" x14ac:dyDescent="0.35">
      <c r="R1171" t="e">
        <v>#N/A</v>
      </c>
      <c r="S1171">
        <v>2.1</v>
      </c>
      <c r="T1171" t="e">
        <v>#N/A</v>
      </c>
    </row>
    <row r="1172" spans="18:20" x14ac:dyDescent="0.35">
      <c r="R1172">
        <v>5.2</v>
      </c>
      <c r="S1172" t="e">
        <v>#N/A</v>
      </c>
      <c r="T1172" t="e">
        <v>#N/A</v>
      </c>
    </row>
    <row r="1173" spans="18:20" x14ac:dyDescent="0.35">
      <c r="R1173">
        <v>7.7</v>
      </c>
      <c r="S1173" t="e">
        <v>#N/A</v>
      </c>
      <c r="T1173" t="e">
        <v>#N/A</v>
      </c>
    </row>
    <row r="1174" spans="18:20" x14ac:dyDescent="0.35">
      <c r="R1174">
        <v>2.7</v>
      </c>
      <c r="S1174" t="e">
        <v>#N/A</v>
      </c>
      <c r="T1174" t="e">
        <v>#N/A</v>
      </c>
    </row>
    <row r="1175" spans="18:20" x14ac:dyDescent="0.35">
      <c r="R1175">
        <v>7.2</v>
      </c>
      <c r="S1175" t="e">
        <v>#N/A</v>
      </c>
      <c r="T1175" t="e">
        <v>#N/A</v>
      </c>
    </row>
    <row r="1176" spans="18:20" x14ac:dyDescent="0.35">
      <c r="R1176" t="e">
        <v>#N/A</v>
      </c>
      <c r="S1176">
        <v>6.6</v>
      </c>
      <c r="T1176" t="e">
        <v>#N/A</v>
      </c>
    </row>
    <row r="1177" spans="18:20" x14ac:dyDescent="0.35">
      <c r="R1177">
        <v>2.1</v>
      </c>
      <c r="S1177" t="e">
        <v>#N/A</v>
      </c>
      <c r="T1177" t="e">
        <v>#N/A</v>
      </c>
    </row>
    <row r="1178" spans="18:20" x14ac:dyDescent="0.35">
      <c r="R1178" t="e">
        <v>#N/A</v>
      </c>
      <c r="S1178">
        <v>7</v>
      </c>
      <c r="T1178" t="e">
        <v>#N/A</v>
      </c>
    </row>
    <row r="1179" spans="18:20" x14ac:dyDescent="0.35">
      <c r="R1179" t="e">
        <v>#N/A</v>
      </c>
      <c r="S1179">
        <v>6.8</v>
      </c>
      <c r="T1179" t="e">
        <v>#N/A</v>
      </c>
    </row>
    <row r="1180" spans="18:20" x14ac:dyDescent="0.35">
      <c r="R1180" t="e">
        <v>#N/A</v>
      </c>
      <c r="S1180" t="e">
        <v>#N/A</v>
      </c>
      <c r="T1180">
        <v>4.7</v>
      </c>
    </row>
    <row r="1181" spans="18:20" x14ac:dyDescent="0.35">
      <c r="R1181" t="e">
        <v>#N/A</v>
      </c>
      <c r="S1181">
        <v>5.9</v>
      </c>
      <c r="T1181" t="e">
        <v>#N/A</v>
      </c>
    </row>
    <row r="1182" spans="18:20" x14ac:dyDescent="0.35">
      <c r="R1182" t="e">
        <v>#N/A</v>
      </c>
      <c r="S1182">
        <v>7.7</v>
      </c>
      <c r="T1182" t="e">
        <v>#N/A</v>
      </c>
    </row>
    <row r="1183" spans="18:20" x14ac:dyDescent="0.35">
      <c r="R1183">
        <v>6</v>
      </c>
      <c r="S1183" t="e">
        <v>#N/A</v>
      </c>
      <c r="T1183" t="e">
        <v>#N/A</v>
      </c>
    </row>
    <row r="1184" spans="18:20" x14ac:dyDescent="0.35">
      <c r="R1184">
        <v>3.8</v>
      </c>
      <c r="S1184" t="e">
        <v>#N/A</v>
      </c>
      <c r="T1184" t="e">
        <v>#N/A</v>
      </c>
    </row>
    <row r="1185" spans="18:20" x14ac:dyDescent="0.35">
      <c r="R1185">
        <v>6.8</v>
      </c>
      <c r="S1185" t="e">
        <v>#N/A</v>
      </c>
      <c r="T1185" t="e">
        <v>#N/A</v>
      </c>
    </row>
    <row r="1186" spans="18:20" x14ac:dyDescent="0.35">
      <c r="R1186" t="e">
        <v>#N/A</v>
      </c>
      <c r="S1186" t="e">
        <v>#N/A</v>
      </c>
      <c r="T1186">
        <v>2.4</v>
      </c>
    </row>
    <row r="1187" spans="18:20" x14ac:dyDescent="0.35">
      <c r="R1187">
        <v>6.5</v>
      </c>
      <c r="S1187" t="e">
        <v>#N/A</v>
      </c>
      <c r="T1187" t="e">
        <v>#N/A</v>
      </c>
    </row>
    <row r="1188" spans="18:20" x14ac:dyDescent="0.35">
      <c r="R1188">
        <v>5.2</v>
      </c>
      <c r="S1188" t="e">
        <v>#N/A</v>
      </c>
      <c r="T1188" t="e">
        <v>#N/A</v>
      </c>
    </row>
    <row r="1189" spans="18:20" x14ac:dyDescent="0.35">
      <c r="R1189" t="e">
        <v>#N/A</v>
      </c>
      <c r="S1189">
        <v>5.6</v>
      </c>
      <c r="T1189" t="e">
        <v>#N/A</v>
      </c>
    </row>
    <row r="1190" spans="18:20" x14ac:dyDescent="0.35">
      <c r="R1190" t="e">
        <v>#N/A</v>
      </c>
      <c r="S1190" t="e">
        <v>#N/A</v>
      </c>
      <c r="T1190">
        <v>3.9</v>
      </c>
    </row>
    <row r="1191" spans="18:20" x14ac:dyDescent="0.35">
      <c r="R1191" t="e">
        <v>#N/A</v>
      </c>
      <c r="S1191" t="e">
        <v>#N/A</v>
      </c>
      <c r="T1191">
        <v>1.6</v>
      </c>
    </row>
    <row r="1192" spans="18:20" x14ac:dyDescent="0.35">
      <c r="R1192" t="e">
        <v>#N/A</v>
      </c>
      <c r="S1192" t="e">
        <v>#N/A</v>
      </c>
      <c r="T1192">
        <v>6</v>
      </c>
    </row>
    <row r="1193" spans="18:20" x14ac:dyDescent="0.35">
      <c r="R1193">
        <v>5.4</v>
      </c>
      <c r="S1193" t="e">
        <v>#N/A</v>
      </c>
      <c r="T1193" t="e">
        <v>#N/A</v>
      </c>
    </row>
    <row r="1194" spans="18:20" x14ac:dyDescent="0.35">
      <c r="R1194" t="e">
        <v>#N/A</v>
      </c>
      <c r="S1194" t="e">
        <v>#N/A</v>
      </c>
      <c r="T1194">
        <v>4.8</v>
      </c>
    </row>
    <row r="1195" spans="18:20" x14ac:dyDescent="0.35">
      <c r="R1195" t="e">
        <v>#N/A</v>
      </c>
      <c r="S1195" t="e">
        <v>#N/A</v>
      </c>
      <c r="T1195">
        <v>2.1</v>
      </c>
    </row>
    <row r="1196" spans="18:20" x14ac:dyDescent="0.35">
      <c r="R1196">
        <v>6.1</v>
      </c>
      <c r="S1196" t="e">
        <v>#N/A</v>
      </c>
      <c r="T1196" t="e">
        <v>#N/A</v>
      </c>
    </row>
    <row r="1197" spans="18:20" x14ac:dyDescent="0.35">
      <c r="R1197" t="e">
        <v>#N/A</v>
      </c>
      <c r="S1197">
        <v>2.5</v>
      </c>
      <c r="T1197" t="e">
        <v>#N/A</v>
      </c>
    </row>
    <row r="1198" spans="18:20" x14ac:dyDescent="0.35">
      <c r="R1198" t="e">
        <v>#N/A</v>
      </c>
      <c r="S1198">
        <v>7.4</v>
      </c>
      <c r="T1198" t="e">
        <v>#N/A</v>
      </c>
    </row>
    <row r="1199" spans="18:20" x14ac:dyDescent="0.35">
      <c r="R1199" t="e">
        <v>#N/A</v>
      </c>
      <c r="S1199">
        <v>2.1</v>
      </c>
      <c r="T1199" t="e">
        <v>#N/A</v>
      </c>
    </row>
    <row r="1200" spans="18:20" x14ac:dyDescent="0.35">
      <c r="R1200" t="e">
        <v>#N/A</v>
      </c>
      <c r="S1200">
        <v>6.3</v>
      </c>
      <c r="T1200" t="e">
        <v>#N/A</v>
      </c>
    </row>
    <row r="1201" spans="18:20" x14ac:dyDescent="0.35">
      <c r="R1201" t="e">
        <v>#N/A</v>
      </c>
      <c r="S1201">
        <v>3.8</v>
      </c>
      <c r="T1201" t="e">
        <v>#N/A</v>
      </c>
    </row>
    <row r="1202" spans="18:20" x14ac:dyDescent="0.35">
      <c r="R1202" t="e">
        <v>#N/A</v>
      </c>
      <c r="S1202" t="e">
        <v>#N/A</v>
      </c>
      <c r="T1202">
        <v>4.7</v>
      </c>
    </row>
    <row r="1203" spans="18:20" x14ac:dyDescent="0.35">
      <c r="R1203" t="e">
        <v>#N/A</v>
      </c>
      <c r="S1203">
        <v>3.3</v>
      </c>
      <c r="T1203" t="e">
        <v>#N/A</v>
      </c>
    </row>
    <row r="1204" spans="18:20" x14ac:dyDescent="0.35">
      <c r="R1204" t="e">
        <v>#N/A</v>
      </c>
      <c r="S1204">
        <v>5.3</v>
      </c>
      <c r="T1204" t="e">
        <v>#N/A</v>
      </c>
    </row>
    <row r="1205" spans="18:20" x14ac:dyDescent="0.35">
      <c r="R1205">
        <v>3.6</v>
      </c>
      <c r="S1205" t="e">
        <v>#N/A</v>
      </c>
      <c r="T1205" t="e">
        <v>#N/A</v>
      </c>
    </row>
    <row r="1206" spans="18:20" x14ac:dyDescent="0.35">
      <c r="R1206" t="e">
        <v>#N/A</v>
      </c>
      <c r="S1206">
        <v>5.5</v>
      </c>
      <c r="T1206" t="e">
        <v>#N/A</v>
      </c>
    </row>
    <row r="1207" spans="18:20" x14ac:dyDescent="0.35">
      <c r="R1207" t="e">
        <v>#N/A</v>
      </c>
      <c r="S1207">
        <v>7.1</v>
      </c>
      <c r="T1207" t="e">
        <v>#N/A</v>
      </c>
    </row>
    <row r="1208" spans="18:20" x14ac:dyDescent="0.35">
      <c r="R1208" t="e">
        <v>#N/A</v>
      </c>
      <c r="S1208" t="e">
        <v>#N/A</v>
      </c>
      <c r="T1208">
        <v>4.5999999999999996</v>
      </c>
    </row>
    <row r="1209" spans="18:20" x14ac:dyDescent="0.35">
      <c r="R1209" t="e">
        <v>#N/A</v>
      </c>
      <c r="S1209">
        <v>1.5</v>
      </c>
      <c r="T1209" t="e">
        <v>#N/A</v>
      </c>
    </row>
    <row r="1210" spans="18:20" x14ac:dyDescent="0.35">
      <c r="R1210" t="e">
        <v>#N/A</v>
      </c>
      <c r="S1210">
        <v>5.7</v>
      </c>
      <c r="T1210" t="e">
        <v>#N/A</v>
      </c>
    </row>
    <row r="1211" spans="18:20" x14ac:dyDescent="0.35">
      <c r="R1211" t="e">
        <v>#N/A</v>
      </c>
      <c r="S1211" t="e">
        <v>#N/A</v>
      </c>
      <c r="T1211">
        <v>1.4</v>
      </c>
    </row>
    <row r="1212" spans="18:20" x14ac:dyDescent="0.35">
      <c r="R1212">
        <v>2.9</v>
      </c>
      <c r="S1212" t="e">
        <v>#N/A</v>
      </c>
      <c r="T1212" t="e">
        <v>#N/A</v>
      </c>
    </row>
    <row r="1213" spans="18:20" x14ac:dyDescent="0.35">
      <c r="R1213" t="e">
        <v>#N/A</v>
      </c>
      <c r="S1213">
        <v>1.6</v>
      </c>
      <c r="T1213" t="e">
        <v>#N/A</v>
      </c>
    </row>
    <row r="1214" spans="18:20" x14ac:dyDescent="0.35">
      <c r="R1214" t="e">
        <v>#N/A</v>
      </c>
      <c r="S1214">
        <v>2</v>
      </c>
      <c r="T1214" t="e">
        <v>#N/A</v>
      </c>
    </row>
    <row r="1215" spans="18:20" x14ac:dyDescent="0.35">
      <c r="R1215">
        <v>5.3</v>
      </c>
      <c r="S1215" t="e">
        <v>#N/A</v>
      </c>
      <c r="T1215" t="e">
        <v>#N/A</v>
      </c>
    </row>
    <row r="1216" spans="18:20" x14ac:dyDescent="0.35">
      <c r="R1216">
        <v>4</v>
      </c>
      <c r="S1216" t="e">
        <v>#N/A</v>
      </c>
      <c r="T1216" t="e">
        <v>#N/A</v>
      </c>
    </row>
    <row r="1217" spans="18:20" x14ac:dyDescent="0.35">
      <c r="R1217" t="e">
        <v>#N/A</v>
      </c>
      <c r="S1217" t="e">
        <v>#N/A</v>
      </c>
      <c r="T1217">
        <v>1.4</v>
      </c>
    </row>
    <row r="1218" spans="18:20" x14ac:dyDescent="0.35">
      <c r="R1218" t="e">
        <v>#N/A</v>
      </c>
      <c r="S1218">
        <v>2.4</v>
      </c>
      <c r="T1218" t="e">
        <v>#N/A</v>
      </c>
    </row>
    <row r="1219" spans="18:20" x14ac:dyDescent="0.35">
      <c r="R1219" t="e">
        <v>#N/A</v>
      </c>
      <c r="S1219">
        <v>8</v>
      </c>
      <c r="T1219" t="e">
        <v>#N/A</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EDFCD6-21B3-476D-A9FC-2FA80D028BB0}">
  <sheetPr codeName="Sheet6"/>
  <dimension ref="A3:M83"/>
  <sheetViews>
    <sheetView topLeftCell="I19" zoomScale="96" zoomScaleNormal="96" workbookViewId="0">
      <selection activeCell="I19" sqref="A1:XFD1048576"/>
    </sheetView>
  </sheetViews>
  <sheetFormatPr defaultRowHeight="14.5" x14ac:dyDescent="0.35"/>
  <cols>
    <col min="1" max="1" width="26.453125" bestFit="1" customWidth="1"/>
    <col min="2" max="2" width="14.1796875" bestFit="1" customWidth="1"/>
    <col min="3" max="3" width="7.08984375" bestFit="1" customWidth="1"/>
    <col min="4" max="4" width="20.1796875" bestFit="1" customWidth="1"/>
    <col min="5" max="5" width="4.81640625" bestFit="1" customWidth="1"/>
    <col min="6" max="6" width="6.36328125" bestFit="1" customWidth="1"/>
    <col min="8" max="8" width="7.08984375" bestFit="1" customWidth="1"/>
    <col min="9" max="9" width="29.6328125" bestFit="1" customWidth="1"/>
    <col min="10" max="10" width="10.08984375" bestFit="1" customWidth="1"/>
    <col min="11" max="11" width="10" bestFit="1" customWidth="1"/>
    <col min="13" max="13" width="76.90625" bestFit="1" customWidth="1"/>
  </cols>
  <sheetData>
    <row r="3" spans="1:2" x14ac:dyDescent="0.35">
      <c r="A3" s="1" t="s">
        <v>1</v>
      </c>
      <c r="B3" t="s">
        <v>33</v>
      </c>
    </row>
    <row r="4" spans="1:2" x14ac:dyDescent="0.35">
      <c r="A4" t="s">
        <v>16</v>
      </c>
      <c r="B4">
        <v>17</v>
      </c>
    </row>
    <row r="5" spans="1:2" x14ac:dyDescent="0.35">
      <c r="A5" t="s">
        <v>13</v>
      </c>
      <c r="B5">
        <v>14</v>
      </c>
    </row>
    <row r="23" spans="1:3" x14ac:dyDescent="0.35">
      <c r="A23" t="s">
        <v>64</v>
      </c>
      <c r="B23" t="s">
        <v>70</v>
      </c>
      <c r="C23" t="s">
        <v>65</v>
      </c>
    </row>
    <row r="24" spans="1:3" x14ac:dyDescent="0.35">
      <c r="A24" t="s">
        <v>14</v>
      </c>
      <c r="B24">
        <v>0</v>
      </c>
      <c r="C24">
        <f>COUNTIFS(mental[platform_usage], A24, mental[depression_label], 1)</f>
        <v>10</v>
      </c>
    </row>
    <row r="25" spans="1:3" x14ac:dyDescent="0.35">
      <c r="A25" t="s">
        <v>53</v>
      </c>
      <c r="B25">
        <v>1</v>
      </c>
      <c r="C25">
        <f>COUNTIFS(mental[platform_usage], A25, mental[depression_label], 1)</f>
        <v>12</v>
      </c>
    </row>
    <row r="26" spans="1:3" x14ac:dyDescent="0.35">
      <c r="A26" t="s">
        <v>20</v>
      </c>
      <c r="C26">
        <f>COUNTIFS(mental[platform_usage], A26, mental[depression_label], 1)</f>
        <v>9</v>
      </c>
    </row>
    <row r="30" spans="1:3" x14ac:dyDescent="0.35">
      <c r="A30" t="s">
        <v>64</v>
      </c>
      <c r="B30" t="s">
        <v>72</v>
      </c>
    </row>
    <row r="31" spans="1:3" x14ac:dyDescent="0.35">
      <c r="A31" t="s">
        <v>71</v>
      </c>
      <c r="B31">
        <v>10</v>
      </c>
    </row>
    <row r="32" spans="1:3" x14ac:dyDescent="0.35">
      <c r="A32" t="s">
        <v>53</v>
      </c>
      <c r="B32">
        <v>12</v>
      </c>
    </row>
    <row r="33" spans="1:13" x14ac:dyDescent="0.35">
      <c r="A33" t="s">
        <v>20</v>
      </c>
      <c r="B33">
        <v>9</v>
      </c>
    </row>
    <row r="37" spans="1:13" x14ac:dyDescent="0.35">
      <c r="M37" t="s">
        <v>91</v>
      </c>
    </row>
    <row r="41" spans="1:13" x14ac:dyDescent="0.35">
      <c r="I41" t="s">
        <v>94</v>
      </c>
    </row>
    <row r="42" spans="1:13" x14ac:dyDescent="0.35">
      <c r="B42" t="s">
        <v>76</v>
      </c>
      <c r="C42" t="s">
        <v>75</v>
      </c>
      <c r="J42" t="s">
        <v>92</v>
      </c>
      <c r="K42" t="s">
        <v>93</v>
      </c>
    </row>
    <row r="43" spans="1:13" x14ac:dyDescent="0.35">
      <c r="A43" t="s">
        <v>77</v>
      </c>
      <c r="B43" cm="1">
        <f t="array" ref="B43">MEDIAN(IF(rounded[depression_label] = 1, rounded[daily_social_media_hours]))</f>
        <v>7</v>
      </c>
      <c r="C43" cm="1">
        <f t="array" ref="C43">MEDIAN(IF(rounded[depression_label] = 0, rounded[daily_social_media_hours]))</f>
        <v>4.4000000000000004</v>
      </c>
      <c r="H43" t="s">
        <v>87</v>
      </c>
      <c r="I43" t="s">
        <v>4</v>
      </c>
      <c r="J43" cm="1">
        <f t="array" ref="J43">MEDIAN(IF(rounded[daily_social_media_hours] &gt; 2, rounded[sleep_hours]))</f>
        <v>6.4</v>
      </c>
      <c r="K43" cm="1">
        <f t="array" ref="K43">MEDIAN(IF(rounded[daily_social_media_hours] &lt;= 2, rounded[sleep_hours]))</f>
        <v>6.7</v>
      </c>
      <c r="M43">
        <f>COUNTIF(rounded[daily_social_media_hours], "&gt; 2")</f>
        <v>1028</v>
      </c>
    </row>
    <row r="44" spans="1:13" x14ac:dyDescent="0.35">
      <c r="A44" t="s">
        <v>78</v>
      </c>
      <c r="B44" cm="1">
        <f t="array" ref="B44">MEDIAN(IF(rounded[depression_label] = 1, rounded[sleep_hours]))</f>
        <v>4.5999999999999996</v>
      </c>
      <c r="C44" cm="1">
        <f t="array" ref="C44">MEDIAN(IF(rounded[depression_label]=0, rounded[sleep_hours]))</f>
        <v>6.5</v>
      </c>
      <c r="H44" t="s">
        <v>87</v>
      </c>
      <c r="I44" t="s">
        <v>88</v>
      </c>
      <c r="J44" cm="1">
        <f t="array" ref="J44">MEDIAN(IF(rounded[daily_social_media_hours] &gt; 2, rounded[screen_time_before_sleep]))</f>
        <v>1.8</v>
      </c>
      <c r="K44" cm="1">
        <f t="array" ref="K44">MEDIAN(IF(rounded[daily_social_media_hours] &lt;= 2, rounded[screen_time_before_sleep]))</f>
        <v>1.7</v>
      </c>
      <c r="M44">
        <f>COUNTIF(rounded[daily_social_media_hours], "&lt;=2")</f>
        <v>172</v>
      </c>
    </row>
    <row r="45" spans="1:13" x14ac:dyDescent="0.35">
      <c r="A45" t="s">
        <v>79</v>
      </c>
      <c r="B45" cm="1">
        <f t="array" ref="B45">MEDIAN(IF(rounded[depression_label] = 1, rounded[screen_time_before_sleep]))</f>
        <v>1.5</v>
      </c>
      <c r="C45" cm="1">
        <f t="array" ref="C45">MEDIAN(IF(rounded[depression_label] = 0, rounded[screen_time_before_sleep]))</f>
        <v>1.8</v>
      </c>
      <c r="H45" t="s">
        <v>87</v>
      </c>
      <c r="I45" t="s">
        <v>6</v>
      </c>
      <c r="J45" cm="1">
        <f t="array" ref="J45">MEDIAN(IF(rounded[daily_social_media_hours] &gt; 2, rounded[academic_performance]))</f>
        <v>2.98</v>
      </c>
      <c r="K45" cm="1">
        <f t="array" ref="K45">MEDIAN(IF(rounded[daily_social_media_hours] &lt;= 2, rounded[academic_performance]))</f>
        <v>3.0049999999999999</v>
      </c>
    </row>
    <row r="46" spans="1:13" x14ac:dyDescent="0.35">
      <c r="A46" t="s">
        <v>80</v>
      </c>
      <c r="B46" cm="1">
        <f t="array" ref="B46">MEDIAN(IF(rounded[depression_label] = 1, rounded[academic_performance]))</f>
        <v>3.05</v>
      </c>
      <c r="C46" cm="1">
        <f t="array" ref="C46">MEDIAN(IF(rounded[depression_label] = 0, rounded[academic_performance]))</f>
        <v>2.99</v>
      </c>
      <c r="H46" t="s">
        <v>90</v>
      </c>
      <c r="I46" t="s">
        <v>89</v>
      </c>
      <c r="J46" s="23" cm="1">
        <f t="array" ref="J46">AVERAGE(IF(rounded[daily_social_media_hours] &gt; 2, rounded[physical_activity]))</f>
        <v>1.0162451361867706</v>
      </c>
      <c r="K46" s="23" cm="1">
        <f t="array" ref="K46">AVERAGE(IF(rounded[daily_social_media_hours] &lt;= 2, rounded[physical_activity]))</f>
        <v>1.0040697674418602</v>
      </c>
    </row>
    <row r="47" spans="1:13" x14ac:dyDescent="0.35">
      <c r="A47" t="s">
        <v>81</v>
      </c>
      <c r="B47" cm="1">
        <f t="array" ref="B47">MEDIAN(IF(rounded[depression_label] = 1, rounded[physical_activity]))</f>
        <v>1</v>
      </c>
      <c r="C47" cm="1">
        <f t="array" ref="C47">MEDIAN(IF(rounded[depression_label] = 0, rounded[physical_activity]))</f>
        <v>1</v>
      </c>
      <c r="H47" t="s">
        <v>87</v>
      </c>
      <c r="I47" t="s">
        <v>9</v>
      </c>
      <c r="J47" cm="1">
        <f t="array" ref="J47">MEDIAN(IF(rounded[daily_social_media_hours] &gt;2, rounded[stress_level]))</f>
        <v>5</v>
      </c>
      <c r="K47" cm="1">
        <f t="array" ref="K47">MEDIAN(IF(rounded[daily_social_media_hours] &lt;= 2, rounded[stress_level]))</f>
        <v>5</v>
      </c>
    </row>
    <row r="48" spans="1:13" x14ac:dyDescent="0.35">
      <c r="A48" t="s">
        <v>82</v>
      </c>
      <c r="B48" cm="1">
        <f t="array" ref="B48">MEDIAN(IF(rounded[depression_label] = 1, rounded[stress_level]))</f>
        <v>8</v>
      </c>
      <c r="C48" cm="1">
        <f t="array" ref="C48">MEDIAN(IF(rounded[depression_label] = 0, rounded[stress_level]))</f>
        <v>5</v>
      </c>
      <c r="H48" t="s">
        <v>87</v>
      </c>
      <c r="I48" t="s">
        <v>10</v>
      </c>
      <c r="J48" cm="1">
        <f t="array" ref="J48">MEDIAN(IF(rounded[daily_social_media_hours] &gt; 2, rounded[anxiety_level]))</f>
        <v>6</v>
      </c>
      <c r="K48" cm="1">
        <f t="array" ref="K48">MEDIAN(IF(rounded[daily_social_media_hours] &lt;= 2, rounded[anxiety_level]))</f>
        <v>5</v>
      </c>
    </row>
    <row r="49" spans="1:13" x14ac:dyDescent="0.35">
      <c r="A49" t="s">
        <v>83</v>
      </c>
      <c r="B49" cm="1">
        <f t="array" ref="B49">MEDIAN(IF(rounded[depression_label] = 1, rounded[anxiety_level]))</f>
        <v>9</v>
      </c>
      <c r="C49" cm="1">
        <f t="array" ref="C49">MEDIAN(IF(rounded[depression_label] = 0, rounded[anxiety_level]))</f>
        <v>6</v>
      </c>
      <c r="H49" t="s">
        <v>87</v>
      </c>
      <c r="I49" t="s">
        <v>11</v>
      </c>
      <c r="J49" cm="1">
        <f t="array" ref="J49">MEDIAN(IF(rounded[daily_social_media_hours] &gt; 2, rounded[addiction_level]))</f>
        <v>6</v>
      </c>
      <c r="K49" cm="1">
        <f t="array" ref="K49">MEDIAN(IF(rounded[daily_social_media_hours] &lt;= 2, rounded[addiction_level]))</f>
        <v>6</v>
      </c>
    </row>
    <row r="50" spans="1:13" x14ac:dyDescent="0.35">
      <c r="A50" t="s">
        <v>84</v>
      </c>
      <c r="B50" cm="1">
        <f t="array" ref="B50">MEDIAN(IF(rounded[depression_label] = 1, rounded[addiction_level]))</f>
        <v>4</v>
      </c>
      <c r="C50" cm="1">
        <f t="array" ref="C50">MEDIAN(IF(rounded[depression_label] = 0, rounded[addiction_level]))</f>
        <v>6</v>
      </c>
      <c r="H50" t="s">
        <v>90</v>
      </c>
      <c r="I50" t="s">
        <v>8</v>
      </c>
      <c r="J50" s="23" cm="1">
        <f t="array" ref="J50">AVERAGE(IF(rounded[daily_social_media_hours] &gt; 2, rounded[social_interaction_2]))</f>
        <v>1.961089494163424</v>
      </c>
      <c r="K50" s="23" cm="1">
        <f t="array" ref="K50">AVERAGE(IF(rounded[daily_social_media_hours] &lt;= 2, rounded[social_interaction_2]))</f>
        <v>1.9651162790697674</v>
      </c>
    </row>
    <row r="51" spans="1:13" x14ac:dyDescent="0.35">
      <c r="A51" t="s">
        <v>86</v>
      </c>
      <c r="B51" s="23" cm="1">
        <f t="array" ref="B51">AVERAGE(IF(rounded[depression_label] =1, rounded[social_interaction_2]))</f>
        <v>2.032258064516129</v>
      </c>
      <c r="C51" s="23" cm="1">
        <f t="array" ref="C51">AVERAGE(IF(rounded[depression_label] =0, rounded[social_interaction_2]))</f>
        <v>1.9597946963216424</v>
      </c>
    </row>
    <row r="54" spans="1:13" x14ac:dyDescent="0.35">
      <c r="I54" s="15" t="s">
        <v>104</v>
      </c>
      <c r="J54" s="15"/>
      <c r="K54" s="15"/>
      <c r="L54" s="15"/>
      <c r="M54">
        <f>COUNTIFS(rounded[stress_level], "&gt;= 5", rounded[anxiety_level], "&gt;= 5", rounded[addiction_level], "&gt;= 5")</f>
        <v>261</v>
      </c>
    </row>
    <row r="55" spans="1:13" x14ac:dyDescent="0.35">
      <c r="E55" t="s">
        <v>13</v>
      </c>
      <c r="F55" t="s">
        <v>16</v>
      </c>
      <c r="G55">
        <f>COUNTIF(rounded[gender], "male")</f>
        <v>615</v>
      </c>
      <c r="J55" t="s">
        <v>101</v>
      </c>
      <c r="K55" s="24" t="s">
        <v>102</v>
      </c>
      <c r="L55" t="s">
        <v>103</v>
      </c>
      <c r="M55">
        <f>COUNTIFS(rounded[stress_level], "&lt; 5", rounded[anxiety_level], "&lt; 5", rounded[addiction_level], "&lt; 5")</f>
        <v>86</v>
      </c>
    </row>
    <row r="56" spans="1:13" x14ac:dyDescent="0.35">
      <c r="C56" t="s">
        <v>87</v>
      </c>
      <c r="D56" t="s">
        <v>4</v>
      </c>
      <c r="E56" cm="1">
        <f t="array" ref="E56">MEDIAN(IF(rounded[gender] = "male", rounded[sleep_hours]))</f>
        <v>6.4</v>
      </c>
      <c r="F56" cm="1">
        <f t="array" ref="F56">MEDIAN(IF(rounded[gender] = "female", rounded[sleep_hours]))</f>
        <v>6.5</v>
      </c>
      <c r="G56">
        <f>COUNTIF(rounded[gender], "female")</f>
        <v>585</v>
      </c>
      <c r="I56" t="s">
        <v>4</v>
      </c>
      <c r="J56" cm="1">
        <f t="array" ref="J56">MEDIAN(IF(rounded[behavioral_composite] &gt;= 18, rounded[sleep_hours]))</f>
        <v>6.4</v>
      </c>
      <c r="K56" cm="1">
        <f t="array" ref="K56">MEDIAN(IF((rounded[behavioral_composite] &gt;= 12) * (rounded[behavioral_composite] &lt;=17), rounded[sleep_hours]))</f>
        <v>6.5</v>
      </c>
      <c r="L56" cm="1">
        <f t="array" ref="L56">MEDIAN(IF(rounded[behavioral_composite] &lt;= 11, rounded[sleep_hours]))</f>
        <v>6.7</v>
      </c>
    </row>
    <row r="57" spans="1:13" x14ac:dyDescent="0.35">
      <c r="C57" t="s">
        <v>87</v>
      </c>
      <c r="D57" t="s">
        <v>88</v>
      </c>
      <c r="E57" cm="1">
        <f t="array" ref="E57">MEDIAN(IF(rounded[gender] = "male", rounded[screen_time_before_sleep]))</f>
        <v>1.8</v>
      </c>
      <c r="F57" cm="1">
        <f t="array" ref="F57">MEDIAN(IF(rounded[gender] = "female", rounded[screen_time_before_sleep]))</f>
        <v>1.7</v>
      </c>
      <c r="I57" t="s">
        <v>88</v>
      </c>
      <c r="J57" cm="1">
        <f t="array" ref="J57">MEDIAN(IF(rounded[behavioral_composite] &gt;= 18, rounded[screen_time_before_sleep]))</f>
        <v>1.8</v>
      </c>
      <c r="K57" cm="1">
        <f t="array" ref="K57">MEDIAN(IF((rounded[behavioral_composite] &gt;= 12) * (rounded[behavioral_composite] &lt;=17), rounded[screen_time_before_sleep]))</f>
        <v>1.8</v>
      </c>
      <c r="L57" cm="1">
        <f t="array" ref="L57">MEDIAN(IF(rounded[behavioral_composite] &lt;= 11, rounded[screen_time_before_sleep]))</f>
        <v>1.5</v>
      </c>
    </row>
    <row r="58" spans="1:13" x14ac:dyDescent="0.35">
      <c r="C58" t="s">
        <v>87</v>
      </c>
      <c r="D58" t="s">
        <v>6</v>
      </c>
      <c r="E58" cm="1">
        <f t="array" ref="E58">MEDIAN(IF(rounded[gender] = "male", rounded[academic_performance]))</f>
        <v>2.99</v>
      </c>
      <c r="F58" cm="1">
        <f t="array" ref="F58">MEDIAN(IF(rounded[gender] = "female", rounded[academic_performance]))</f>
        <v>2.98</v>
      </c>
      <c r="I58" t="s">
        <v>6</v>
      </c>
      <c r="J58" cm="1">
        <f t="array" ref="J58">MEDIAN(IF(rounded[behavioral_composite] &gt;= 18, rounded[academic_performance]))</f>
        <v>2.99</v>
      </c>
      <c r="K58" cm="1">
        <f t="array" ref="K58">MEDIAN(IF((rounded[behavioral_composite] &gt;= 12) * (rounded[behavioral_composite] &lt;=17), rounded[academic_performance]))</f>
        <v>2.96</v>
      </c>
      <c r="L58" cm="1">
        <f t="array" ref="L58">MEDIAN(IF(rounded[behavioral_composite] &lt;= 11, rounded[academic_performance]))</f>
        <v>3.0249999999999999</v>
      </c>
    </row>
    <row r="59" spans="1:13" x14ac:dyDescent="0.35">
      <c r="C59" t="s">
        <v>90</v>
      </c>
      <c r="D59" t="s">
        <v>89</v>
      </c>
      <c r="E59" cm="1">
        <f t="array" ref="E59">AVERAGE(IF(rounded[gender] = "male", rounded[physical_activity]))</f>
        <v>1.0242276422764218</v>
      </c>
      <c r="F59" cm="1">
        <f t="array" ref="F59">AVERAGE(IF(rounded[gender] = "female", rounded[physical_activity]))</f>
        <v>1.0042735042735049</v>
      </c>
      <c r="I59" t="s">
        <v>89</v>
      </c>
      <c r="J59" cm="1">
        <f t="array" ref="J59">AVERAGE(IF(rounded[behavioral_composite] &gt;= 18, rounded[physical_activity]))</f>
        <v>1.0257035647279553</v>
      </c>
      <c r="K59" cm="1">
        <f t="array" ref="K59">AVERAGE(IF((rounded[behavioral_composite] &gt;= 12) * (rounded[behavioral_composite] &lt;=17), rounded[physical_activity]))</f>
        <v>1.0210752688172036</v>
      </c>
      <c r="L59" cm="1">
        <f t="array" ref="L59">AVERAGE(IF(rounded[behavioral_composite] &lt;= 11, rounded[physical_activity]))</f>
        <v>0.96980198019801911</v>
      </c>
    </row>
    <row r="60" spans="1:13" x14ac:dyDescent="0.35">
      <c r="C60" t="s">
        <v>87</v>
      </c>
      <c r="D60" t="s">
        <v>9</v>
      </c>
      <c r="E60" cm="1">
        <f t="array" ref="E60">MEDIAN(IF(rounded[gender] = "male", rounded[stress_level]))</f>
        <v>5</v>
      </c>
      <c r="F60" cm="1">
        <f t="array" ref="F60">MEDIAN(IF(rounded[gender] = "female", rounded[stress_level]))</f>
        <v>5</v>
      </c>
      <c r="I60" t="s">
        <v>8</v>
      </c>
      <c r="J60" cm="1">
        <f t="array" ref="J60">AVERAGE(IF(rounded[behavioral_composite] &gt;= 18, rounded[social_interaction_2]))</f>
        <v>2.00375234521576</v>
      </c>
      <c r="K60" cm="1">
        <f t="array" ref="K60">AVERAGE(IF((rounded[behavioral_composite] &gt;= 12) * (rounded[behavioral_composite] &lt;=17), rounded[social_interaction_2]))</f>
        <v>1.8860215053763441</v>
      </c>
      <c r="L60" cm="1">
        <f t="array" ref="L60">AVERAGE(IF(rounded[behavioral_composite] &lt;= 11, rounded[social_interaction_2]))</f>
        <v>2.0247524752475248</v>
      </c>
      <c r="M60" t="s">
        <v>96</v>
      </c>
    </row>
    <row r="61" spans="1:13" x14ac:dyDescent="0.35">
      <c r="C61" t="s">
        <v>87</v>
      </c>
      <c r="D61" t="s">
        <v>10</v>
      </c>
      <c r="E61" cm="1">
        <f t="array" ref="E61">MEDIAN(IF(rounded[gender] = "male", rounded[anxiety_level]))</f>
        <v>6</v>
      </c>
      <c r="F61" cm="1">
        <f t="array" ref="F61">MEDIAN(IF(rounded[gender] = "female", rounded[anxiety_level]))</f>
        <v>6</v>
      </c>
      <c r="I61" t="s">
        <v>95</v>
      </c>
      <c r="J61" cm="1">
        <f t="array" ref="J61">MEDIAN(IF(rounded[behavioral_composite] &gt;= 18, rounded[daily_social_media_hours]))</f>
        <v>4.7</v>
      </c>
      <c r="K61" cm="1">
        <f t="array" ref="K61">MEDIAN(IF((rounded[behavioral_composite] &gt;= 12) * (rounded[behavioral_composite] &lt;=17), rounded[daily_social_media_hours]))</f>
        <v>4.4000000000000004</v>
      </c>
      <c r="L61" cm="1">
        <f t="array" ref="L61">MEDIAN(IF(rounded[behavioral_composite] &lt;= 11, rounded[daily_social_media_hours]))</f>
        <v>4.4000000000000004</v>
      </c>
      <c r="M61" t="s">
        <v>97</v>
      </c>
    </row>
    <row r="62" spans="1:13" x14ac:dyDescent="0.35">
      <c r="C62" t="s">
        <v>87</v>
      </c>
      <c r="D62" t="s">
        <v>11</v>
      </c>
      <c r="E62" cm="1">
        <f t="array" ref="E62">MEDIAN(IF(rounded[gender] = "male", rounded[addiction_level]))</f>
        <v>6</v>
      </c>
      <c r="F62" cm="1">
        <f t="array" ref="F62">MEDIAN(IF(rounded[gender] = "female", rounded[addiction_level]))</f>
        <v>6</v>
      </c>
      <c r="M62" t="s">
        <v>98</v>
      </c>
    </row>
    <row r="63" spans="1:13" x14ac:dyDescent="0.35">
      <c r="C63" t="s">
        <v>90</v>
      </c>
      <c r="D63" t="s">
        <v>8</v>
      </c>
      <c r="E63" cm="1">
        <f t="array" ref="E63">AVERAGE(IF(rounded[gender] = "male", rounded[social_interaction_2]))</f>
        <v>1.9317073170731707</v>
      </c>
      <c r="F63" cm="1">
        <f t="array" ref="F63">AVERAGE(IF(rounded[gender] = "female", rounded[social_interaction_2]))</f>
        <v>1.9931623931623932</v>
      </c>
      <c r="M63" t="s">
        <v>99</v>
      </c>
    </row>
    <row r="64" spans="1:13" x14ac:dyDescent="0.35">
      <c r="C64" t="s">
        <v>87</v>
      </c>
      <c r="D64" t="s">
        <v>95</v>
      </c>
      <c r="E64" cm="1">
        <f t="array" ref="E64">MEDIAN(IF(rounded[gender] = "male", rounded[daily_social_media_hours]))</f>
        <v>4.5999999999999996</v>
      </c>
      <c r="F64" cm="1">
        <f t="array" ref="F64">MEDIAN(IF(rounded[gender] = "female", rounded[daily_social_media_hours]))</f>
        <v>4.4000000000000004</v>
      </c>
    </row>
    <row r="68" spans="7:13" x14ac:dyDescent="0.35">
      <c r="I68" s="15" t="s">
        <v>105</v>
      </c>
      <c r="J68" s="15"/>
      <c r="K68" s="15"/>
      <c r="L68" s="15"/>
      <c r="M68" s="15"/>
    </row>
    <row r="70" spans="7:13" x14ac:dyDescent="0.35">
      <c r="J70" t="s">
        <v>106</v>
      </c>
      <c r="K70" t="s">
        <v>107</v>
      </c>
      <c r="L70" t="s">
        <v>108</v>
      </c>
      <c r="M70" t="s">
        <v>109</v>
      </c>
    </row>
    <row r="71" spans="7:13" x14ac:dyDescent="0.35">
      <c r="J71" cm="1">
        <f t="array" ref="J71">MEDIAN(IF(rounded[depression_label] = 0, rounded[behavioral_composite]))</f>
        <v>17</v>
      </c>
      <c r="K71" cm="1">
        <f t="array" ref="K71">MEDIAN(IF(rounded[depression_label] = 1, rounded[behavioral_composite]))</f>
        <v>22</v>
      </c>
      <c r="L71" cm="1">
        <f t="array" ref="L71">AVERAGE(IF(rounded[depression_label] = 0, rounded[behavioral_composite]))</f>
        <v>16.494439692044484</v>
      </c>
      <c r="M71" s="25" cm="1">
        <f t="array" ref="M71">AVERAGE(IF(rounded[depression_label] = 1, rounded[behavioral_composite]))</f>
        <v>22.419354838709676</v>
      </c>
    </row>
    <row r="78" spans="7:13" ht="43.5" x14ac:dyDescent="0.35">
      <c r="I78" s="26" t="s">
        <v>110</v>
      </c>
    </row>
    <row r="79" spans="7:13" x14ac:dyDescent="0.35">
      <c r="I79" s="2" t="s">
        <v>111</v>
      </c>
      <c r="J79" t="s">
        <v>102</v>
      </c>
      <c r="K79" t="s">
        <v>103</v>
      </c>
    </row>
    <row r="80" spans="7:13" x14ac:dyDescent="0.35">
      <c r="G80" t="s">
        <v>14</v>
      </c>
      <c r="I80" s="26">
        <f>COUNTIFS(rounded[behavioral_composite], "&gt;=18", rounded[platform_usage], G80)</f>
        <v>180</v>
      </c>
      <c r="J80">
        <f>COUNTIFS(rounded[behavioral_composite], "&gt;=12", rounded[behavioral_composite], "&lt;= 17", rounded[platform_usage], G80)</f>
        <v>166</v>
      </c>
      <c r="K80">
        <f>COUNTIFS(rounded[behavioral_composite], "&lt;=11", rounded[platform_usage], G80)</f>
        <v>65</v>
      </c>
    </row>
    <row r="81" spans="7:12" x14ac:dyDescent="0.35">
      <c r="G81" t="s">
        <v>17</v>
      </c>
      <c r="I81" s="26">
        <f>COUNTIFS(rounded[behavioral_composite], "&gt;=18", rounded[platform_usage], G81)</f>
        <v>178</v>
      </c>
      <c r="J81">
        <f>COUNTIFS(rounded[behavioral_composite], "&gt;=12", rounded[behavioral_composite], "&lt;= 17", rounded[platform_usage], G81)</f>
        <v>149</v>
      </c>
      <c r="K81">
        <f>COUNTIFS(rounded[behavioral_composite], "&lt;=11", rounded[platform_usage], G81)</f>
        <v>71</v>
      </c>
    </row>
    <row r="82" spans="7:12" x14ac:dyDescent="0.35">
      <c r="G82" t="s">
        <v>20</v>
      </c>
      <c r="I82" s="26">
        <f>COUNTIFS(rounded[behavioral_composite], "&gt;=18", rounded[platform_usage], G82)</f>
        <v>175</v>
      </c>
      <c r="J82">
        <f>COUNTIFS(rounded[behavioral_composite], "&gt;=12", rounded[behavioral_composite], "&lt;= 17", rounded[platform_usage], G82)</f>
        <v>150</v>
      </c>
      <c r="K82">
        <f>COUNTIFS(rounded[behavioral_composite], "&lt;=11", rounded[platform_usage], G82)</f>
        <v>66</v>
      </c>
    </row>
    <row r="83" spans="7:12" x14ac:dyDescent="0.35">
      <c r="H83" s="27" t="s">
        <v>112</v>
      </c>
      <c r="I83" s="27">
        <f>SUM(I80:I82)</f>
        <v>533</v>
      </c>
      <c r="J83" s="27">
        <f>SUM(J80:J82)</f>
        <v>465</v>
      </c>
      <c r="K83" s="27">
        <f>SUM(K80:K82)</f>
        <v>202</v>
      </c>
      <c r="L83" s="27">
        <f>SUM(I83:K83)</f>
        <v>1200</v>
      </c>
    </row>
  </sheetData>
  <mergeCells count="2">
    <mergeCell ref="I54:L54"/>
    <mergeCell ref="I68:M68"/>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29E24-9C60-4E6C-BFAD-F8B4A28E36CA}">
  <dimension ref="A1:Q47"/>
  <sheetViews>
    <sheetView zoomScale="85" workbookViewId="0">
      <selection activeCell="B20" sqref="B20"/>
    </sheetView>
  </sheetViews>
  <sheetFormatPr defaultRowHeight="14.5" x14ac:dyDescent="0.35"/>
  <cols>
    <col min="1" max="1" width="13.453125" bestFit="1" customWidth="1"/>
    <col min="3" max="3" width="8.7265625" style="49"/>
    <col min="4" max="4" width="15.6328125" bestFit="1" customWidth="1"/>
    <col min="5" max="5" width="11.81640625" bestFit="1" customWidth="1"/>
    <col min="6" max="6" width="14.1796875" style="49" customWidth="1"/>
    <col min="7" max="7" width="19.81640625" bestFit="1" customWidth="1"/>
    <col min="8" max="8" width="15.26953125" bestFit="1" customWidth="1"/>
    <col min="9" max="9" width="8.7265625" style="49"/>
    <col min="12" max="12" width="21.6328125" bestFit="1" customWidth="1"/>
    <col min="13" max="13" width="8.7265625" style="49"/>
    <col min="14" max="14" width="10.54296875" bestFit="1" customWidth="1"/>
    <col min="15" max="15" width="14.81640625" style="49" bestFit="1" customWidth="1"/>
    <col min="16" max="16" width="25.453125" bestFit="1" customWidth="1"/>
  </cols>
  <sheetData>
    <row r="1" spans="1:17" x14ac:dyDescent="0.35">
      <c r="A1" s="14" t="s">
        <v>114</v>
      </c>
      <c r="B1" s="8" t="s">
        <v>115</v>
      </c>
      <c r="C1" s="46"/>
      <c r="D1" s="14" t="s">
        <v>117</v>
      </c>
      <c r="E1" s="8" t="s">
        <v>118</v>
      </c>
      <c r="F1" s="46"/>
      <c r="G1" s="33" t="s">
        <v>119</v>
      </c>
      <c r="H1" s="34" t="s">
        <v>120</v>
      </c>
      <c r="I1" s="47"/>
      <c r="J1" s="47"/>
      <c r="L1" s="18" t="s">
        <v>2</v>
      </c>
      <c r="M1" s="48"/>
      <c r="N1" s="18" t="s">
        <v>4</v>
      </c>
      <c r="O1" s="46"/>
      <c r="P1" s="18" t="s">
        <v>155</v>
      </c>
      <c r="Q1" s="47"/>
    </row>
    <row r="2" spans="1:17" x14ac:dyDescent="0.35">
      <c r="A2" s="21" cm="1">
        <f t="array" ref="A2:A8">_xlfn.UNIQUE(_xlfn._xlws.SORT(rounded[age]))</f>
        <v>13</v>
      </c>
      <c r="B2" s="10">
        <f>COUNTIF(rounded[age], A2)</f>
        <v>200</v>
      </c>
      <c r="C2" s="46"/>
      <c r="D2" s="21" t="str" cm="1">
        <f t="array" ref="D2:D3">_xlfn.UNIQUE(_xlfn._xlws.SORT(rounded[gender]))</f>
        <v>female</v>
      </c>
      <c r="E2" s="10">
        <f>COUNTIF(rounded[gender], D2)</f>
        <v>585</v>
      </c>
      <c r="F2" s="46"/>
      <c r="G2" s="35" cm="1">
        <f t="array" ref="G2:G3">_xlfn.UNIQUE(_xlfn._xlws.SORT(rounded[depression_label]))</f>
        <v>0</v>
      </c>
      <c r="H2" s="36">
        <f>COUNTIF(rounded[depression_label], G2)</f>
        <v>1169</v>
      </c>
      <c r="I2" s="47"/>
      <c r="J2" s="47"/>
      <c r="K2" s="18" t="s">
        <v>127</v>
      </c>
      <c r="L2" cm="1">
        <f t="array" ref="L2">MEDIAN(IF((rounded[age]=A2)*(rounded[capitalize_gender]=Gender)*(rounded[text_depression]=Label),rounded[daily_social_media_hours]))</f>
        <v>3.8499999999999996</v>
      </c>
      <c r="M2" s="46"/>
      <c r="N2" cm="1">
        <f t="array" ref="N2">MEDIAN(IF((rounded[age]=A2)*(rounded[capitalize_gender]=D9)*(rounded[text_depression]=G9),rounded[sleep_hours]))</f>
        <v>4.2</v>
      </c>
      <c r="O2" s="46"/>
      <c r="P2" cm="1">
        <f t="array" ref="P2">MEDIAN(IF((rounded[age]=A2)*(rounded[capitalize_gender]=D9)*(rounded[text_depression]=G9),rounded[behavioral_composite]))</f>
        <v>22</v>
      </c>
      <c r="Q2" s="47"/>
    </row>
    <row r="3" spans="1:17" x14ac:dyDescent="0.35">
      <c r="A3" s="21">
        <v>14</v>
      </c>
      <c r="B3" s="10">
        <f>COUNTIF(rounded[age], A3)</f>
        <v>153</v>
      </c>
      <c r="C3" s="46"/>
      <c r="D3" s="21" t="str">
        <v>male</v>
      </c>
      <c r="E3" s="10">
        <f>COUNTIF(rounded[gender], D3)</f>
        <v>615</v>
      </c>
      <c r="F3" s="46"/>
      <c r="G3" s="35">
        <v>1</v>
      </c>
      <c r="H3" s="36">
        <f>COUNTIF(rounded[depression_label], G3)</f>
        <v>31</v>
      </c>
      <c r="I3" s="47"/>
      <c r="J3" s="47"/>
      <c r="K3" s="18" t="s">
        <v>128</v>
      </c>
      <c r="L3" cm="1">
        <f t="array" ref="L3">MEDIAN(IF((rounded[age]=A2)*(rounded[capitalize_gender]=D9)*(rounded[text_depression]=G10),rounded[daily_social_media_hours]))</f>
        <v>3.8499999999999996</v>
      </c>
      <c r="M3" s="46"/>
      <c r="N3" cm="1">
        <f t="array" ref="N3">MEDIAN(IF((rounded[age]=A2)*(rounded[capitalize_gender]=D9)*(rounded[text_depression]=G10),rounded[sleep_hours]))</f>
        <v>6.95</v>
      </c>
      <c r="O3" s="46"/>
      <c r="P3" cm="1">
        <f t="array" ref="P3">MEDIAN(IF((rounded[age]=A2)*(rounded[capitalize_gender]=D9)*(rounded[text_depression]=G10),rounded[behavioral_composite]))</f>
        <v>17</v>
      </c>
      <c r="Q3" s="47"/>
    </row>
    <row r="4" spans="1:17" x14ac:dyDescent="0.35">
      <c r="A4" s="21">
        <v>15</v>
      </c>
      <c r="B4" s="10">
        <f>COUNTIF(rounded[age], A4)</f>
        <v>180</v>
      </c>
      <c r="C4" s="46"/>
      <c r="D4" s="21"/>
      <c r="E4" s="10"/>
      <c r="F4" s="46"/>
      <c r="G4" s="35"/>
      <c r="H4" s="36"/>
      <c r="I4" s="47"/>
      <c r="J4" s="47"/>
      <c r="K4" s="18" t="s">
        <v>129</v>
      </c>
      <c r="L4" cm="1">
        <f t="array" ref="L4">MEDIAN(IF((rounded[age]=A2)*(rounded[capitalize_gender]=D10)*(rounded[text_depression]=G9),rounded[daily_social_media_hours]))</f>
        <v>7.7</v>
      </c>
      <c r="M4" s="46"/>
      <c r="N4" cm="1">
        <f t="array" ref="N4">MEDIAN(IF((rounded[age]=A2)*(rounded[capitalize_gender]=D10)*(rounded[text_depression]=G9),rounded[sleep_hours]))</f>
        <v>4.8</v>
      </c>
      <c r="O4" s="46"/>
      <c r="P4" cm="1">
        <f t="array" ref="P4">MEDIAN(IF((rounded[age]=A2)*(rounded[capitalize_gender]=D10)*(rounded[text_depression]=G9),rounded[behavioral_composite]))</f>
        <v>21</v>
      </c>
      <c r="Q4" s="47"/>
    </row>
    <row r="5" spans="1:17" ht="15" thickBot="1" x14ac:dyDescent="0.4">
      <c r="A5" s="21">
        <v>16</v>
      </c>
      <c r="B5" s="10">
        <f>COUNTIF(rounded[age], A5)</f>
        <v>163</v>
      </c>
      <c r="C5" s="46"/>
      <c r="D5" s="11" t="s">
        <v>116</v>
      </c>
      <c r="E5" s="28">
        <f>SUM(E2:E3)</f>
        <v>1200</v>
      </c>
      <c r="F5" s="46"/>
      <c r="G5" s="39" t="s">
        <v>116</v>
      </c>
      <c r="H5" s="40">
        <f>SUM(H2:H3)</f>
        <v>1200</v>
      </c>
      <c r="I5" s="47"/>
      <c r="J5" s="47"/>
      <c r="K5" s="18" t="s">
        <v>130</v>
      </c>
      <c r="L5" cm="1">
        <f t="array" ref="L5">MEDIAN(IF((rounded[age]=A2)*(rounded[capitalize_gender]=D10)*(rounded[text_depression]=G10),rounded[daily_social_media_hours]))</f>
        <v>4.6999999999999993</v>
      </c>
      <c r="M5" s="46"/>
      <c r="N5" cm="1">
        <f t="array" ref="N5">MEDIAN(IF((rounded[age]=A2)*(rounded[capitalize_gender]=D10)*(rounded[text_depression]=G10),rounded[sleep_hours]))</f>
        <v>5.85</v>
      </c>
      <c r="O5" s="46"/>
      <c r="P5" cm="1">
        <f t="array" ref="P5">MEDIAN(IF((rounded[age]=A2)*(rounded[capitalize_gender]=D10)*(rounded[text_depression]=G10),rounded[behavioral_composite]))</f>
        <v>17</v>
      </c>
      <c r="Q5" s="47"/>
    </row>
    <row r="6" spans="1:17" x14ac:dyDescent="0.35">
      <c r="A6" s="21">
        <v>17</v>
      </c>
      <c r="B6" s="10">
        <f>COUNTIF(rounded[age], A6)</f>
        <v>170</v>
      </c>
      <c r="C6" s="46"/>
      <c r="F6" s="46"/>
      <c r="I6" s="47"/>
      <c r="J6" s="47"/>
      <c r="K6" s="18" t="s">
        <v>131</v>
      </c>
      <c r="L6" cm="1">
        <f t="array" ref="L6">MEDIAN(IF((rounded[age]=A3)*(rounded[capitalize_gender]=D9)*(rounded[text_depression]=G9),rounded[daily_social_media_hours]))</f>
        <v>5.4</v>
      </c>
      <c r="M6" s="46"/>
      <c r="N6" cm="1">
        <f t="array" ref="N6">MEDIAN(IF((rounded[age]=A3)*(rounded[capitalize_gender]=D9)*(rounded[text_depression]=G9),rounded[sleep_hours]))</f>
        <v>5.2</v>
      </c>
      <c r="O6" s="46"/>
      <c r="P6" cm="1">
        <f t="array" ref="P6">MEDIAN(
IF(
(rounded[age]=A3)*
(rounded[capitalize_gender]=D9)*
(rounded[text_depression]=G9),
rounded[behavioral_composite]
)
)</f>
        <v>24</v>
      </c>
      <c r="Q6" s="47"/>
    </row>
    <row r="7" spans="1:17" ht="15" thickBot="1" x14ac:dyDescent="0.4">
      <c r="A7" s="21">
        <v>18</v>
      </c>
      <c r="B7" s="10">
        <f>COUNTIF(rounded[age], A7)</f>
        <v>172</v>
      </c>
      <c r="C7" s="46"/>
      <c r="D7" t="s">
        <v>126</v>
      </c>
      <c r="F7" s="46"/>
      <c r="G7" t="s">
        <v>123</v>
      </c>
      <c r="I7" s="47"/>
      <c r="J7" s="47"/>
      <c r="K7" s="18" t="s">
        <v>132</v>
      </c>
      <c r="L7" cm="1">
        <f t="array" ref="L7">MEDIAN(IF((rounded[age]=A3)*(rounded[capitalize_gender]=D9)*(rounded[text_depression]=G10),rounded[daily_social_media_hours]))</f>
        <v>4.3499999999999996</v>
      </c>
      <c r="M7" s="46"/>
      <c r="N7" cm="1">
        <f t="array" ref="N7">MEDIAN(IF((rounded[age]=A3)*(rounded[capitalize_gender]=D9)*(rounded[text_depression]=G10),rounded[sleep_hours]))</f>
        <v>6.2</v>
      </c>
      <c r="O7" s="46"/>
      <c r="P7" cm="1">
        <f t="array" ref="P7">MEDIAN(IF((rounded[age]=A3)*(rounded[capitalize_gender]=D9)*(rounded[text_depression]=G10),rounded[behavioral_composite]))</f>
        <v>16</v>
      </c>
      <c r="Q7" s="47"/>
    </row>
    <row r="8" spans="1:17" x14ac:dyDescent="0.35">
      <c r="A8" s="29">
        <v>19</v>
      </c>
      <c r="B8" s="30">
        <f>COUNTIF(rounded[age], A8)</f>
        <v>162</v>
      </c>
      <c r="C8" s="46"/>
      <c r="D8" s="41" t="s">
        <v>117</v>
      </c>
      <c r="E8" s="42" t="s">
        <v>118</v>
      </c>
      <c r="F8" s="46"/>
      <c r="G8" s="41" t="s">
        <v>119</v>
      </c>
      <c r="H8" s="42" t="s">
        <v>120</v>
      </c>
      <c r="I8" s="47"/>
      <c r="J8" s="47"/>
      <c r="K8" s="18" t="s">
        <v>133</v>
      </c>
      <c r="L8" cm="1">
        <f t="array" ref="L8">MEDIAN(IF((rounded[age]=A3)*(rounded[capitalize_gender]=D10)*(rounded[text_depression]=G9),rounded[daily_social_media_hours]))</f>
        <v>6.2</v>
      </c>
      <c r="M8" s="46"/>
      <c r="N8" cm="1">
        <f t="array" ref="N8">MEDIAN(IF((rounded[age]=A3)*(rounded[capitalize_gender]=D10)*(rounded[text_depression]=G9),rounded[sleep_hours]))</f>
        <v>4.4000000000000004</v>
      </c>
      <c r="O8" s="46"/>
      <c r="P8" cm="1">
        <f t="array" ref="P8">MEDIAN(IF((rounded[age]=A3)*(rounded[capitalize_gender]=D10)*(rounded[text_depression]=G9),rounded[behavioral_composite]))</f>
        <v>22</v>
      </c>
      <c r="Q8" s="47"/>
    </row>
    <row r="9" spans="1:17" x14ac:dyDescent="0.35">
      <c r="A9" s="19"/>
      <c r="B9" s="20"/>
      <c r="C9" s="46"/>
      <c r="D9" s="35" t="str" cm="1">
        <f t="array" ref="D9:D10">_xlfn.UNIQUE(_xlfn._xlws.SORT(rounded[capitalize_gender]))</f>
        <v>Female</v>
      </c>
      <c r="E9" s="36">
        <f>COUNTIF(rounded[capitalize_gender], D9)</f>
        <v>585</v>
      </c>
      <c r="F9" s="46"/>
      <c r="G9" s="44" t="str" cm="1">
        <f t="array" ref="G9:G10">_xlfn.UNIQUE(_xlfn._xlws.SORT(rounded[text_depression]))</f>
        <v>Depressed</v>
      </c>
      <c r="H9" s="36">
        <f>COUNTIF(rounded[text_depression], G9)</f>
        <v>31</v>
      </c>
      <c r="I9" s="47"/>
      <c r="J9" s="47"/>
      <c r="K9" s="18" t="s">
        <v>134</v>
      </c>
      <c r="L9" cm="1">
        <f t="array" ref="L9">MEDIAN(IF((rounded[age]=A3)*(rounded[capitalize_gender]=D10)*(rounded[text_depression]=G10),rounded[daily_social_media_hours]))</f>
        <v>4.1500000000000004</v>
      </c>
      <c r="M9" s="46"/>
      <c r="N9" cm="1">
        <f t="array" ref="N9">MEDIAN(IF((rounded[age]=A3)*(rounded[capitalize_gender]=D10)*(rounded[text_depression]=G10),rounded[sleep_hours]))</f>
        <v>6.3</v>
      </c>
      <c r="O9" s="46"/>
      <c r="P9" cm="1">
        <f t="array" ref="P9">MEDIAN(IF((rounded[age]=A3)*(rounded[capitalize_gender]=D10)*(rounded[text_depression]=G10),rounded[behavioral_composite]))</f>
        <v>17</v>
      </c>
      <c r="Q9" s="47"/>
    </row>
    <row r="10" spans="1:17" ht="15" thickBot="1" x14ac:dyDescent="0.4">
      <c r="A10" s="31" t="s">
        <v>116</v>
      </c>
      <c r="B10" s="32">
        <f>SUM(B2:B8)</f>
        <v>1200</v>
      </c>
      <c r="C10" s="46"/>
      <c r="D10" s="35" t="str">
        <v>Male</v>
      </c>
      <c r="E10" s="36">
        <f>COUNTIF(rounded[capitalize_gender], D10)</f>
        <v>615</v>
      </c>
      <c r="F10" s="46"/>
      <c r="G10" s="44" t="str">
        <v>Not Depressed</v>
      </c>
      <c r="H10" s="36">
        <f>COUNTIF(rounded[text_depression], G10)</f>
        <v>1169</v>
      </c>
      <c r="I10" s="47"/>
      <c r="J10" s="47"/>
      <c r="K10" s="18" t="s">
        <v>135</v>
      </c>
      <c r="L10" cm="1">
        <f t="array" ref="L10">MEDIAN(IF((rounded[age]=A4)*(rounded[capitalize_gender]=D9)*(rounded[text_depression]=G9),rounded[daily_social_media_hours]))</f>
        <v>7.8</v>
      </c>
      <c r="M10" s="46"/>
      <c r="N10" cm="1">
        <f t="array" ref="N10">MEDIAN(IF((rounded[age]=A4)*(rounded[capitalize_gender]=D9)*(rounded[text_depression]=G9),rounded[sleep_hours]))</f>
        <v>5.3</v>
      </c>
      <c r="O10" s="46"/>
      <c r="P10" cm="1">
        <f t="array" ref="P10">MEDIAN(IF((rounded[age]=A4)*(rounded[capitalize_gender]=D9)*(rounded[text_depression]=G9),rounded[behavioral_composite]))</f>
        <v>21</v>
      </c>
      <c r="Q10" s="47"/>
    </row>
    <row r="11" spans="1:17" x14ac:dyDescent="0.35">
      <c r="C11" s="46"/>
      <c r="D11" s="35"/>
      <c r="E11" s="36"/>
      <c r="F11" s="46"/>
      <c r="G11" s="43"/>
      <c r="H11" s="36"/>
      <c r="I11" s="47"/>
      <c r="J11" s="47"/>
      <c r="K11" s="18" t="s">
        <v>136</v>
      </c>
      <c r="L11" cm="1">
        <f t="array" ref="L11">MEDIAN(IF((rounded[age]=A4)*(rounded[capitalize_gender]=D9)*(rounded[text_depression]=G10),rounded[daily_social_media_hours]))</f>
        <v>4.2</v>
      </c>
      <c r="M11" s="46"/>
      <c r="N11" cm="1">
        <f t="array" ref="N11">MEDIAN(IF((rounded[age]=A4)*(rounded[capitalize_gender]=D9)*(rounded[text_depression]=G10),rounded[sleep_hours]))</f>
        <v>7</v>
      </c>
      <c r="O11" s="46"/>
      <c r="P11" cm="1">
        <f t="array" ref="P11">MEDIAN(IF((rounded[age]=A4)*(rounded[capitalize_gender]=D9)*(rounded[text_depression]=G10),rounded[behavioral_composite]))</f>
        <v>16</v>
      </c>
      <c r="Q11" s="47"/>
    </row>
    <row r="12" spans="1:17" ht="15" thickBot="1" x14ac:dyDescent="0.4">
      <c r="C12" s="46"/>
      <c r="D12" s="39" t="s">
        <v>116</v>
      </c>
      <c r="E12" s="40">
        <f>SUM(E9:E10)</f>
        <v>1200</v>
      </c>
      <c r="F12" s="46"/>
      <c r="G12" s="39" t="s">
        <v>116</v>
      </c>
      <c r="H12" s="40">
        <f>SUM(H9:H10)</f>
        <v>1200</v>
      </c>
      <c r="I12" s="47"/>
      <c r="J12" s="47"/>
      <c r="K12" s="18" t="s">
        <v>137</v>
      </c>
      <c r="L12" cm="1">
        <f t="array" ref="L12">MEDIAN(IF((rounded[age]=A4)*(rounded[capitalize_gender]=D10)*(rounded[text_depression]=G9),rounded[daily_social_media_hours]))</f>
        <v>5.4</v>
      </c>
      <c r="M12" s="46"/>
      <c r="N12" cm="1">
        <f t="array" ref="N12">MEDIAN(IF((rounded[age]=A4)*(rounded[capitalize_gender]=D10)*(rounded[text_depression]=G9),rounded[sleep_hours]))</f>
        <v>4.2</v>
      </c>
      <c r="O12" s="46"/>
      <c r="P12" cm="1">
        <f t="array" ref="P12">MEDIAN(IF((rounded[age]=A4)*(rounded[capitalize_gender]=D10)*(rounded[text_depression]=G9),rounded[behavioral_composite]))</f>
        <v>26</v>
      </c>
      <c r="Q12" s="47"/>
    </row>
    <row r="13" spans="1:17" x14ac:dyDescent="0.35">
      <c r="A13" s="47"/>
      <c r="B13" s="47"/>
      <c r="C13" s="47"/>
      <c r="D13" s="47"/>
      <c r="E13" s="47"/>
      <c r="F13" s="47"/>
      <c r="G13" s="47"/>
      <c r="H13" s="47"/>
      <c r="I13" s="47"/>
      <c r="J13" s="47"/>
      <c r="K13" s="18" t="s">
        <v>138</v>
      </c>
      <c r="L13" cm="1">
        <f t="array" ref="L13">MEDIAN(IF((rounded[age]=A4)*(rounded[capitalize_gender]=D10)*(rounded[text_depression]=G10),rounded[daily_social_media_hours]))</f>
        <v>4.75</v>
      </c>
      <c r="M13" s="46"/>
      <c r="N13" cm="1">
        <f t="array" ref="N13">MEDIAN(IF((rounded[age]=A4)*(rounded[capitalize_gender]=D10)*(rounded[text_depression]=G10),rounded[sleep_hours]))</f>
        <v>6.3</v>
      </c>
      <c r="O13" s="46"/>
      <c r="P13" cm="1">
        <f t="array" ref="P13">MEDIAN(IF((rounded[age]=A4)*(rounded[capitalize_gender]=D10)*(rounded[text_depression]=G10),rounded[behavioral_composite]))</f>
        <v>16</v>
      </c>
      <c r="Q13" s="47"/>
    </row>
    <row r="14" spans="1:17" x14ac:dyDescent="0.35">
      <c r="A14" s="47"/>
      <c r="B14" s="47"/>
      <c r="C14" s="47"/>
      <c r="D14" s="47"/>
      <c r="E14" s="47"/>
      <c r="F14" s="47"/>
      <c r="G14" s="47"/>
      <c r="H14" s="47"/>
      <c r="I14" s="47"/>
      <c r="J14" s="47"/>
      <c r="K14" s="18" t="s">
        <v>139</v>
      </c>
      <c r="L14" cm="1">
        <f t="array" ref="L14">MEDIAN(IF((rounded[age]=A5)*(rounded[capitalize_gender]=D9)*(rounded[text_depression]=G9),rounded[daily_social_media_hours]))</f>
        <v>6.1</v>
      </c>
      <c r="M14" s="46"/>
      <c r="N14" cm="1">
        <f t="array" ref="N14">MEDIAN(IF((rounded[age]=A5)*(rounded[capitalize_gender]=D9)*(rounded[text_depression]=G9),rounded[sleep_hours]))</f>
        <v>5.55</v>
      </c>
      <c r="O14" s="46"/>
      <c r="P14" cm="1">
        <f t="array" ref="P14">MEDIAN(IF((rounded[age]=A5)*(rounded[capitalize_gender]=D9)*(rounded[text_depression]=G9),rounded[behavioral_composite]))</f>
        <v>24.5</v>
      </c>
      <c r="Q14" s="47"/>
    </row>
    <row r="15" spans="1:17" x14ac:dyDescent="0.35">
      <c r="J15" s="47"/>
      <c r="K15" s="18" t="s">
        <v>140</v>
      </c>
      <c r="L15" cm="1">
        <f t="array" ref="L15">MEDIAN(IF((rounded[age]=A5)*(rounded[capitalize_gender]=D9)*(rounded[text_depression]=G10),rounded[daily_social_media_hours]))</f>
        <v>4.4000000000000004</v>
      </c>
      <c r="M15" s="46"/>
      <c r="N15" cm="1">
        <f t="array" ref="N15">MEDIAN(IF((rounded[age]=A5)*(rounded[capitalize_gender]=D9)*(rounded[text_depression]=G10),rounded[sleep_hours]))</f>
        <v>6.3</v>
      </c>
      <c r="O15" s="46"/>
      <c r="P15" cm="1">
        <f t="array" ref="P15">MEDIAN(IF((rounded[age]=A5)*(rounded[capitalize_gender]=D9)*(rounded[text_depression]=G10),rounded[behavioral_composite]))</f>
        <v>16</v>
      </c>
      <c r="Q15" s="47"/>
    </row>
    <row r="16" spans="1:17" x14ac:dyDescent="0.35">
      <c r="J16" s="47"/>
      <c r="K16" s="18" t="s">
        <v>141</v>
      </c>
      <c r="L16" t="e" cm="1">
        <f t="array" ref="L16">MEDIAN(IF((rounded[age]=A5)*(rounded[capitalize_gender]=D10)*(rounded[text_depression]=G9),rounded[daily_social_media_hours]))</f>
        <v>#NUM!</v>
      </c>
      <c r="M16" s="46"/>
      <c r="N16" t="e" cm="1">
        <f t="array" ref="N16">MEDIAN(IF((rounded[age]=A5)*(rounded[capitalize_gender]=D10)*(rounded[text_depression]=G9),rounded[sleep_hours]))</f>
        <v>#NUM!</v>
      </c>
      <c r="O16" s="46"/>
      <c r="P16" t="e" cm="1">
        <f t="array" ref="P16">MEDIAN(IF((rounded[age]=A5)*(rounded[capitalize_gender]=D10)*(rounded[text_depression]=G9),rounded[sleep_hours]))</f>
        <v>#NUM!</v>
      </c>
      <c r="Q16" s="47"/>
    </row>
    <row r="17" spans="4:17" x14ac:dyDescent="0.35">
      <c r="D17" s="116" t="s">
        <v>157</v>
      </c>
      <c r="E17" s="116"/>
      <c r="F17" s="116"/>
      <c r="J17" s="47"/>
      <c r="K17" s="18" t="s">
        <v>142</v>
      </c>
      <c r="L17" cm="1">
        <f t="array" ref="L17">MEDIAN(IF((rounded[age]=A5)*(rounded[capitalize_gender]=D10)*(rounded[text_depression]=G10),rounded[daily_social_media_hours]))</f>
        <v>4.6500000000000004</v>
      </c>
      <c r="M17" s="46"/>
      <c r="N17" cm="1">
        <f t="array" ref="N17">MEDIAN(IF((rounded[age]=A5)*(rounded[capitalize_gender]=D10)*(rounded[text_depression]=G10),rounded[sleep_hours]))</f>
        <v>6.8</v>
      </c>
      <c r="O17" s="46"/>
      <c r="P17" cm="1">
        <f t="array" ref="P17">MEDIAN(IF((rounded[age]=A5)*(rounded[capitalize_gender]=D10)*(rounded[text_depression]=G10),rounded[behavioral_composite]))</f>
        <v>17</v>
      </c>
      <c r="Q17" s="47"/>
    </row>
    <row r="18" spans="4:17" x14ac:dyDescent="0.35">
      <c r="D18" s="117"/>
      <c r="E18" s="117" t="s">
        <v>70</v>
      </c>
      <c r="F18" s="117" t="s">
        <v>124</v>
      </c>
      <c r="J18" s="47"/>
      <c r="K18" s="18" t="s">
        <v>143</v>
      </c>
      <c r="L18" cm="1">
        <f t="array" ref="L18">MEDIAN(IF((rounded[age]=A6)*(rounded[capitalize_gender]=D9)*(rounded[text_depression]=G9),rounded[daily_social_media_hours]))</f>
        <v>7.5</v>
      </c>
      <c r="M18" s="46"/>
      <c r="N18" cm="1">
        <f t="array" ref="N18">MEDIAN(IF((rounded[age]=A6)*(rounded[capitalize_gender]=D9)*(rounded[text_depression]=G9),rounded[sleep_hours]))</f>
        <v>5.4</v>
      </c>
      <c r="O18" s="46"/>
      <c r="P18" cm="1">
        <f t="array" ref="P18">MEDIAN(IF((rounded[age]=A6)*(rounded[capitalize_gender]=D9)*(rounded[text_depression]=G9),rounded[behavioral_composite]))</f>
        <v>23</v>
      </c>
      <c r="Q18" s="47"/>
    </row>
    <row r="19" spans="4:17" x14ac:dyDescent="0.35">
      <c r="D19" s="118"/>
      <c r="E19" s="118" cm="1">
        <f t="array" ref="E19">MEDIAN(IF(rounded[text_depression] = "Depressed", rounded[behavioral_composite]))</f>
        <v>22</v>
      </c>
      <c r="F19" s="118" cm="1">
        <f t="array" ref="F19">MEDIAN(IF(rounded[text_depression] = "Not Depressed", rounded[behavioral_composite]))</f>
        <v>17</v>
      </c>
      <c r="J19" s="47"/>
      <c r="K19" s="18" t="s">
        <v>144</v>
      </c>
      <c r="L19" cm="1">
        <f t="array" ref="L19">MEDIAN(IF((rounded[age]=A6)*(rounded[capitalize_gender]=D9)*(rounded[text_depression]=G10),rounded[daily_social_media_hours]))</f>
        <v>5</v>
      </c>
      <c r="M19" s="46"/>
      <c r="N19" cm="1">
        <f t="array" ref="N19">MEDIAN(IF((rounded[age]=A6)*(rounded[capitalize_gender]=D9)*(rounded[text_depression]=G10),rounded[sleep_hours]))</f>
        <v>6.55</v>
      </c>
      <c r="O19" s="46"/>
      <c r="P19" cm="1">
        <f t="array" ref="P19">MEDIAN(IF((rounded[age]=A6)*(rounded[capitalize_gender]=D9)*(rounded[text_depression]=G10),rounded[behavioral_composite]))</f>
        <v>17</v>
      </c>
      <c r="Q19" s="47"/>
    </row>
    <row r="20" spans="4:17" x14ac:dyDescent="0.35">
      <c r="J20" s="47"/>
      <c r="K20" s="18" t="s">
        <v>145</v>
      </c>
      <c r="L20" cm="1">
        <f t="array" ref="L20">MEDIAN(IF((rounded[age]=A6)*(rounded[capitalize_gender]=D10)*(rounded[text_depression]=G9),rounded[daily_social_media_hours]))</f>
        <v>6.9</v>
      </c>
      <c r="M20" s="46"/>
      <c r="N20" cm="1">
        <f t="array" ref="N20">MEDIAN(IF((rounded[age]=A6)*(rounded[capitalize_gender]=D10)*(rounded[text_depression]=G9),rounded[sleep_hours]))</f>
        <v>4.5999999999999996</v>
      </c>
      <c r="O20" s="46"/>
      <c r="P20" cm="1">
        <f t="array" ref="P20">MEDIAN(IF((rounded[age]=A6)*(rounded[capitalize_gender]=D10)*(rounded[text_depression]=G9),rounded[behavioral_composite]))</f>
        <v>21</v>
      </c>
      <c r="Q20" s="47"/>
    </row>
    <row r="21" spans="4:17" x14ac:dyDescent="0.35">
      <c r="J21" s="47"/>
      <c r="K21" s="18" t="s">
        <v>146</v>
      </c>
      <c r="L21" cm="1">
        <f t="array" ref="L21">MEDIAN(IF((rounded[age]=A6)*(rounded[capitalize_gender]=D10)*(rounded[text_depression]=G10),rounded[daily_social_media_hours]))</f>
        <v>4.75</v>
      </c>
      <c r="M21" s="46"/>
      <c r="N21" cm="1">
        <f t="array" ref="N21">MEDIAN(IF((rounded[age]=A6)*(rounded[capitalize_gender]=D10)*(rounded[text_depression]=G10),rounded[sleep_hours]))</f>
        <v>6.65</v>
      </c>
      <c r="O21" s="46"/>
      <c r="P21" cm="1">
        <f t="array" ref="P21">MEDIAN(IF((rounded[age]=A6)*(rounded[capitalize_gender]=D10)*(rounded[text_depression]=G10),rounded[behavioral_composite]))</f>
        <v>16.5</v>
      </c>
      <c r="Q21" s="47"/>
    </row>
    <row r="22" spans="4:17" x14ac:dyDescent="0.35">
      <c r="F22"/>
      <c r="J22" s="47"/>
      <c r="K22" s="18" t="s">
        <v>147</v>
      </c>
      <c r="L22" cm="1">
        <f t="array" ref="L22">MEDIAN(IF((rounded[age]=A7)*(rounded[capitalize_gender]=D9)*(rounded[text_depression]=G9),rounded[daily_social_media_hours]))</f>
        <v>6.4</v>
      </c>
      <c r="M22" s="46"/>
      <c r="N22" cm="1">
        <f t="array" ref="N22">MEDIAN(IF((rounded[age]=A7)*(rounded[capitalize_gender]=D9)*(rounded[text_depression]=G9),rounded[sleep_hours]))</f>
        <v>4.8</v>
      </c>
      <c r="O22" s="46"/>
      <c r="P22" cm="1">
        <f t="array" ref="P22">MEDIAN(IF((rounded[age]=A7)*(rounded[capitalize_gender]=D9)*(rounded[text_depression]=G9),rounded[behavioral_composite]))</f>
        <v>22</v>
      </c>
      <c r="Q22" s="47"/>
    </row>
    <row r="23" spans="4:17" x14ac:dyDescent="0.35">
      <c r="D23" t="s">
        <v>64</v>
      </c>
      <c r="G23" s="15" t="s">
        <v>172</v>
      </c>
      <c r="H23" s="15"/>
      <c r="J23" s="47"/>
      <c r="K23" s="18" t="s">
        <v>148</v>
      </c>
      <c r="L23" cm="1">
        <f t="array" ref="L23">MEDIAN(IF((rounded[age]=A7)*(rounded[capitalize_gender]=D9)*(rounded[text_depression]=G10),rounded[daily_social_media_hours]))</f>
        <v>3.9</v>
      </c>
      <c r="M23" s="46"/>
      <c r="N23" cm="1">
        <f t="array" ref="N23">MEDIAN(IF((rounded[age]=A7)*(rounded[capitalize_gender]=D9)*(rounded[text_depression]=G10),rounded[sleep_hours]))</f>
        <v>6.55</v>
      </c>
      <c r="O23" s="46"/>
      <c r="P23" cm="1">
        <f t="array" ref="P23">MEDIAN(IF((rounded[age]=A7)*(rounded[capitalize_gender]=D9)*(rounded[text_depression]=G10),rounded[behavioral_composite]))</f>
        <v>16</v>
      </c>
      <c r="Q23" s="47"/>
    </row>
    <row r="24" spans="4:17" x14ac:dyDescent="0.35">
      <c r="D24" t="s">
        <v>14</v>
      </c>
      <c r="E24">
        <f>COUNTIFS(rounded[platform_usage], D24, rounded[text_depression], Label, rounded[capitalize_gender], Gender)</f>
        <v>200</v>
      </c>
      <c r="G24">
        <f>SUM(E24:E26) /1200</f>
        <v>0.47333333333333333</v>
      </c>
      <c r="J24" s="47"/>
      <c r="K24" s="18" t="s">
        <v>149</v>
      </c>
      <c r="L24" cm="1">
        <f t="array" ref="L24">MEDIAN(IF((rounded[age]=A7)*(rounded[capitalize_gender]=D10)*(rounded[text_depression]=G9),rounded[daily_social_media_hours]))</f>
        <v>6.2</v>
      </c>
      <c r="M24" s="46"/>
      <c r="N24" cm="1">
        <f t="array" ref="N24">MEDIAN(IF((rounded[age]=A7)*(rounded[capitalize_gender]=D10)*(rounded[text_depression]=G9),rounded[sleep_hours]))</f>
        <v>4.0999999999999996</v>
      </c>
      <c r="O24" s="46"/>
      <c r="P24" cm="1">
        <f t="array" ref="P24">MEDIAN(IF((rounded[age]=A7)*(rounded[capitalize_gender]=D10)*(rounded[text_depression]=G9),rounded[behavioral_composite]))</f>
        <v>16</v>
      </c>
      <c r="Q24" s="47"/>
    </row>
    <row r="25" spans="4:17" x14ac:dyDescent="0.35">
      <c r="D25" t="s">
        <v>53</v>
      </c>
      <c r="E25">
        <f>COUNTIFS(rounded[platform_usage], D25, rounded[text_depression], Label, rounded[capitalize_gender], Gender)</f>
        <v>186</v>
      </c>
      <c r="J25" s="47"/>
      <c r="K25" s="18" t="s">
        <v>150</v>
      </c>
      <c r="L25" cm="1">
        <f t="array" ref="L25">MEDIAN(IF((rounded[age]=A7)*(rounded[capitalize_gender]=D10)*(rounded[text_depression]=G10),rounded[daily_social_media_hours]))</f>
        <v>4.25</v>
      </c>
      <c r="M25" s="46"/>
      <c r="N25" cm="1">
        <f t="array" ref="N25">MEDIAN(IF((rounded[age]=A7)*(rounded[capitalize_gender]=D10)*(rounded[text_depression]=G10),rounded[sleep_hours]))</f>
        <v>6.5</v>
      </c>
      <c r="O25" s="46"/>
      <c r="P25" cm="1">
        <f t="array" ref="P25">MEDIAN(IF((rounded[age]=A7)*(rounded[capitalize_gender]=D10)*(rounded[text_depression]=G10),rounded[behavioral_composite]))</f>
        <v>16</v>
      </c>
      <c r="Q25" s="47"/>
    </row>
    <row r="26" spans="4:17" x14ac:dyDescent="0.35">
      <c r="D26" t="s">
        <v>20</v>
      </c>
      <c r="E26">
        <f>COUNTIFS(rounded[platform_usage], D26, rounded[text_depression], Label, rounded[capitalize_gender], Gender)</f>
        <v>182</v>
      </c>
      <c r="J26" s="47"/>
      <c r="K26" s="18" t="s">
        <v>151</v>
      </c>
      <c r="L26" cm="1">
        <f t="array" ref="L26">MEDIAN(IF((rounded[age]=A8)*(rounded[capitalize_gender]=D9)*(rounded[text_depression]=G9),rounded[daily_social_media_hours]))</f>
        <v>7.4</v>
      </c>
      <c r="M26" s="46"/>
      <c r="N26" cm="1">
        <f t="array" ref="N26">MEDIAN(IF((rounded[age]=A8)*(rounded[capitalize_gender]=D9)*(rounded[text_depression]=G9),rounded[sleep_hours]))</f>
        <v>4.4000000000000004</v>
      </c>
      <c r="O26" s="46"/>
      <c r="P26" cm="1">
        <f t="array" ref="P26">MEDIAN(IF((rounded[age]=A8)*(rounded[capitalize_gender]=D9)*(rounded[text_depression]=G9),rounded[behavioral_composite]))</f>
        <v>21</v>
      </c>
      <c r="Q26" s="47"/>
    </row>
    <row r="27" spans="4:17" x14ac:dyDescent="0.35">
      <c r="J27" s="47"/>
      <c r="K27" s="18" t="s">
        <v>152</v>
      </c>
      <c r="L27" cm="1">
        <f t="array" ref="L27">MEDIAN(IF((rounded[age]=A8)*(rounded[capitalize_gender]=D9)*(rounded[text_depression]=G10),rounded[daily_social_media_hours]))</f>
        <v>4.4000000000000004</v>
      </c>
      <c r="M27" s="46"/>
      <c r="N27" cm="1">
        <f t="array" ref="N27">MEDIAN(IF((rounded[age]=A8)*(rounded[capitalize_gender]=D9)*(rounded[text_depression]=G10),rounded[sleep_hours]))</f>
        <v>6.4</v>
      </c>
      <c r="O27" s="46"/>
      <c r="P27" cm="1">
        <f t="array" ref="P27">MEDIAN(IF((rounded[age]=A8)*(rounded[capitalize_gender]=D9)*(rounded[text_depression]=G10),rounded[behavioral_composite]))</f>
        <v>17</v>
      </c>
      <c r="Q27" s="47"/>
    </row>
    <row r="28" spans="4:17" x14ac:dyDescent="0.35">
      <c r="J28" s="47"/>
      <c r="K28" s="18" t="s">
        <v>153</v>
      </c>
      <c r="L28" cm="1">
        <f t="array" ref="L28">MEDIAN(IF((rounded[age]=A8)*(rounded[capitalize_gender]=D10)*(rounded[text_depression]=G9),rounded[daily_social_media_hours]))</f>
        <v>7</v>
      </c>
      <c r="M28" s="46"/>
      <c r="N28" cm="1">
        <f t="array" ref="N28">MEDIAN(IF((rounded[age]=A8)*(rounded[capitalize_gender]=D10)*(rounded[text_depression]=G9),rounded[sleep_hours]))</f>
        <v>4.3</v>
      </c>
      <c r="O28" s="46"/>
      <c r="P28" cm="1">
        <f t="array" ref="P28">MEDIAN(IF((rounded[age]=A8)*(rounded[capitalize_gender]=D10)*(rounded[text_depression]=G9),rounded[behavioral_composite]))</f>
        <v>22</v>
      </c>
      <c r="Q28" s="47"/>
    </row>
    <row r="29" spans="4:17" x14ac:dyDescent="0.35">
      <c r="D29" t="s">
        <v>173</v>
      </c>
      <c r="J29" s="47"/>
      <c r="K29" s="18" t="s">
        <v>154</v>
      </c>
      <c r="L29" cm="1">
        <f t="array" ref="L29">MEDIAN(IF((rounded[age]=A8)*(rounded[capitalize_gender]=D10)*(rounded[text_depression]=G10),rounded[daily_social_media_hours]))</f>
        <v>4.5999999999999996</v>
      </c>
      <c r="M29" s="46"/>
      <c r="N29" cm="1">
        <f t="array" ref="N29">MEDIAN(IF((rounded[age]=A8)*(rounded[capitalize_gender]=D10)*(rounded[text_depression]=G10),rounded[sleep_hours]))</f>
        <v>6.8</v>
      </c>
      <c r="O29" s="46"/>
      <c r="P29" cm="1">
        <f t="array" ref="P29">MEDIAN(IF((rounded[age]=A8)*(rounded[capitalize_gender]=D10)*(rounded[text_depression]=G10),rounded[behavioral_composite]))</f>
        <v>18</v>
      </c>
      <c r="Q29" s="47"/>
    </row>
    <row r="30" spans="4:17" x14ac:dyDescent="0.35">
      <c r="J30" s="47"/>
      <c r="K30" s="47"/>
      <c r="L30" s="47"/>
      <c r="M30" s="47"/>
      <c r="N30" s="47"/>
      <c r="O30" s="47"/>
      <c r="P30" s="47" t="s">
        <v>156</v>
      </c>
      <c r="Q30" s="47"/>
    </row>
    <row r="31" spans="4:17" x14ac:dyDescent="0.35">
      <c r="D31" s="119">
        <f>(COUNTIFS(rounded[daily_social_media_hours],"&gt;2",rounded[capitalize_gender],Gender,rounded[text_depression],Label)/COUNTIFS(rounded[capitalize_gender],Gender,rounded[text_depression],Label))</f>
        <v>0.85387323943661975</v>
      </c>
      <c r="J31" s="47"/>
      <c r="K31" s="47"/>
      <c r="L31" s="47"/>
      <c r="M31" s="47"/>
      <c r="N31" s="47"/>
      <c r="O31" s="47"/>
      <c r="P31" s="47"/>
      <c r="Q31" s="47"/>
    </row>
    <row r="32" spans="4:17" x14ac:dyDescent="0.35">
      <c r="D32" s="120"/>
    </row>
    <row r="33" spans="4:16" x14ac:dyDescent="0.35">
      <c r="L33" t="s">
        <v>159</v>
      </c>
      <c r="O33" s="49" t="s">
        <v>159</v>
      </c>
      <c r="P33" t="s">
        <v>160</v>
      </c>
    </row>
    <row r="34" spans="4:16" x14ac:dyDescent="0.35">
      <c r="D34" t="s">
        <v>174</v>
      </c>
      <c r="K34" t="s">
        <v>127</v>
      </c>
      <c r="L34" cm="1">
        <f t="array" ref="L34">MEDIAN(IF((rounded[age]=A2)*(rounded[capitalize_gender]=Gender)*(rounded[text_depression]=Label),rounded[daily_social_media_hours]))</f>
        <v>3.8499999999999996</v>
      </c>
      <c r="N34" t="s">
        <v>128</v>
      </c>
      <c r="O34" s="51" cm="1">
        <f t="array" ref="O34">MROUND(MEDIAN(IF((rounded[age]=A2)*(rounded[capitalize_gender]=Gender)*(rounded[text_depression]=Label),rounded[daily_social_media_hours])), 0.5)</f>
        <v>4</v>
      </c>
      <c r="P34" s="52" cm="1">
        <f t="array" ref="P34">MROUND(MEDIAN(IF((rounded[age]=A2)*(rounded[capitalize_gender]=Gender)*(rounded[text_depression]=Label),rounded[behavioral_composite])), 0.5)</f>
        <v>17</v>
      </c>
    </row>
    <row r="35" spans="4:16" x14ac:dyDescent="0.35">
      <c r="D35" cm="1">
        <f t="array" ref="D35">MEDIAN(IF((rounded[capitalize_gender] = Gender) * (rounded[text_depression] = Label), rounded[academic_performance]))</f>
        <v>2.98</v>
      </c>
      <c r="K35" t="s">
        <v>129</v>
      </c>
      <c r="L35" cm="1">
        <f t="array" ref="L35">MEDIAN(IF((rounded[age]=A2)*(rounded[capitalize_gender]=D10)*(rounded[text_depression]=G9),rounded[daily_social_media_hours]))</f>
        <v>7.7</v>
      </c>
      <c r="N35" t="s">
        <v>130</v>
      </c>
      <c r="O35" s="51" cm="1">
        <f t="array" ref="O35">MROUND(MEDIAN(IF((rounded[age]=A3)*(rounded[capitalize_gender]=Gender)*(rounded[text_depression]=Label),rounded[daily_social_media_hours])), 0.5)</f>
        <v>4.5</v>
      </c>
      <c r="P35" s="52" cm="1">
        <f t="array" ref="P35">MROUND(MEDIAN(IF((rounded[age]=A3)*(rounded[capitalize_gender]=Gender)*(rounded[text_depression]=Label),rounded[behavioral_composite])), 0.5)</f>
        <v>16</v>
      </c>
    </row>
    <row r="36" spans="4:16" x14ac:dyDescent="0.35">
      <c r="K36" t="s">
        <v>131</v>
      </c>
      <c r="L36" cm="1">
        <f t="array" ref="L36">MEDIAN(IF((rounded[age]=A3)*(rounded[capitalize_gender]=D9)*(rounded[text_depression]=G9),rounded[daily_social_media_hours]))</f>
        <v>5.4</v>
      </c>
      <c r="N36" t="s">
        <v>132</v>
      </c>
      <c r="O36" s="51" cm="1">
        <f t="array" ref="O36">MROUND(MEDIAN(IF((rounded[age]=A4)*(rounded[capitalize_gender]=Gender)*(rounded[text_depression]=Label),rounded[daily_social_media_hours])), 0.5)</f>
        <v>4</v>
      </c>
      <c r="P36" s="52" cm="1">
        <f t="array" ref="P36">MROUND(MEDIAN(IF((rounded[age]=A4)*(rounded[capitalize_gender]=Gender)*(rounded[text_depression]=Label),rounded[behavioral_composite])), 0.5)</f>
        <v>16</v>
      </c>
    </row>
    <row r="37" spans="4:16" x14ac:dyDescent="0.35">
      <c r="K37" t="s">
        <v>133</v>
      </c>
      <c r="L37" cm="1">
        <f t="array" ref="L37">MEDIAN(IF((rounded[age]=A3)*(rounded[capitalize_gender]=D10)*(rounded[text_depression]=G9),rounded[daily_social_media_hours]))</f>
        <v>6.2</v>
      </c>
      <c r="N37" t="s">
        <v>134</v>
      </c>
      <c r="O37" s="51" cm="1">
        <f t="array" ref="O37">MROUND(MEDIAN(IF((rounded[age]=A5)*(rounded[capitalize_gender]=Gender)*(rounded[text_depression]=Label),rounded[daily_social_media_hours])), 0.5)</f>
        <v>4.5</v>
      </c>
      <c r="P37" s="52" cm="1">
        <f t="array" ref="P37">MROUND(MEDIAN(IF((rounded[age]=A5)*(rounded[capitalize_gender]=Gender)*(rounded[text_depression]=Label),rounded[behavioral_composite])), 0.5)</f>
        <v>16</v>
      </c>
    </row>
    <row r="38" spans="4:16" x14ac:dyDescent="0.35">
      <c r="D38" t="s">
        <v>175</v>
      </c>
      <c r="K38" t="s">
        <v>135</v>
      </c>
      <c r="L38" cm="1">
        <f t="array" ref="L38">MEDIAN(IF((rounded[age]=A4)*(rounded[capitalize_gender]=D9)*(rounded[text_depression]=G9),rounded[daily_social_media_hours]))</f>
        <v>7.8</v>
      </c>
      <c r="N38" t="s">
        <v>136</v>
      </c>
      <c r="O38" s="51" cm="1">
        <f t="array" ref="O38">MROUND(MEDIAN(IF((rounded[age]=A6)*(rounded[capitalize_gender]=Gender)*(rounded[text_depression]=Label),rounded[daily_social_media_hours])), 0.5)</f>
        <v>5</v>
      </c>
      <c r="P38" s="52" cm="1">
        <f t="array" ref="P38">MROUND(MEDIAN(IF((rounded[age]=A6)*(rounded[capitalize_gender]=Gender)*(rounded[text_depression]=Label),rounded[behavioral_composite])), 0.5)</f>
        <v>17</v>
      </c>
    </row>
    <row r="39" spans="4:16" x14ac:dyDescent="0.35">
      <c r="D39" s="3" cm="1">
        <f t="array" ref="D39">AVERAGE(IF((rounded[capitalize_gender] = Gender) * (rounded[text_depression] = Label), rounded[social_interaction_2]))</f>
        <v>1.9929577464788732</v>
      </c>
      <c r="K39" t="s">
        <v>137</v>
      </c>
      <c r="L39" cm="1">
        <f t="array" ref="L39">MEDIAN(IF((rounded[age]=A4)*(rounded[capitalize_gender]=D10)*(rounded[text_depression]=G9),rounded[daily_social_media_hours]))</f>
        <v>5.4</v>
      </c>
      <c r="N39" t="s">
        <v>138</v>
      </c>
      <c r="O39" s="51" cm="1">
        <f t="array" ref="O39">MROUND(MEDIAN(IF((rounded[age]=A7)*(rounded[capitalize_gender]=Gender)*(rounded[text_depression]=Label),rounded[daily_social_media_hours])), 0.5)</f>
        <v>4</v>
      </c>
      <c r="P39" s="52" cm="1">
        <f t="array" ref="P39">MROUND(MEDIAN(IF((rounded[age]=A7)*(rounded[capitalize_gender]=Gender)*(rounded[text_depression]=Label),rounded[behavioral_composite])), 0.5)</f>
        <v>16</v>
      </c>
    </row>
    <row r="40" spans="4:16" x14ac:dyDescent="0.35">
      <c r="K40" t="s">
        <v>139</v>
      </c>
      <c r="L40" cm="1">
        <f t="array" ref="L40">MEDIAN(IF((rounded[age]=A5)*(rounded[capitalize_gender]=D9)*(rounded[text_depression]=G9),rounded[daily_social_media_hours]))</f>
        <v>6.1</v>
      </c>
      <c r="N40" t="s">
        <v>140</v>
      </c>
      <c r="O40" s="51" cm="1">
        <f t="array" ref="O40">MROUND(MEDIAN(IF((rounded[age]=A8)*(rounded[capitalize_gender]=Gender)*(rounded[text_depression]=Label),rounded[daily_social_media_hours])), 0.5)</f>
        <v>4.5</v>
      </c>
      <c r="P40" s="52" cm="1">
        <f t="array" ref="P40">MROUND(MEDIAN(IF((rounded[age]=A8)*(rounded[capitalize_gender]=Gender)*(rounded[text_depression]=Label),rounded[behavioral_composite])), 0.5)</f>
        <v>17</v>
      </c>
    </row>
    <row r="41" spans="4:16" x14ac:dyDescent="0.35">
      <c r="K41" t="s">
        <v>141</v>
      </c>
      <c r="L41" t="e" cm="1">
        <f t="array" ref="L41">MEDIAN(IF((rounded[age]=A5)*(rounded[capitalize_gender]=D10)*(rounded[text_depression]=G9),rounded[daily_social_media_hours]))</f>
        <v>#NUM!</v>
      </c>
      <c r="N41" t="s">
        <v>142</v>
      </c>
      <c r="O41" s="49" cm="1">
        <f t="array" ref="O41">MEDIAN(IF((rounded[age]=A5)*(rounded[capitalize_gender]=D10)*(rounded[text_depression]=G10),rounded[daily_social_media_hours]))</f>
        <v>4.6500000000000004</v>
      </c>
    </row>
    <row r="42" spans="4:16" x14ac:dyDescent="0.35">
      <c r="K42" t="s">
        <v>143</v>
      </c>
      <c r="L42" cm="1">
        <f t="array" ref="L42">MEDIAN(IF((rounded[age]=A6)*(rounded[capitalize_gender]=D9)*(rounded[text_depression]=G9),rounded[daily_social_media_hours]))</f>
        <v>7.5</v>
      </c>
      <c r="N42" t="s">
        <v>144</v>
      </c>
      <c r="O42" s="49" cm="1">
        <f t="array" ref="O42">MEDIAN(IF((rounded[age]=A6)*(rounded[capitalize_gender]=D9)*(rounded[text_depression]=G10),rounded[daily_social_media_hours]))</f>
        <v>5</v>
      </c>
    </row>
    <row r="43" spans="4:16" x14ac:dyDescent="0.35">
      <c r="K43" t="s">
        <v>145</v>
      </c>
      <c r="L43" cm="1">
        <f t="array" ref="L43">MEDIAN(IF((rounded[age]=A6)*(rounded[capitalize_gender]=D10)*(rounded[text_depression]=G9),rounded[daily_social_media_hours]))</f>
        <v>6.9</v>
      </c>
      <c r="N43" t="s">
        <v>146</v>
      </c>
      <c r="O43" s="49" cm="1">
        <f t="array" ref="O43">MEDIAN(IF((rounded[age]=A6)*(rounded[capitalize_gender]=D10)*(rounded[text_depression]=G10),rounded[daily_social_media_hours]))</f>
        <v>4.75</v>
      </c>
    </row>
    <row r="44" spans="4:16" x14ac:dyDescent="0.35">
      <c r="K44" t="s">
        <v>147</v>
      </c>
      <c r="L44" cm="1">
        <f t="array" ref="L44">MEDIAN(IF((rounded[age]=A7)*(rounded[capitalize_gender]=D9)*(rounded[text_depression]=G9),rounded[daily_social_media_hours]))</f>
        <v>6.4</v>
      </c>
      <c r="N44" t="s">
        <v>148</v>
      </c>
      <c r="O44" s="49" cm="1">
        <f t="array" ref="O44">MEDIAN(IF((rounded[age]=A7)*(rounded[capitalize_gender]=D9)*(rounded[text_depression]=G10),rounded[daily_social_media_hours]))</f>
        <v>3.9</v>
      </c>
    </row>
    <row r="45" spans="4:16" x14ac:dyDescent="0.35">
      <c r="K45" t="s">
        <v>149</v>
      </c>
      <c r="L45" cm="1">
        <f t="array" ref="L45">MEDIAN(IF((rounded[age]=A7)*(rounded[capitalize_gender]=D10)*(rounded[text_depression]=G9),rounded[daily_social_media_hours]))</f>
        <v>6.2</v>
      </c>
      <c r="N45" t="s">
        <v>150</v>
      </c>
      <c r="O45" s="49" cm="1">
        <f t="array" ref="O45">MEDIAN(IF((rounded[age]=A7)*(rounded[capitalize_gender]=D10)*(rounded[text_depression]=G10),rounded[daily_social_media_hours]))</f>
        <v>4.25</v>
      </c>
    </row>
    <row r="46" spans="4:16" x14ac:dyDescent="0.35">
      <c r="K46" t="s">
        <v>151</v>
      </c>
      <c r="L46" cm="1">
        <f t="array" ref="L46">MEDIAN(IF((rounded[age]=A8)*(rounded[capitalize_gender]=D9)*(rounded[text_depression]=G9),rounded[daily_social_media_hours]))</f>
        <v>7.4</v>
      </c>
      <c r="N46" t="s">
        <v>152</v>
      </c>
      <c r="O46" s="49" cm="1">
        <f t="array" ref="O46">MEDIAN(IF((rounded[age]=A8)*(rounded[capitalize_gender]=D9)*(rounded[text_depression]=G10),rounded[daily_social_media_hours]))</f>
        <v>4.4000000000000004</v>
      </c>
    </row>
    <row r="47" spans="4:16" x14ac:dyDescent="0.35">
      <c r="K47" t="s">
        <v>153</v>
      </c>
      <c r="L47" cm="1">
        <f t="array" ref="L47">MEDIAN(IF((rounded[age]=A8)*(rounded[capitalize_gender]=D10)*(rounded[text_depression]=G9),rounded[daily_social_media_hours]))</f>
        <v>7</v>
      </c>
      <c r="N47" t="s">
        <v>154</v>
      </c>
      <c r="O47" s="49" cm="1">
        <f t="array" ref="O47">MEDIAN(IF((rounded[age]=A8)*(rounded[capitalize_gender]=D10)*(rounded[text_depression]=G10),rounded[daily_social_media_hours]))</f>
        <v>4.5999999999999996</v>
      </c>
    </row>
  </sheetData>
  <mergeCells count="2">
    <mergeCell ref="D17:F17"/>
    <mergeCell ref="G23:H2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7F5D4-690E-4A1C-A84A-1411F97976AE}">
  <dimension ref="A1:X44"/>
  <sheetViews>
    <sheetView showGridLines="0" showRowColHeaders="0" tabSelected="1" zoomScaleNormal="100" workbookViewId="0">
      <selection activeCell="K22" sqref="K22:L23"/>
    </sheetView>
  </sheetViews>
  <sheetFormatPr defaultRowHeight="14.5" x14ac:dyDescent="0.35"/>
  <cols>
    <col min="3" max="3" width="16.54296875" bestFit="1" customWidth="1"/>
    <col min="8" max="8" width="15.08984375" customWidth="1"/>
    <col min="9" max="9" width="17.36328125" customWidth="1"/>
    <col min="10" max="10" width="1.54296875" customWidth="1"/>
    <col min="12" max="12" width="11.7265625" customWidth="1"/>
  </cols>
  <sheetData>
    <row r="1" spans="1:24" ht="15" thickBot="1" x14ac:dyDescent="0.4">
      <c r="A1" s="124" t="s">
        <v>113</v>
      </c>
      <c r="B1" s="124"/>
      <c r="C1" s="124"/>
      <c r="D1" s="124"/>
      <c r="E1" s="124"/>
      <c r="F1" s="124"/>
      <c r="G1" s="124"/>
      <c r="H1" s="124"/>
      <c r="I1" s="124"/>
      <c r="J1" s="124"/>
      <c r="K1" s="124"/>
      <c r="L1" s="124"/>
      <c r="M1" s="124"/>
      <c r="N1" s="124"/>
      <c r="O1" s="124"/>
      <c r="P1" s="124"/>
      <c r="Q1" s="124"/>
      <c r="R1" s="124"/>
      <c r="S1" s="124"/>
      <c r="T1" s="124"/>
      <c r="U1" s="124"/>
      <c r="V1" s="124"/>
      <c r="W1" s="124"/>
      <c r="X1" s="124"/>
    </row>
    <row r="2" spans="1:24" ht="15.5" thickTop="1" thickBot="1" x14ac:dyDescent="0.4">
      <c r="A2" s="124"/>
      <c r="B2" s="124"/>
      <c r="C2" s="124"/>
      <c r="D2" s="124"/>
      <c r="E2" s="124"/>
      <c r="F2" s="124"/>
      <c r="G2" s="124"/>
      <c r="H2" s="124"/>
      <c r="I2" s="124"/>
      <c r="J2" s="124"/>
      <c r="K2" s="124"/>
      <c r="L2" s="124"/>
      <c r="M2" s="124"/>
      <c r="N2" s="124"/>
      <c r="O2" s="124"/>
      <c r="P2" s="124"/>
      <c r="Q2" s="124"/>
      <c r="R2" s="124"/>
      <c r="S2" s="124"/>
      <c r="T2" s="124"/>
      <c r="U2" s="124"/>
      <c r="V2" s="124"/>
      <c r="W2" s="124"/>
      <c r="X2" s="124"/>
    </row>
    <row r="3" spans="1:24" ht="15" thickTop="1" x14ac:dyDescent="0.35"/>
    <row r="4" spans="1:24" ht="20.5" thickBot="1" x14ac:dyDescent="0.45">
      <c r="G4" s="122"/>
      <c r="H4" s="122"/>
      <c r="I4" s="122"/>
      <c r="J4" s="79"/>
      <c r="K4" s="49"/>
      <c r="L4" s="79"/>
      <c r="M4" s="49"/>
      <c r="N4" s="49"/>
      <c r="O4" s="54" t="s">
        <v>164</v>
      </c>
      <c r="P4" s="50"/>
      <c r="Q4" s="50"/>
      <c r="R4" s="50"/>
      <c r="S4" s="50"/>
      <c r="T4" s="50"/>
      <c r="U4" s="15" t="e" vm="1">
        <v>#VALUE!</v>
      </c>
      <c r="V4" s="15"/>
      <c r="W4" s="15"/>
    </row>
    <row r="5" spans="1:24" ht="18" thickBot="1" x14ac:dyDescent="0.4">
      <c r="G5" s="122"/>
      <c r="H5" s="122"/>
      <c r="I5" s="122"/>
      <c r="J5" s="79"/>
      <c r="K5" s="49"/>
      <c r="L5" s="79"/>
      <c r="M5" s="49"/>
      <c r="N5" s="49"/>
      <c r="O5" s="108" t="s">
        <v>165</v>
      </c>
      <c r="P5" s="109"/>
      <c r="Q5" s="109"/>
      <c r="R5" s="110" t="s">
        <v>74</v>
      </c>
      <c r="S5" s="110"/>
      <c r="T5" s="111"/>
      <c r="U5" s="15"/>
      <c r="V5" s="15"/>
      <c r="W5" s="15"/>
    </row>
    <row r="6" spans="1:24" x14ac:dyDescent="0.35">
      <c r="G6" s="122"/>
      <c r="H6" s="122"/>
      <c r="I6" s="122"/>
      <c r="M6" s="96" t="s">
        <v>166</v>
      </c>
      <c r="N6" s="97"/>
      <c r="O6" s="57"/>
      <c r="P6" s="112">
        <v>4.5999999999999996</v>
      </c>
      <c r="Q6" s="58"/>
      <c r="R6" s="60"/>
      <c r="S6" s="112">
        <v>6.5</v>
      </c>
      <c r="T6" s="59"/>
      <c r="U6" s="15"/>
      <c r="V6" s="15"/>
      <c r="W6" s="15"/>
    </row>
    <row r="7" spans="1:24" ht="17.5" customHeight="1" x14ac:dyDescent="0.35">
      <c r="F7" s="49"/>
      <c r="G7" s="121"/>
      <c r="J7" s="49"/>
      <c r="K7" s="49"/>
      <c r="L7" s="49"/>
      <c r="M7" s="98"/>
      <c r="N7" s="99"/>
      <c r="O7" s="55"/>
      <c r="P7" s="113"/>
      <c r="Q7" s="56"/>
      <c r="R7" s="61"/>
      <c r="S7" s="113"/>
      <c r="T7" s="36"/>
      <c r="U7" s="15"/>
      <c r="V7" s="15"/>
      <c r="W7" s="15"/>
    </row>
    <row r="8" spans="1:24" x14ac:dyDescent="0.35">
      <c r="F8" s="49"/>
      <c r="G8" s="123"/>
      <c r="H8" s="123"/>
      <c r="I8" s="123"/>
      <c r="J8" s="49"/>
      <c r="K8" s="49"/>
      <c r="L8" s="49"/>
      <c r="M8" s="100"/>
      <c r="N8" s="101"/>
      <c r="O8" s="55"/>
      <c r="P8" s="114"/>
      <c r="Q8" s="62"/>
      <c r="R8" s="56"/>
      <c r="S8" s="115"/>
      <c r="T8" s="65"/>
      <c r="U8" s="15"/>
      <c r="V8" s="15"/>
      <c r="W8" s="15"/>
    </row>
    <row r="9" spans="1:24" x14ac:dyDescent="0.35">
      <c r="G9" s="123"/>
      <c r="H9" s="123"/>
      <c r="I9" s="123"/>
      <c r="M9" s="102" t="s">
        <v>167</v>
      </c>
      <c r="N9" s="103"/>
      <c r="O9" s="57"/>
      <c r="P9" s="112">
        <v>8</v>
      </c>
      <c r="Q9" s="64"/>
      <c r="R9" s="60"/>
      <c r="S9" s="113">
        <v>5</v>
      </c>
      <c r="T9" s="36"/>
      <c r="U9" s="15"/>
      <c r="V9" s="15"/>
      <c r="W9" s="15"/>
    </row>
    <row r="10" spans="1:24" x14ac:dyDescent="0.35">
      <c r="G10" s="123"/>
      <c r="H10" s="123"/>
      <c r="I10" s="123"/>
      <c r="M10" s="98"/>
      <c r="N10" s="99"/>
      <c r="O10" s="55"/>
      <c r="P10" s="113"/>
      <c r="Q10" s="56"/>
      <c r="R10" s="61"/>
      <c r="S10" s="113"/>
      <c r="T10" s="36"/>
      <c r="U10" s="15"/>
      <c r="V10" s="15"/>
      <c r="W10" s="15"/>
    </row>
    <row r="11" spans="1:24" ht="15.5" x14ac:dyDescent="0.35">
      <c r="G11" s="123"/>
      <c r="H11" s="123"/>
      <c r="I11" s="123"/>
      <c r="M11" s="104"/>
      <c r="N11" s="105"/>
      <c r="O11" s="55"/>
      <c r="P11" s="114"/>
      <c r="Q11" s="56"/>
      <c r="R11" s="61"/>
      <c r="S11" s="114"/>
      <c r="T11" s="36"/>
      <c r="U11" s="15"/>
      <c r="V11" s="15"/>
      <c r="W11" s="15"/>
    </row>
    <row r="12" spans="1:24" x14ac:dyDescent="0.35">
      <c r="M12" s="98" t="s">
        <v>168</v>
      </c>
      <c r="N12" s="99"/>
      <c r="O12" s="57"/>
      <c r="P12" s="112">
        <v>9</v>
      </c>
      <c r="Q12" s="64"/>
      <c r="R12" s="60"/>
      <c r="S12" s="112">
        <v>6</v>
      </c>
      <c r="T12" s="59"/>
    </row>
    <row r="13" spans="1:24" x14ac:dyDescent="0.35">
      <c r="G13" s="53"/>
      <c r="H13" s="53"/>
      <c r="I13" s="53"/>
      <c r="J13" s="19"/>
      <c r="M13" s="98"/>
      <c r="N13" s="99"/>
      <c r="O13" s="55"/>
      <c r="P13" s="113"/>
      <c r="Q13" s="62"/>
      <c r="R13" s="56"/>
      <c r="S13" s="113"/>
      <c r="T13" s="36"/>
    </row>
    <row r="14" spans="1:24" ht="15.5" x14ac:dyDescent="0.35">
      <c r="G14" s="53"/>
      <c r="H14" s="53"/>
      <c r="I14" s="53"/>
      <c r="J14" s="19"/>
      <c r="M14" s="106"/>
      <c r="N14" s="107"/>
      <c r="O14" s="63"/>
      <c r="P14" s="114"/>
      <c r="Q14" s="62"/>
      <c r="R14" s="56"/>
      <c r="S14" s="114"/>
      <c r="T14" s="36"/>
    </row>
    <row r="15" spans="1:24" ht="15.5" customHeight="1" x14ac:dyDescent="0.35">
      <c r="G15" s="53"/>
      <c r="H15" s="53"/>
      <c r="I15" s="53"/>
      <c r="J15" s="19"/>
      <c r="M15" s="102" t="s">
        <v>169</v>
      </c>
      <c r="N15" s="103"/>
      <c r="O15" s="55"/>
      <c r="P15" s="112">
        <v>4</v>
      </c>
      <c r="Q15" s="64"/>
      <c r="R15" s="60"/>
      <c r="S15" s="112">
        <v>6</v>
      </c>
      <c r="T15" s="59"/>
    </row>
    <row r="16" spans="1:24" x14ac:dyDescent="0.35">
      <c r="A16" s="77" t="s">
        <v>171</v>
      </c>
      <c r="B16" s="77"/>
      <c r="C16" s="77"/>
      <c r="D16" s="78">
        <v>1200</v>
      </c>
      <c r="E16" s="78"/>
      <c r="G16" s="53"/>
      <c r="H16" s="53"/>
      <c r="I16" s="53"/>
      <c r="J16" s="19"/>
      <c r="M16" s="98"/>
      <c r="N16" s="99"/>
      <c r="O16" s="55"/>
      <c r="P16" s="113"/>
      <c r="Q16" s="56"/>
      <c r="R16" s="61"/>
      <c r="S16" s="113"/>
      <c r="T16" s="36"/>
    </row>
    <row r="17" spans="1:20" ht="15" thickBot="1" x14ac:dyDescent="0.4">
      <c r="A17" s="77"/>
      <c r="B17" s="77"/>
      <c r="C17" s="77"/>
      <c r="D17" s="78"/>
      <c r="E17" s="78"/>
      <c r="H17" s="19"/>
      <c r="I17" s="19"/>
      <c r="J17" s="19"/>
      <c r="L17" s="19"/>
      <c r="M17" s="39"/>
      <c r="N17" s="40"/>
      <c r="O17" s="37"/>
      <c r="P17" s="66"/>
      <c r="Q17" s="67"/>
      <c r="R17" s="68"/>
      <c r="S17" s="66"/>
      <c r="T17" s="38"/>
    </row>
    <row r="18" spans="1:20" ht="20" customHeight="1" thickBot="1" x14ac:dyDescent="0.4">
      <c r="H18" s="19"/>
      <c r="I18" s="19"/>
      <c r="M18" s="19"/>
      <c r="N18" s="19"/>
      <c r="P18" s="19"/>
      <c r="Q18" s="19"/>
      <c r="R18" s="19"/>
      <c r="T18" s="19"/>
    </row>
    <row r="19" spans="1:20" ht="20" customHeight="1" x14ac:dyDescent="0.4">
      <c r="K19" s="74" t="s">
        <v>170</v>
      </c>
      <c r="L19" s="75"/>
    </row>
    <row r="20" spans="1:20" ht="17.5" x14ac:dyDescent="0.35">
      <c r="K20" s="71"/>
      <c r="L20" s="73"/>
    </row>
    <row r="21" spans="1:20" ht="15.5" x14ac:dyDescent="0.35">
      <c r="K21" s="94" t="s">
        <v>121</v>
      </c>
      <c r="L21" s="95"/>
    </row>
    <row r="22" spans="1:20" ht="14.5" customHeight="1" x14ac:dyDescent="0.35">
      <c r="K22" s="126" t="s">
        <v>124</v>
      </c>
      <c r="L22" s="126"/>
    </row>
    <row r="23" spans="1:20" ht="14.5" customHeight="1" x14ac:dyDescent="0.35">
      <c r="K23" s="126"/>
      <c r="L23" s="126"/>
    </row>
    <row r="24" spans="1:20" x14ac:dyDescent="0.35">
      <c r="K24" s="71"/>
      <c r="L24" s="72"/>
    </row>
    <row r="25" spans="1:20" ht="15" x14ac:dyDescent="0.35">
      <c r="K25" s="92" t="s">
        <v>48</v>
      </c>
      <c r="L25" s="93"/>
    </row>
    <row r="26" spans="1:20" ht="14.5" customHeight="1" x14ac:dyDescent="0.35">
      <c r="K26" s="126" t="s">
        <v>158</v>
      </c>
      <c r="L26" s="126"/>
    </row>
    <row r="27" spans="1:20" ht="14.5" customHeight="1" x14ac:dyDescent="0.35">
      <c r="K27" s="126"/>
      <c r="L27" s="126"/>
    </row>
    <row r="28" spans="1:20" ht="15" thickBot="1" x14ac:dyDescent="0.4">
      <c r="K28" s="69"/>
      <c r="L28" s="70"/>
    </row>
    <row r="30" spans="1:20" ht="14.5" customHeight="1" x14ac:dyDescent="0.35"/>
    <row r="31" spans="1:20" ht="14.5" customHeight="1" thickBot="1" x14ac:dyDescent="0.4">
      <c r="H31" s="85" t="s">
        <v>161</v>
      </c>
      <c r="I31" s="85"/>
      <c r="J31" s="85"/>
      <c r="K31" s="85"/>
      <c r="L31" s="85"/>
      <c r="M31" s="85"/>
    </row>
    <row r="32" spans="1:20" x14ac:dyDescent="0.35">
      <c r="I32" s="82" t="s">
        <v>162</v>
      </c>
      <c r="J32" s="83"/>
      <c r="K32" s="84">
        <v>22</v>
      </c>
    </row>
    <row r="33" spans="1:24" x14ac:dyDescent="0.35">
      <c r="I33" s="86"/>
      <c r="J33" s="87"/>
      <c r="K33" s="88"/>
    </row>
    <row r="34" spans="1:24" ht="14.5" customHeight="1" x14ac:dyDescent="0.35">
      <c r="I34" s="89"/>
      <c r="J34" s="90"/>
      <c r="K34" s="91"/>
    </row>
    <row r="35" spans="1:24" ht="14.5" customHeight="1" thickBot="1" x14ac:dyDescent="0.4">
      <c r="I35" s="80" t="s">
        <v>163</v>
      </c>
      <c r="J35" s="76"/>
      <c r="K35" s="81">
        <v>17</v>
      </c>
    </row>
    <row r="37" spans="1:24" x14ac:dyDescent="0.35">
      <c r="A37" s="125"/>
      <c r="B37" s="125"/>
      <c r="C37" s="125"/>
      <c r="D37" s="125"/>
      <c r="E37" s="125"/>
      <c r="F37" s="125"/>
      <c r="G37" s="125"/>
      <c r="H37" s="125"/>
      <c r="I37" s="125"/>
      <c r="J37" s="125"/>
      <c r="K37" s="125"/>
      <c r="L37" s="125"/>
      <c r="M37" s="125"/>
      <c r="N37" s="125"/>
      <c r="O37" s="125"/>
      <c r="P37" s="125"/>
      <c r="Q37" s="125"/>
      <c r="R37" s="125"/>
      <c r="S37" s="125"/>
      <c r="T37" s="125"/>
      <c r="U37" s="125"/>
      <c r="V37" s="125"/>
      <c r="W37" s="125"/>
      <c r="X37" s="125"/>
    </row>
    <row r="38" spans="1:24" x14ac:dyDescent="0.35">
      <c r="A38" s="125"/>
      <c r="B38" s="125"/>
      <c r="C38" s="125"/>
      <c r="D38" s="125"/>
      <c r="E38" s="125"/>
      <c r="F38" s="125"/>
      <c r="G38" s="125"/>
      <c r="H38" s="125"/>
      <c r="I38" s="125"/>
      <c r="J38" s="125"/>
      <c r="K38" s="125"/>
      <c r="L38" s="125"/>
      <c r="M38" s="125"/>
      <c r="N38" s="125"/>
      <c r="O38" s="125"/>
      <c r="P38" s="125"/>
      <c r="Q38" s="125"/>
      <c r="R38" s="125"/>
      <c r="S38" s="125"/>
      <c r="T38" s="125"/>
      <c r="U38" s="125"/>
      <c r="V38" s="125"/>
      <c r="W38" s="125"/>
      <c r="X38" s="125"/>
    </row>
    <row r="39" spans="1:24" x14ac:dyDescent="0.35">
      <c r="A39" s="125"/>
      <c r="B39" s="125"/>
      <c r="C39" s="125"/>
      <c r="D39" s="125"/>
      <c r="E39" s="125"/>
      <c r="F39" s="125"/>
      <c r="G39" s="125"/>
      <c r="H39" s="125"/>
      <c r="I39" s="125"/>
      <c r="J39" s="125"/>
      <c r="K39" s="125"/>
      <c r="L39" s="125"/>
      <c r="M39" s="125"/>
      <c r="N39" s="125"/>
      <c r="O39" s="125"/>
      <c r="P39" s="125"/>
      <c r="Q39" s="125"/>
      <c r="R39" s="125"/>
      <c r="S39" s="125"/>
      <c r="T39" s="125"/>
      <c r="U39" s="125"/>
      <c r="V39" s="125"/>
      <c r="W39" s="125"/>
      <c r="X39" s="125"/>
    </row>
    <row r="40" spans="1:24" x14ac:dyDescent="0.35">
      <c r="A40" s="125"/>
      <c r="B40" s="125"/>
      <c r="C40" s="125"/>
      <c r="D40" s="125"/>
      <c r="E40" s="125"/>
      <c r="F40" s="125"/>
      <c r="G40" s="125"/>
      <c r="H40" s="125"/>
      <c r="I40" s="125"/>
      <c r="J40" s="125"/>
      <c r="K40" s="125"/>
      <c r="L40" s="125"/>
      <c r="M40" s="125"/>
      <c r="N40" s="125"/>
      <c r="O40" s="125"/>
      <c r="P40" s="125"/>
      <c r="Q40" s="125"/>
      <c r="R40" s="125"/>
      <c r="S40" s="125"/>
      <c r="T40" s="125"/>
      <c r="U40" s="125"/>
      <c r="V40" s="125"/>
      <c r="W40" s="125"/>
      <c r="X40" s="125"/>
    </row>
    <row r="41" spans="1:24" x14ac:dyDescent="0.35">
      <c r="A41" s="125"/>
      <c r="B41" s="125"/>
      <c r="C41" s="125"/>
      <c r="D41" s="125"/>
      <c r="E41" s="125"/>
      <c r="F41" s="125"/>
      <c r="G41" s="125"/>
      <c r="H41" s="125"/>
      <c r="I41" s="125"/>
      <c r="J41" s="125"/>
      <c r="K41" s="125"/>
      <c r="L41" s="125"/>
      <c r="M41" s="125"/>
      <c r="N41" s="125"/>
      <c r="O41" s="125"/>
      <c r="P41" s="125"/>
      <c r="Q41" s="125"/>
      <c r="R41" s="125"/>
      <c r="S41" s="125"/>
      <c r="T41" s="125"/>
      <c r="U41" s="125"/>
      <c r="V41" s="125"/>
      <c r="W41" s="125"/>
      <c r="X41" s="125"/>
    </row>
    <row r="42" spans="1:24" x14ac:dyDescent="0.35">
      <c r="A42" s="125"/>
      <c r="B42" s="125"/>
      <c r="C42" s="125"/>
      <c r="D42" s="125"/>
      <c r="E42" s="125"/>
      <c r="F42" s="125"/>
      <c r="G42" s="125"/>
      <c r="H42" s="125"/>
      <c r="I42" s="125"/>
      <c r="J42" s="125"/>
      <c r="K42" s="125"/>
      <c r="L42" s="125"/>
      <c r="M42" s="125"/>
      <c r="N42" s="125"/>
      <c r="O42" s="125"/>
      <c r="P42" s="125"/>
      <c r="Q42" s="125"/>
      <c r="R42" s="125"/>
      <c r="S42" s="125"/>
      <c r="T42" s="125"/>
      <c r="U42" s="125"/>
      <c r="V42" s="125"/>
      <c r="W42" s="125"/>
      <c r="X42" s="125"/>
    </row>
    <row r="43" spans="1:24" x14ac:dyDescent="0.35">
      <c r="A43" s="125"/>
      <c r="B43" s="125"/>
      <c r="C43" s="125"/>
      <c r="D43" s="125"/>
      <c r="E43" s="125"/>
      <c r="F43" s="125"/>
      <c r="G43" s="125"/>
      <c r="H43" s="125"/>
      <c r="I43" s="125"/>
      <c r="J43" s="125"/>
      <c r="K43" s="125"/>
      <c r="L43" s="125"/>
      <c r="M43" s="125"/>
      <c r="N43" s="125"/>
      <c r="O43" s="125"/>
      <c r="P43" s="125"/>
      <c r="Q43" s="125"/>
      <c r="R43" s="125"/>
      <c r="S43" s="125"/>
      <c r="T43" s="125"/>
      <c r="U43" s="125"/>
      <c r="V43" s="125"/>
      <c r="W43" s="125"/>
      <c r="X43" s="125"/>
    </row>
    <row r="44" spans="1:24" x14ac:dyDescent="0.35">
      <c r="A44" s="125"/>
      <c r="B44" s="125"/>
      <c r="C44" s="125"/>
      <c r="D44" s="125"/>
      <c r="E44" s="125"/>
      <c r="F44" s="125"/>
      <c r="G44" s="125"/>
      <c r="H44" s="125"/>
      <c r="I44" s="125"/>
      <c r="J44" s="125"/>
      <c r="K44" s="125"/>
      <c r="L44" s="125"/>
      <c r="M44" s="125"/>
      <c r="N44" s="125"/>
      <c r="O44" s="125"/>
      <c r="P44" s="125"/>
      <c r="Q44" s="125"/>
      <c r="R44" s="125"/>
      <c r="S44" s="125"/>
      <c r="T44" s="125"/>
      <c r="U44" s="125"/>
      <c r="V44" s="125"/>
      <c r="W44" s="125"/>
      <c r="X44" s="125"/>
    </row>
  </sheetData>
  <sheetProtection sheet="1" objects="1" scenarios="1" selectLockedCells="1"/>
  <mergeCells count="28">
    <mergeCell ref="I33:K34"/>
    <mergeCell ref="G4:I6"/>
    <mergeCell ref="G8:I11"/>
    <mergeCell ref="G13:I16"/>
    <mergeCell ref="D16:E17"/>
    <mergeCell ref="A16:C17"/>
    <mergeCell ref="U4:W11"/>
    <mergeCell ref="H31:M31"/>
    <mergeCell ref="M15:N16"/>
    <mergeCell ref="P15:P16"/>
    <mergeCell ref="S15:S16"/>
    <mergeCell ref="K21:L21"/>
    <mergeCell ref="K22:L23"/>
    <mergeCell ref="K25:L25"/>
    <mergeCell ref="K26:L27"/>
    <mergeCell ref="S6:S7"/>
    <mergeCell ref="P9:P10"/>
    <mergeCell ref="S9:S10"/>
    <mergeCell ref="P12:P13"/>
    <mergeCell ref="S12:S13"/>
    <mergeCell ref="M9:N10"/>
    <mergeCell ref="M12:N13"/>
    <mergeCell ref="A1:X2"/>
    <mergeCell ref="O4:T4"/>
    <mergeCell ref="O5:Q5"/>
    <mergeCell ref="R5:T5"/>
    <mergeCell ref="M6:N7"/>
    <mergeCell ref="P6:P7"/>
  </mergeCells>
  <pageMargins left="0.7" right="0.7" top="0.75" bottom="0.75" header="0.3" footer="0.3"/>
  <drawing r:id="rId1"/>
  <extLst>
    <ext xmlns:x14="http://schemas.microsoft.com/office/spreadsheetml/2009/9/main" uri="{CCE6A557-97BC-4b89-ADB6-D9C93CAAB3DF}">
      <x14:dataValidations xmlns:xm="http://schemas.microsoft.com/office/excel/2006/main" count="2">
        <x14:dataValidation type="list" allowBlank="1" showInputMessage="1" showErrorMessage="1" xr:uid="{7D39BDD6-15CA-4809-A2E6-EF98BD438AB4}">
          <x14:formula1>
            <xm:f>'Data Validation Perhaps'!$G$9:$G$10</xm:f>
          </x14:formula1>
          <xm:sqref>K22</xm:sqref>
        </x14:dataValidation>
        <x14:dataValidation type="list" allowBlank="1" showInputMessage="1" showErrorMessage="1" xr:uid="{6D82778D-198E-426D-B493-5D43FF6A002C}">
          <x14:formula1>
            <xm:f>'Data Validation Perhaps'!$D$9:$D$10</xm:f>
          </x14:formula1>
          <xm:sqref>K26</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Raw Import</vt:lpstr>
      <vt:lpstr>Messsing Around</vt:lpstr>
      <vt:lpstr>Slicers Practice</vt:lpstr>
      <vt:lpstr>Messing around w Charts</vt:lpstr>
      <vt:lpstr>Labeled w Depression</vt:lpstr>
      <vt:lpstr>Data Validation Perhaps</vt:lpstr>
      <vt:lpstr>Depression Dashboard</vt:lpstr>
      <vt:lpstr>academia</vt:lpstr>
      <vt:lpstr>Age</vt:lpstr>
      <vt:lpstr>Gender</vt:lpstr>
      <vt:lpstr>gr8_than_2</vt:lpstr>
      <vt:lpstr>Label</vt:lpstr>
      <vt:lpstr>socialize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Robin Thrush</dc:creator>
  <cp:lastModifiedBy>Robin Thrush</cp:lastModifiedBy>
  <dcterms:created xsi:type="dcterms:W3CDTF">2026-08-20T18:49:06Z</dcterms:created>
  <dcterms:modified xsi:type="dcterms:W3CDTF">2026-08-26T17:39:48Z</dcterms:modified>
</cp:coreProperties>
</file>